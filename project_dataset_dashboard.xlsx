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pivotTables/pivotTable3.xml" ContentType="application/vnd.openxmlformats-officedocument.spreadsheetml.pivotTable+xml"/>
  <Override PartName="/xl/drawings/drawing4.xml" ContentType="application/vnd.openxmlformats-officedocument.drawing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pivotTables/pivotTable4.xml" ContentType="application/vnd.openxmlformats-officedocument.spreadsheetml.pivotTable+xml"/>
  <Override PartName="/xl/drawings/drawing5.xml" ContentType="application/vnd.openxmlformats-officedocument.drawing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pivotTables/pivotTable5.xml" ContentType="application/vnd.openxmlformats-officedocument.spreadsheetml.pivotTable+xml"/>
  <Override PartName="/xl/drawings/drawing6.xml" ContentType="application/vnd.openxmlformats-officedocument.drawing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pivotTables/pivotTable6.xml" ContentType="application/vnd.openxmlformats-officedocument.spreadsheetml.pivotTable+xml"/>
  <Override PartName="/xl/drawings/drawing7.xml" ContentType="application/vnd.openxmlformats-officedocument.drawing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8.xml" ContentType="application/vnd.openxmlformats-officedocument.drawing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pivotTables/pivotTable9.xml" ContentType="application/vnd.openxmlformats-officedocument.spreadsheetml.pivotTable+xml"/>
  <Override PartName="/xl/drawings/drawing9.xml" ContentType="application/vnd.openxmlformats-officedocument.drawing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drawings/drawing10.xml" ContentType="application/vnd.openxmlformats-officedocument.drawing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pivotTables/pivotTable16.xml" ContentType="application/vnd.openxmlformats-officedocument.spreadsheetml.pivotTable+xml"/>
  <Override PartName="/xl/drawings/drawing11.xml" ContentType="application/vnd.openxmlformats-officedocument.drawing+xml"/>
  <Override PartName="/xl/charts/chart37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pivotTables/pivotTable19.xml" ContentType="application/vnd.openxmlformats-officedocument.spreadsheetml.pivotTable+xml"/>
  <Override PartName="/xl/pivotTables/pivotTable20.xml" ContentType="application/vnd.openxmlformats-officedocument.spreadsheetml.pivotTable+xml"/>
  <Override PartName="/xl/pivotTables/pivotTable21.xml" ContentType="application/vnd.openxmlformats-officedocument.spreadsheetml.pivotTable+xml"/>
  <Override PartName="/xl/drawings/drawing12.xml" ContentType="application/vnd.openxmlformats-officedocument.drawing+xml"/>
  <Override PartName="/xl/charts/chart38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charts/chart39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charts/chart40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charts/chart41.xml" ContentType="application/vnd.openxmlformats-officedocument.drawingml.chart+xml"/>
  <Override PartName="/xl/charts/style41.xml" ContentType="application/vnd.ms-office.chartstyle+xml"/>
  <Override PartName="/xl/charts/colors41.xml" ContentType="application/vnd.ms-office.chartcolorstyle+xml"/>
  <Override PartName="/xl/charts/chart42.xml" ContentType="application/vnd.openxmlformats-officedocument.drawingml.chart+xml"/>
  <Override PartName="/xl/charts/style42.xml" ContentType="application/vnd.ms-office.chartstyle+xml"/>
  <Override PartName="/xl/charts/colors42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2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working\waccache\PA1PEPF00124F98\EXCELCNV\2c8eeb37-0d50-4fcd-bf55-f5f43d2d5342\"/>
    </mc:Choice>
  </mc:AlternateContent>
  <xr:revisionPtr revIDLastSave="0" documentId="8_{575A135C-1095-4F8D-8CF9-185F900495DF}" xr6:coauthVersionLast="47" xr6:coauthVersionMax="47" xr10:uidLastSave="{00000000-0000-0000-0000-000000000000}"/>
  <bookViews>
    <workbookView xWindow="-60" yWindow="-60" windowWidth="15480" windowHeight="11640" xr2:uid="{2FFD295D-3623-4D2E-A711-C341B1AB2215}"/>
  </bookViews>
  <sheets>
    <sheet name="Dashboard" sheetId="13" r:id="rId1"/>
    <sheet name="Dataset" sheetId="1" r:id="rId2"/>
    <sheet name="gender distribution" sheetId="2" state="hidden" r:id="rId3"/>
    <sheet name="age distribution" sheetId="3" state="hidden" r:id="rId4"/>
    <sheet name=" income distribution" sheetId="4" state="hidden" r:id="rId5"/>
    <sheet name="education distribution" sheetId="5" state="hidden" r:id="rId6"/>
    <sheet name="product categories popularity" sheetId="6" state="hidden" r:id="rId7"/>
    <sheet name="avg purchase amount per channel" sheetId="7" state="hidden" r:id="rId8"/>
    <sheet name="purchases per month &amp; season" sheetId="8" state="hidden" r:id="rId9"/>
    <sheet name="purchase amount per weekday" sheetId="9" state="hidden" r:id="rId10"/>
    <sheet name="high-value cx variations" sheetId="10" state="hidden" r:id="rId11"/>
    <sheet name="income by gender" sheetId="12" state="hidden" r:id="rId12"/>
    <sheet name="behavior analysis" sheetId="11" state="hidden" r:id="rId13"/>
  </sheets>
  <definedNames>
    <definedName name="_xlnm._FilterDatabase" localSheetId="12" hidden="1">'behavior analysis'!$BB$17:$BB$17</definedName>
  </definedNames>
  <calcPr calcId="191028"/>
  <pivotCaches>
    <pivotCache cacheId="247" r:id="rId1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5" i="13" l="1"/>
  <c r="O5" i="13"/>
  <c r="M5" i="13"/>
  <c r="K5" i="13"/>
  <c r="I5" i="13"/>
  <c r="G5" i="13"/>
  <c r="E5" i="13"/>
  <c r="C5" i="13"/>
  <c r="A5" i="13"/>
  <c r="I18" i="7"/>
  <c r="C192" i="1" a="1"/>
  <c r="C192" i="1"/>
  <c r="C674" i="1" a="1"/>
  <c r="C674" i="1"/>
  <c r="C486" i="1" a="1"/>
  <c r="C486" i="1"/>
  <c r="C902" i="1" a="1"/>
  <c r="C902" i="1"/>
  <c r="C180" i="1" a="1"/>
  <c r="C180" i="1"/>
  <c r="C639" i="1" a="1"/>
  <c r="C639" i="1"/>
  <c r="C6" i="1" a="1"/>
  <c r="C6" i="1"/>
  <c r="C859" i="1" a="1"/>
  <c r="C859" i="1"/>
  <c r="C659" i="1" a="1"/>
  <c r="C659" i="1"/>
  <c r="C272" i="1" a="1"/>
  <c r="C272" i="1"/>
  <c r="C816" i="1" a="1"/>
  <c r="C816" i="1"/>
  <c r="C391" i="1" a="1"/>
  <c r="C391" i="1"/>
  <c r="C265" i="1" a="1"/>
  <c r="C265" i="1"/>
  <c r="C61" i="1" a="1"/>
  <c r="C61" i="1"/>
  <c r="C693" i="1" a="1"/>
  <c r="C693" i="1"/>
  <c r="C719" i="1" a="1"/>
  <c r="C719" i="1"/>
  <c r="C171" i="1" a="1"/>
  <c r="C171" i="1"/>
  <c r="C474" i="1" a="1"/>
  <c r="C474" i="1"/>
  <c r="C25" i="1" a="1"/>
  <c r="C25" i="1"/>
  <c r="C947" i="1" a="1"/>
  <c r="C947" i="1"/>
  <c r="C591" i="1" a="1"/>
  <c r="C591" i="1"/>
  <c r="C865" i="1" a="1"/>
  <c r="C865" i="1"/>
  <c r="C610" i="1" a="1"/>
  <c r="C610" i="1"/>
  <c r="C232" i="1" a="1"/>
  <c r="C232" i="1"/>
  <c r="C805" i="1" a="1"/>
  <c r="C805" i="1"/>
  <c r="C371" i="1" a="1"/>
  <c r="C371" i="1"/>
  <c r="C828" i="1" a="1"/>
  <c r="C828" i="1"/>
  <c r="C22" i="1" a="1"/>
  <c r="C22" i="1"/>
  <c r="C484" i="1" a="1"/>
  <c r="C484" i="1"/>
  <c r="C476" i="1" a="1"/>
  <c r="C476" i="1"/>
  <c r="C752" i="1" a="1"/>
  <c r="C752" i="1"/>
  <c r="C403" i="1" a="1"/>
  <c r="C403" i="1"/>
  <c r="C622" i="1" a="1"/>
  <c r="C622" i="1"/>
  <c r="C860" i="1" a="1"/>
  <c r="C860" i="1"/>
  <c r="C112" i="1" a="1"/>
  <c r="C112" i="1"/>
  <c r="C148" i="1" a="1"/>
  <c r="C148" i="1"/>
  <c r="C432" i="1" a="1"/>
  <c r="C432" i="1"/>
  <c r="C204" i="1" a="1"/>
  <c r="C204" i="1"/>
  <c r="C741" i="1" a="1"/>
  <c r="C741" i="1"/>
  <c r="C7" i="1" a="1"/>
  <c r="C7" i="1"/>
  <c r="C573" i="1" a="1"/>
  <c r="C573" i="1"/>
  <c r="C319" i="1" a="1"/>
  <c r="C319" i="1"/>
  <c r="C764" i="1" a="1"/>
  <c r="C764" i="1"/>
  <c r="C872" i="1" a="1"/>
  <c r="C872" i="1"/>
  <c r="C181" i="1" a="1"/>
  <c r="C181" i="1"/>
  <c r="C237" i="1" a="1"/>
  <c r="C237" i="1"/>
  <c r="C318" i="1" a="1"/>
  <c r="C318" i="1"/>
  <c r="C326" i="1" a="1"/>
  <c r="C326" i="1"/>
  <c r="C160" i="1" a="1"/>
  <c r="C160" i="1"/>
  <c r="C534" i="1" a="1"/>
  <c r="C534" i="1"/>
  <c r="C792" i="1" a="1"/>
  <c r="C792" i="1"/>
  <c r="C569" i="1" a="1"/>
  <c r="C569" i="1"/>
  <c r="C440" i="1" a="1"/>
  <c r="C440" i="1"/>
  <c r="C195" i="1" a="1"/>
  <c r="C195" i="1"/>
  <c r="C421" i="1" a="1"/>
  <c r="C421" i="1"/>
  <c r="C214" i="1" a="1"/>
  <c r="C214" i="1"/>
  <c r="C945" i="1" a="1"/>
  <c r="C945" i="1"/>
  <c r="C662" i="1" a="1"/>
  <c r="C662" i="1"/>
  <c r="C820" i="1" a="1"/>
  <c r="C820" i="1"/>
  <c r="C400" i="1" a="1"/>
  <c r="C400" i="1"/>
  <c r="C870" i="1" a="1"/>
  <c r="C870" i="1"/>
  <c r="C422" i="1" a="1"/>
  <c r="C422" i="1"/>
  <c r="C626" i="1" a="1"/>
  <c r="C626" i="1"/>
  <c r="C843" i="1" a="1"/>
  <c r="C843" i="1"/>
  <c r="C228" i="1" a="1"/>
  <c r="C228" i="1"/>
  <c r="C526" i="1" a="1"/>
  <c r="C526" i="1"/>
  <c r="C970" i="1" a="1"/>
  <c r="C970" i="1"/>
  <c r="C246" i="1" a="1"/>
  <c r="C246" i="1"/>
  <c r="C44" i="1" a="1"/>
  <c r="C44" i="1"/>
  <c r="C838" i="1" a="1"/>
  <c r="C838" i="1"/>
  <c r="C566" i="1" a="1"/>
  <c r="C566" i="1"/>
  <c r="C437" i="1" a="1"/>
  <c r="C437" i="1"/>
  <c r="C372" i="1" a="1"/>
  <c r="C372" i="1"/>
  <c r="C327" i="1" a="1"/>
  <c r="C327" i="1"/>
  <c r="C810" i="1" a="1"/>
  <c r="C810" i="1"/>
  <c r="C903" i="1" a="1"/>
  <c r="C903" i="1"/>
  <c r="C703" i="1" a="1"/>
  <c r="C703" i="1"/>
  <c r="C725" i="1" a="1"/>
  <c r="C725" i="1"/>
  <c r="C651" i="1" a="1"/>
  <c r="C651" i="1"/>
  <c r="C493" i="1" a="1"/>
  <c r="C493" i="1"/>
  <c r="C682" i="1" a="1"/>
  <c r="C682" i="1"/>
  <c r="C376" i="1" a="1"/>
  <c r="C376" i="1"/>
  <c r="C309" i="1" a="1"/>
  <c r="C309" i="1"/>
  <c r="C878" i="1" a="1"/>
  <c r="C878" i="1"/>
  <c r="C259" i="1" a="1"/>
  <c r="C259" i="1"/>
  <c r="C857" i="1" a="1"/>
  <c r="C857" i="1"/>
  <c r="C226" i="1" a="1"/>
  <c r="C226" i="1"/>
  <c r="C136" i="1" a="1"/>
  <c r="C136" i="1"/>
  <c r="C763" i="1" a="1"/>
  <c r="C763" i="1"/>
  <c r="C558" i="1" a="1"/>
  <c r="C558" i="1"/>
  <c r="C510" i="1" a="1"/>
  <c r="C510" i="1"/>
  <c r="C366" i="1" a="1"/>
  <c r="C366" i="1"/>
  <c r="C336" i="1" a="1"/>
  <c r="C336" i="1"/>
  <c r="C849" i="1" a="1"/>
  <c r="C849" i="1"/>
  <c r="C395" i="1" a="1"/>
  <c r="C395" i="1"/>
  <c r="C546" i="1" a="1"/>
  <c r="C546" i="1"/>
  <c r="C874" i="1" a="1"/>
  <c r="C874" i="1"/>
  <c r="C409" i="1" a="1"/>
  <c r="C409" i="1"/>
  <c r="C533" i="1" a="1"/>
  <c r="C533" i="1"/>
  <c r="C781" i="1" a="1"/>
  <c r="C781" i="1"/>
  <c r="C926" i="1" a="1"/>
  <c r="C926" i="1"/>
  <c r="C669" i="1" a="1"/>
  <c r="C669" i="1"/>
  <c r="C337" i="1" a="1"/>
  <c r="C337" i="1"/>
  <c r="C216" i="1" a="1"/>
  <c r="C216" i="1"/>
  <c r="C80" i="1" a="1"/>
  <c r="C80" i="1"/>
  <c r="C280" i="1" a="1"/>
  <c r="C280" i="1"/>
  <c r="C161" i="1" a="1"/>
  <c r="C161" i="1"/>
  <c r="C909" i="1" a="1"/>
  <c r="C909" i="1"/>
  <c r="C831" i="1" a="1"/>
  <c r="C831" i="1"/>
  <c r="C245" i="1" a="1"/>
  <c r="C245" i="1"/>
  <c r="C923" i="1" a="1"/>
  <c r="C923" i="1"/>
  <c r="C854" i="1" a="1"/>
  <c r="C854" i="1"/>
  <c r="C66" i="1" a="1"/>
  <c r="C66" i="1"/>
  <c r="C5" i="1" a="1"/>
  <c r="C5" i="1"/>
  <c r="C888" i="1" a="1"/>
  <c r="C888" i="1"/>
  <c r="C617" i="1" a="1"/>
  <c r="C617" i="1"/>
  <c r="C645" i="1" a="1"/>
  <c r="C645" i="1"/>
  <c r="C950" i="1" a="1"/>
  <c r="C950" i="1"/>
  <c r="C775" i="1" a="1"/>
  <c r="C775" i="1"/>
  <c r="C525" i="1" a="1"/>
  <c r="C525" i="1"/>
  <c r="C670" i="1" a="1"/>
  <c r="C670" i="1"/>
  <c r="C572" i="1" a="1"/>
  <c r="C572" i="1"/>
  <c r="C492" i="1" a="1"/>
  <c r="C492" i="1"/>
  <c r="C227" i="1" a="1"/>
  <c r="C227" i="1"/>
  <c r="C723" i="1" a="1"/>
  <c r="C723" i="1"/>
  <c r="C776" i="1" a="1"/>
  <c r="C776" i="1"/>
  <c r="C128" i="1" a="1"/>
  <c r="C128" i="1"/>
  <c r="C41" i="1" a="1"/>
  <c r="C41" i="1"/>
  <c r="C511" i="1" a="1"/>
  <c r="C511" i="1"/>
  <c r="C146" i="1" a="1"/>
  <c r="C146" i="1"/>
  <c r="C875" i="1" a="1"/>
  <c r="C875" i="1"/>
  <c r="C913" i="1" a="1"/>
  <c r="C913" i="1"/>
  <c r="C793" i="1" a="1"/>
  <c r="C793" i="1"/>
  <c r="C840" i="1" a="1"/>
  <c r="C840" i="1"/>
  <c r="C145" i="1" a="1"/>
  <c r="C145" i="1"/>
  <c r="C150" i="1" a="1"/>
  <c r="C150" i="1"/>
  <c r="C713" i="1" a="1"/>
  <c r="C713" i="1"/>
  <c r="C837" i="1" a="1"/>
  <c r="C837" i="1"/>
  <c r="C386" i="1" a="1"/>
  <c r="C386" i="1"/>
  <c r="C866" i="1" a="1"/>
  <c r="C866" i="1"/>
  <c r="C19" i="1" a="1"/>
  <c r="C19" i="1"/>
  <c r="C749" i="1" a="1"/>
  <c r="C749" i="1"/>
  <c r="C113" i="1" a="1"/>
  <c r="C113" i="1"/>
  <c r="C748" i="1" a="1"/>
  <c r="C748" i="1"/>
  <c r="C818" i="1" a="1"/>
  <c r="C818" i="1"/>
  <c r="C119" i="1" a="1"/>
  <c r="C119" i="1"/>
  <c r="C744" i="1" a="1"/>
  <c r="C744" i="1"/>
  <c r="C654" i="1" a="1"/>
  <c r="C654" i="1"/>
  <c r="C90" i="1" a="1"/>
  <c r="C90" i="1"/>
  <c r="C689" i="1" a="1"/>
  <c r="C689" i="1"/>
  <c r="C687" i="1" a="1"/>
  <c r="C687" i="1"/>
  <c r="C509" i="1" a="1"/>
  <c r="C509" i="1"/>
  <c r="C868" i="1" a="1"/>
  <c r="C868" i="1"/>
  <c r="C677" i="1" a="1"/>
  <c r="C677" i="1"/>
  <c r="C750" i="1" a="1"/>
  <c r="C750" i="1"/>
  <c r="C562" i="1" a="1"/>
  <c r="C562" i="1"/>
  <c r="C956" i="1" a="1"/>
  <c r="C956" i="1"/>
  <c r="C690" i="1" a="1"/>
  <c r="C690" i="1"/>
  <c r="C21" i="1" a="1"/>
  <c r="C21" i="1"/>
  <c r="C379" i="1" a="1"/>
  <c r="C379" i="1"/>
  <c r="C765" i="1" a="1"/>
  <c r="C765" i="1"/>
  <c r="C539" i="1" a="1"/>
  <c r="C539" i="1"/>
  <c r="C704" i="1" a="1"/>
  <c r="C704" i="1"/>
  <c r="C109" i="1" a="1"/>
  <c r="C109" i="1"/>
  <c r="C111" i="1" a="1"/>
  <c r="C111" i="1"/>
  <c r="C460" i="1" a="1"/>
  <c r="C460" i="1"/>
  <c r="C218" i="1" a="1"/>
  <c r="C218" i="1"/>
  <c r="C297" i="1" a="1"/>
  <c r="C297" i="1"/>
  <c r="C623" i="1" a="1"/>
  <c r="C623" i="1"/>
  <c r="C766" i="1" a="1"/>
  <c r="C766" i="1"/>
  <c r="C724" i="1" a="1"/>
  <c r="C724" i="1"/>
  <c r="C389" i="1" a="1"/>
  <c r="C389" i="1"/>
  <c r="C957" i="1" a="1"/>
  <c r="C957" i="1"/>
  <c r="C694" i="1" a="1"/>
  <c r="C694" i="1"/>
  <c r="C978" i="1" a="1"/>
  <c r="C978" i="1"/>
  <c r="C465" i="1" a="1"/>
  <c r="C465" i="1"/>
  <c r="C931" i="1" a="1"/>
  <c r="C931" i="1"/>
  <c r="C554" i="1" a="1"/>
  <c r="C554" i="1"/>
  <c r="C767" i="1" a="1"/>
  <c r="C767" i="1"/>
  <c r="C895" i="1" a="1"/>
  <c r="C895" i="1"/>
  <c r="C799" i="1" a="1"/>
  <c r="C799" i="1"/>
  <c r="C223" i="1" a="1"/>
  <c r="C223" i="1"/>
  <c r="C194" i="1" a="1"/>
  <c r="C194" i="1"/>
  <c r="C821" i="1" a="1"/>
  <c r="C821" i="1"/>
  <c r="C672" i="1" a="1"/>
  <c r="C672" i="1"/>
  <c r="C105" i="1" a="1"/>
  <c r="C105" i="1"/>
  <c r="C217" i="1" a="1"/>
  <c r="C217" i="1"/>
  <c r="C185" i="1" a="1"/>
  <c r="C185" i="1"/>
  <c r="C176" i="1" a="1"/>
  <c r="C176" i="1"/>
  <c r="C88" i="1" a="1"/>
  <c r="C88" i="1"/>
  <c r="C498" i="1" a="1"/>
  <c r="C498" i="1"/>
  <c r="C96" i="1" a="1"/>
  <c r="C96" i="1"/>
  <c r="C483" i="1" a="1"/>
  <c r="C483" i="1"/>
  <c r="C688" i="1" a="1"/>
  <c r="C688" i="1"/>
  <c r="C579" i="1" a="1"/>
  <c r="C579" i="1"/>
  <c r="C459" i="1" a="1"/>
  <c r="C459" i="1"/>
  <c r="C87" i="1" a="1"/>
  <c r="C87" i="1"/>
  <c r="C162" i="1" a="1"/>
  <c r="C162" i="1"/>
  <c r="C871" i="1" a="1"/>
  <c r="C871" i="1"/>
  <c r="C117" i="1" a="1"/>
  <c r="C117" i="1"/>
  <c r="C351" i="1" a="1"/>
  <c r="C351" i="1"/>
  <c r="C308" i="1" a="1"/>
  <c r="C308" i="1"/>
  <c r="C777" i="1" a="1"/>
  <c r="C777" i="1"/>
  <c r="C604" i="1" a="1"/>
  <c r="C604" i="1"/>
  <c r="C574" i="1" a="1"/>
  <c r="C574" i="1"/>
  <c r="C149" i="1" a="1"/>
  <c r="C149" i="1"/>
  <c r="C475" i="1" a="1"/>
  <c r="C475" i="1"/>
  <c r="C964" i="1" a="1"/>
  <c r="C964" i="1"/>
  <c r="C884" i="1" a="1"/>
  <c r="C884" i="1"/>
  <c r="C56" i="1" a="1"/>
  <c r="C56" i="1"/>
  <c r="C736" i="1" a="1"/>
  <c r="C736" i="1"/>
  <c r="C961" i="1" a="1"/>
  <c r="C961" i="1"/>
  <c r="C578" i="1" a="1"/>
  <c r="C578" i="1"/>
  <c r="C108" i="1" a="1"/>
  <c r="C108" i="1"/>
  <c r="C480" i="1" a="1"/>
  <c r="C480" i="1"/>
  <c r="C301" i="1" a="1"/>
  <c r="C301" i="1"/>
  <c r="C186" i="1" a="1"/>
  <c r="C186" i="1"/>
  <c r="C801" i="1" a="1"/>
  <c r="C801" i="1"/>
  <c r="C990" i="1" a="1"/>
  <c r="C990" i="1"/>
  <c r="C971" i="1" a="1"/>
  <c r="C971" i="1"/>
  <c r="C512" i="1" a="1"/>
  <c r="C512" i="1"/>
  <c r="C48" i="1" a="1"/>
  <c r="C48" i="1"/>
  <c r="C385" i="1" a="1"/>
  <c r="C385" i="1"/>
  <c r="C548" i="1" a="1"/>
  <c r="C548" i="1"/>
  <c r="C841" i="1" a="1"/>
  <c r="C841" i="1"/>
  <c r="C378" i="1" a="1"/>
  <c r="C378" i="1"/>
  <c r="C729" i="1" a="1"/>
  <c r="C729" i="1"/>
  <c r="C815" i="1" a="1"/>
  <c r="C815" i="1"/>
  <c r="C593" i="1" a="1"/>
  <c r="C593" i="1"/>
  <c r="C968" i="1" a="1"/>
  <c r="C968" i="1"/>
  <c r="C925" i="1" a="1"/>
  <c r="C925" i="1"/>
  <c r="C613" i="1" a="1"/>
  <c r="C613" i="1"/>
  <c r="C95" i="1" a="1"/>
  <c r="C95" i="1"/>
  <c r="C757" i="1" a="1"/>
  <c r="C757" i="1"/>
  <c r="C27" i="1" a="1"/>
  <c r="C27" i="1"/>
  <c r="C761" i="1" a="1"/>
  <c r="C761" i="1"/>
  <c r="C557" i="1" a="1"/>
  <c r="C557" i="1"/>
  <c r="C65" i="1" a="1"/>
  <c r="C65" i="1"/>
  <c r="C650" i="1" a="1"/>
  <c r="C650" i="1"/>
  <c r="C887" i="1" a="1"/>
  <c r="C887" i="1"/>
  <c r="C55" i="1" a="1"/>
  <c r="C55" i="1"/>
  <c r="C877" i="1" a="1"/>
  <c r="C877" i="1"/>
  <c r="C594" i="1" a="1"/>
  <c r="C594" i="1"/>
  <c r="C715" i="1" a="1"/>
  <c r="C715" i="1"/>
  <c r="C551" i="1" a="1"/>
  <c r="C551" i="1"/>
  <c r="C375" i="1" a="1"/>
  <c r="C375" i="1"/>
  <c r="C220" i="1" a="1"/>
  <c r="C220" i="1"/>
  <c r="C994" i="1" a="1"/>
  <c r="C994" i="1"/>
  <c r="C699" i="1" a="1"/>
  <c r="C699" i="1"/>
  <c r="C399" i="1" a="1"/>
  <c r="C399" i="1"/>
  <c r="C740" i="1" a="1"/>
  <c r="C740" i="1"/>
  <c r="C501" i="1" a="1"/>
  <c r="C501" i="1"/>
  <c r="C581" i="1" a="1"/>
  <c r="C581" i="1"/>
  <c r="C636" i="1" a="1"/>
  <c r="C636" i="1"/>
  <c r="C20" i="1" a="1"/>
  <c r="C20" i="1"/>
  <c r="C963" i="1" a="1"/>
  <c r="C963" i="1"/>
  <c r="C853" i="1" a="1"/>
  <c r="C853" i="1"/>
  <c r="C789" i="1" a="1"/>
  <c r="C789" i="1"/>
  <c r="C219" i="1" a="1"/>
  <c r="C219" i="1"/>
  <c r="C759" i="1" a="1"/>
  <c r="C759" i="1"/>
  <c r="C735" i="1" a="1"/>
  <c r="C735" i="1"/>
  <c r="C755" i="1" a="1"/>
  <c r="C755" i="1"/>
  <c r="C169" i="1" a="1"/>
  <c r="C169" i="1"/>
  <c r="C942" i="1" a="1"/>
  <c r="C942" i="1"/>
  <c r="C922" i="1" a="1"/>
  <c r="C922" i="1"/>
  <c r="C13" i="1" a="1"/>
  <c r="C13" i="1"/>
  <c r="C891" i="1" a="1"/>
  <c r="C891" i="1"/>
  <c r="C364" i="1" a="1"/>
  <c r="C364" i="1"/>
  <c r="C858" i="1" a="1"/>
  <c r="C858" i="1"/>
  <c r="C276" i="1" a="1"/>
  <c r="C276" i="1"/>
  <c r="C241" i="1" a="1"/>
  <c r="C241" i="1"/>
  <c r="C236" i="1" a="1"/>
  <c r="C236" i="1"/>
  <c r="C621" i="1" a="1"/>
  <c r="C621" i="1"/>
  <c r="C349" i="1" a="1"/>
  <c r="C349" i="1"/>
  <c r="C429" i="1" a="1"/>
  <c r="C429" i="1"/>
  <c r="C107" i="1" a="1"/>
  <c r="C107" i="1"/>
  <c r="C491" i="1" a="1"/>
  <c r="C491" i="1"/>
  <c r="C72" i="1" a="1"/>
  <c r="C72" i="1"/>
  <c r="C787" i="1" a="1"/>
  <c r="C787" i="1"/>
  <c r="C985" i="1" a="1"/>
  <c r="C985" i="1"/>
  <c r="C291" i="1" a="1"/>
  <c r="C291" i="1"/>
  <c r="C15" i="1" a="1"/>
  <c r="C15" i="1"/>
  <c r="C982" i="1" a="1"/>
  <c r="C982" i="1"/>
  <c r="C718" i="1" a="1"/>
  <c r="C718" i="1"/>
  <c r="C800" i="1" a="1"/>
  <c r="C800" i="1"/>
  <c r="C467" i="1" a="1"/>
  <c r="C467" i="1"/>
  <c r="C773" i="1" a="1"/>
  <c r="C773" i="1"/>
  <c r="C123" i="1" a="1"/>
  <c r="C123" i="1"/>
  <c r="C52" i="1" a="1"/>
  <c r="C52" i="1"/>
  <c r="C631" i="1" a="1"/>
  <c r="C631" i="1"/>
  <c r="C304" i="1" a="1"/>
  <c r="C304" i="1"/>
  <c r="C33" i="1" a="1"/>
  <c r="C33" i="1"/>
  <c r="C760" i="1" a="1"/>
  <c r="C760" i="1"/>
  <c r="C24" i="1" a="1"/>
  <c r="C24" i="1"/>
  <c r="C577" i="1" a="1"/>
  <c r="C577" i="1"/>
  <c r="C959" i="1" a="1"/>
  <c r="C959" i="1"/>
  <c r="C191" i="1" a="1"/>
  <c r="C191" i="1"/>
  <c r="C807" i="1" a="1"/>
  <c r="C807" i="1"/>
  <c r="C561" i="1" a="1"/>
  <c r="C561" i="1"/>
  <c r="C36" i="1" a="1"/>
  <c r="C36" i="1"/>
  <c r="C881" i="1" a="1"/>
  <c r="C881" i="1"/>
  <c r="C278" i="1" a="1"/>
  <c r="C278" i="1"/>
  <c r="C455" i="1" a="1"/>
  <c r="C455" i="1"/>
  <c r="C661" i="1" a="1"/>
  <c r="C661" i="1"/>
  <c r="C856" i="1" a="1"/>
  <c r="C856" i="1"/>
  <c r="C565" i="1" a="1"/>
  <c r="C565" i="1"/>
  <c r="C560" i="1" a="1"/>
  <c r="C560" i="1"/>
  <c r="C552" i="1" a="1"/>
  <c r="C552" i="1"/>
  <c r="C995" i="1" a="1"/>
  <c r="C995" i="1"/>
  <c r="C697" i="1" a="1"/>
  <c r="C697" i="1"/>
  <c r="C413" i="1" a="1"/>
  <c r="C413" i="1"/>
  <c r="C637" i="1" a="1"/>
  <c r="C637" i="1"/>
  <c r="C407" i="1" a="1"/>
  <c r="C407" i="1"/>
  <c r="C932" i="1" a="1"/>
  <c r="C932" i="1"/>
  <c r="C425" i="1" a="1"/>
  <c r="C425" i="1"/>
  <c r="C84" i="1" a="1"/>
  <c r="C84" i="1"/>
  <c r="C570" i="1" a="1"/>
  <c r="C570" i="1"/>
  <c r="C771" i="1" a="1"/>
  <c r="C771" i="1"/>
  <c r="C342" i="1" a="1"/>
  <c r="C342" i="1"/>
  <c r="C549" i="1" a="1"/>
  <c r="C549" i="1"/>
  <c r="C627" i="1" a="1"/>
  <c r="C627" i="1"/>
  <c r="C938" i="1" a="1"/>
  <c r="C938" i="1"/>
  <c r="C647" i="1" a="1"/>
  <c r="C647" i="1"/>
  <c r="C660" i="1" a="1"/>
  <c r="C660" i="1"/>
  <c r="C225" i="1" a="1"/>
  <c r="C225" i="1"/>
  <c r="C616" i="1" a="1"/>
  <c r="C616" i="1"/>
  <c r="C529" i="1" a="1"/>
  <c r="C529" i="1"/>
  <c r="C142" i="1" a="1"/>
  <c r="C142" i="1"/>
  <c r="C516" i="1" a="1"/>
  <c r="C516" i="1"/>
  <c r="C357" i="1" a="1"/>
  <c r="C357" i="1"/>
  <c r="C75" i="1" a="1"/>
  <c r="C75" i="1"/>
  <c r="C350" i="1" a="1"/>
  <c r="C350" i="1"/>
  <c r="C264" i="1" a="1"/>
  <c r="C264" i="1"/>
  <c r="C104" i="1" a="1"/>
  <c r="C104" i="1"/>
  <c r="C40" i="1" a="1"/>
  <c r="C40" i="1"/>
  <c r="C251" i="1" a="1"/>
  <c r="C251" i="1"/>
  <c r="C211" i="1" a="1"/>
  <c r="C211" i="1"/>
  <c r="C936" i="1" a="1"/>
  <c r="C936" i="1"/>
  <c r="C692" i="1" a="1"/>
  <c r="C692" i="1"/>
  <c r="C599" i="1" a="1"/>
  <c r="C599" i="1"/>
  <c r="C524" i="1" a="1"/>
  <c r="C524" i="1"/>
  <c r="C545" i="1" a="1"/>
  <c r="C545" i="1"/>
  <c r="C54" i="1" a="1"/>
  <c r="C54" i="1"/>
  <c r="C685" i="1" a="1"/>
  <c r="C685" i="1"/>
  <c r="C118" i="1" a="1"/>
  <c r="C118" i="1"/>
  <c r="C388" i="1" a="1"/>
  <c r="C388" i="1"/>
  <c r="C315" i="1" a="1"/>
  <c r="C315" i="1"/>
  <c r="C892" i="1" a="1"/>
  <c r="C892" i="1"/>
  <c r="C901" i="1" a="1"/>
  <c r="C901" i="1"/>
  <c r="C370" i="1" a="1"/>
  <c r="C370" i="1"/>
  <c r="C439" i="1" a="1"/>
  <c r="C439" i="1"/>
  <c r="C4" i="1" a="1"/>
  <c r="C4" i="1"/>
  <c r="C933" i="1" a="1"/>
  <c r="C933" i="1"/>
  <c r="C791" i="1" a="1"/>
  <c r="C791" i="1"/>
  <c r="C479" i="1" a="1"/>
  <c r="C479" i="1"/>
  <c r="C940" i="1" a="1"/>
  <c r="C940" i="1"/>
  <c r="C742" i="1" a="1"/>
  <c r="C742" i="1"/>
  <c r="C684" i="1" a="1"/>
  <c r="C684" i="1"/>
  <c r="C897" i="1" a="1"/>
  <c r="C897" i="1"/>
  <c r="C638" i="1" a="1"/>
  <c r="C638" i="1"/>
  <c r="C804" i="1" a="1"/>
  <c r="C804" i="1"/>
  <c r="C3" i="1" a="1"/>
  <c r="C3" i="1"/>
  <c r="C340" i="1" a="1"/>
  <c r="C340" i="1"/>
  <c r="C993" i="1" a="1"/>
  <c r="C993" i="1"/>
  <c r="C415" i="1" a="1"/>
  <c r="C415" i="1"/>
  <c r="C747" i="1" a="1"/>
  <c r="C747" i="1"/>
  <c r="C507" i="1" a="1"/>
  <c r="C507" i="1"/>
  <c r="C458" i="1" a="1"/>
  <c r="C458" i="1"/>
  <c r="C873" i="1" a="1"/>
  <c r="C873" i="1"/>
  <c r="C918" i="1" a="1"/>
  <c r="C918" i="1"/>
  <c r="C312" i="1" a="1"/>
  <c r="C312" i="1"/>
  <c r="C427" i="1" a="1"/>
  <c r="C427" i="1"/>
  <c r="C253" i="1" a="1"/>
  <c r="C253" i="1"/>
  <c r="C819" i="1" a="1"/>
  <c r="C819" i="1"/>
  <c r="C156" i="1" a="1"/>
  <c r="C156" i="1"/>
  <c r="C365" i="1" a="1"/>
  <c r="C365" i="1"/>
  <c r="C835" i="1" a="1"/>
  <c r="C835" i="1"/>
  <c r="C716" i="1" a="1"/>
  <c r="C716" i="1"/>
  <c r="C665" i="1" a="1"/>
  <c r="C665" i="1"/>
  <c r="C941" i="1" a="1"/>
  <c r="C941" i="1"/>
  <c r="C346" i="1" a="1"/>
  <c r="C346" i="1"/>
  <c r="C738" i="1" a="1"/>
  <c r="C738" i="1"/>
  <c r="C144" i="1" a="1"/>
  <c r="C144" i="1"/>
  <c r="C625" i="1" a="1"/>
  <c r="C625" i="1"/>
  <c r="C541" i="1" a="1"/>
  <c r="C541" i="1"/>
  <c r="C496" i="1" a="1"/>
  <c r="C496" i="1"/>
  <c r="C796" i="1" a="1"/>
  <c r="C796" i="1"/>
  <c r="C598" i="1" a="1"/>
  <c r="C598" i="1"/>
  <c r="C743" i="1" a="1"/>
  <c r="C743" i="1"/>
  <c r="C937" i="1" a="1"/>
  <c r="C937" i="1"/>
  <c r="C952" i="1" a="1"/>
  <c r="C952" i="1"/>
  <c r="C497" i="1" a="1"/>
  <c r="C497" i="1"/>
  <c r="C2" i="1" a="1"/>
  <c r="C2" i="1"/>
  <c r="C408" i="1" a="1"/>
  <c r="C408" i="1"/>
  <c r="C517" i="1" a="1"/>
  <c r="C517" i="1"/>
  <c r="C306" i="1" a="1"/>
  <c r="C306" i="1"/>
  <c r="C11" i="1" a="1"/>
  <c r="C11" i="1"/>
  <c r="C710" i="1" a="1"/>
  <c r="C710" i="1"/>
  <c r="C836" i="1" a="1"/>
  <c r="C836" i="1"/>
  <c r="C213" i="1" a="1"/>
  <c r="C213" i="1"/>
  <c r="C939" i="1" a="1"/>
  <c r="C939" i="1"/>
  <c r="C127" i="1" a="1"/>
  <c r="C127" i="1"/>
  <c r="C880" i="1" a="1"/>
  <c r="C880" i="1"/>
  <c r="C270" i="1" a="1"/>
  <c r="C270" i="1"/>
  <c r="C839" i="1" a="1"/>
  <c r="C839" i="1"/>
  <c r="C898" i="1" a="1"/>
  <c r="C898" i="1"/>
  <c r="C827" i="1" a="1"/>
  <c r="C827" i="1"/>
  <c r="C502" i="1" a="1"/>
  <c r="C502" i="1"/>
  <c r="C311" i="1" a="1"/>
  <c r="C311" i="1"/>
  <c r="C615" i="1" a="1"/>
  <c r="C615" i="1"/>
  <c r="C435" i="1" a="1"/>
  <c r="C435" i="1"/>
  <c r="C174" i="1" a="1"/>
  <c r="C174" i="1"/>
  <c r="C683" i="1" a="1"/>
  <c r="C683" i="1"/>
  <c r="C99" i="1" a="1"/>
  <c r="C99" i="1"/>
  <c r="C464" i="1" a="1"/>
  <c r="C464" i="1"/>
  <c r="C584" i="1" a="1"/>
  <c r="C584" i="1"/>
  <c r="C696" i="1" a="1"/>
  <c r="C696" i="1"/>
  <c r="C671" i="1" a="1"/>
  <c r="C671" i="1"/>
  <c r="C712" i="1" a="1"/>
  <c r="C712" i="1"/>
  <c r="C910" i="1" a="1"/>
  <c r="C910" i="1"/>
  <c r="C920" i="1" a="1"/>
  <c r="C920" i="1"/>
  <c r="C542" i="1" a="1"/>
  <c r="C542" i="1"/>
  <c r="C988" i="1" a="1"/>
  <c r="C988" i="1"/>
  <c r="C531" i="1" a="1"/>
  <c r="C531" i="1"/>
  <c r="C38" i="1" a="1"/>
  <c r="C38" i="1"/>
  <c r="C94" i="1" a="1"/>
  <c r="C94" i="1"/>
  <c r="C208" i="1" a="1"/>
  <c r="C208" i="1"/>
  <c r="C949" i="1" a="1"/>
  <c r="C949" i="1"/>
  <c r="C98" i="1" a="1"/>
  <c r="C98" i="1"/>
  <c r="C115" i="1" a="1"/>
  <c r="C115" i="1"/>
  <c r="C809" i="1" a="1"/>
  <c r="C809" i="1"/>
  <c r="C894" i="1" a="1"/>
  <c r="C894" i="1"/>
  <c r="C980" i="1" a="1"/>
  <c r="C980" i="1"/>
  <c r="C686" i="1" a="1"/>
  <c r="C686" i="1"/>
  <c r="C402" i="1" a="1"/>
  <c r="C402" i="1"/>
  <c r="C769" i="1" a="1"/>
  <c r="C769" i="1"/>
  <c r="C215" i="1" a="1"/>
  <c r="C215" i="1"/>
  <c r="C652" i="1" a="1"/>
  <c r="C652" i="1"/>
  <c r="C590" i="1" a="1"/>
  <c r="C590" i="1"/>
  <c r="C664" i="1" a="1"/>
  <c r="C664" i="1"/>
  <c r="C28" i="1" a="1"/>
  <c r="C28" i="1"/>
  <c r="C943" i="1" a="1"/>
  <c r="C943" i="1"/>
  <c r="C279" i="1" a="1"/>
  <c r="C279" i="1"/>
  <c r="C363" i="1" a="1"/>
  <c r="C363" i="1"/>
  <c r="C676" i="1" a="1"/>
  <c r="C676" i="1"/>
  <c r="C960" i="1" a="1"/>
  <c r="C960" i="1"/>
  <c r="C79" i="1" a="1"/>
  <c r="C79" i="1"/>
  <c r="C711" i="1" a="1"/>
  <c r="C711" i="1"/>
  <c r="C911" i="1" a="1"/>
  <c r="C911" i="1"/>
  <c r="C244" i="1" a="1"/>
  <c r="C244" i="1"/>
  <c r="C100" i="1" a="1"/>
  <c r="C100" i="1"/>
  <c r="C508" i="1" a="1"/>
  <c r="C508" i="1"/>
  <c r="C243" i="1" a="1"/>
  <c r="C243" i="1"/>
  <c r="C556" i="1" a="1"/>
  <c r="C556" i="1"/>
  <c r="C702" i="1" a="1"/>
  <c r="C702" i="1"/>
  <c r="C271" i="1" a="1"/>
  <c r="C271" i="1"/>
  <c r="C653" i="1" a="1"/>
  <c r="C653" i="1"/>
  <c r="C762" i="1" a="1"/>
  <c r="C762" i="1"/>
  <c r="C473" i="1" a="1"/>
  <c r="C473" i="1"/>
  <c r="C709" i="1" a="1"/>
  <c r="C709" i="1"/>
  <c r="C143" i="1" a="1"/>
  <c r="C143" i="1"/>
  <c r="C325" i="1" a="1"/>
  <c r="C325" i="1"/>
  <c r="C553" i="1" a="1"/>
  <c r="C553" i="1"/>
  <c r="C329" i="1" a="1"/>
  <c r="C329" i="1"/>
  <c r="C394" i="1" a="1"/>
  <c r="C394" i="1"/>
  <c r="C338" i="1" a="1"/>
  <c r="C338" i="1"/>
  <c r="C331" i="1" a="1"/>
  <c r="C331" i="1"/>
  <c r="C300" i="1" a="1"/>
  <c r="C300" i="1"/>
  <c r="C296" i="1" a="1"/>
  <c r="C296" i="1"/>
  <c r="C972" i="1" a="1"/>
  <c r="C972" i="1"/>
  <c r="C157" i="1" a="1"/>
  <c r="C157" i="1"/>
  <c r="C222" i="1" a="1"/>
  <c r="C222" i="1"/>
  <c r="C482" i="1" a="1"/>
  <c r="C482" i="1"/>
  <c r="C428" i="1" a="1"/>
  <c r="C428" i="1"/>
  <c r="C106" i="1" a="1"/>
  <c r="C106" i="1"/>
  <c r="C532" i="1" a="1"/>
  <c r="C532" i="1"/>
  <c r="C168" i="1" a="1"/>
  <c r="C168" i="1"/>
  <c r="C720" i="1" a="1"/>
  <c r="C720" i="1"/>
  <c r="C721" i="1" a="1"/>
  <c r="C721" i="1"/>
  <c r="C722" i="1" a="1"/>
  <c r="C722" i="1"/>
  <c r="C358" i="1" a="1"/>
  <c r="C358" i="1"/>
  <c r="C424" i="1" a="1"/>
  <c r="C424" i="1"/>
  <c r="C443" i="1" a="1"/>
  <c r="C443" i="1"/>
  <c r="C811" i="1" a="1"/>
  <c r="C811" i="1"/>
  <c r="C393" i="1" a="1"/>
  <c r="C393" i="1"/>
  <c r="C442" i="1" a="1"/>
  <c r="C442" i="1"/>
  <c r="C207" i="1" a="1"/>
  <c r="C207" i="1"/>
  <c r="C193" i="1" a="1"/>
  <c r="C193" i="1"/>
  <c r="C34" i="1" a="1"/>
  <c r="C34" i="1"/>
  <c r="C446" i="1" a="1"/>
  <c r="C446" i="1"/>
  <c r="C175" i="1" a="1"/>
  <c r="C175" i="1"/>
  <c r="C955" i="1" a="1"/>
  <c r="C955" i="1"/>
  <c r="C307" i="1" a="1"/>
  <c r="C307" i="1"/>
  <c r="C847" i="1" a="1"/>
  <c r="C847" i="1"/>
  <c r="C165" i="1" a="1"/>
  <c r="C165" i="1"/>
  <c r="C110" i="1" a="1"/>
  <c r="C110" i="1"/>
  <c r="C430" i="1" a="1"/>
  <c r="C430" i="1"/>
  <c r="C930" i="1" a="1"/>
  <c r="C930" i="1"/>
  <c r="C506" i="1" a="1"/>
  <c r="C506" i="1"/>
  <c r="C86" i="1" a="1"/>
  <c r="C86" i="1"/>
  <c r="C252" i="1" a="1"/>
  <c r="C252" i="1"/>
  <c r="C284" i="1" a="1"/>
  <c r="C284" i="1"/>
  <c r="C51" i="1" a="1"/>
  <c r="C51" i="1"/>
  <c r="C620" i="1" a="1"/>
  <c r="C620" i="1"/>
  <c r="C334" i="1" a="1"/>
  <c r="C334" i="1"/>
  <c r="C589" i="1" a="1"/>
  <c r="C589" i="1"/>
  <c r="C848" i="1" a="1"/>
  <c r="C848" i="1"/>
  <c r="C912" i="1" a="1"/>
  <c r="C912" i="1"/>
  <c r="C999" i="1" a="1"/>
  <c r="C999" i="1"/>
  <c r="C330" i="1" a="1"/>
  <c r="C330" i="1"/>
  <c r="C335" i="1" a="1"/>
  <c r="C335" i="1"/>
  <c r="C644" i="1" a="1"/>
  <c r="C644" i="1"/>
  <c r="C774" i="1" a="1"/>
  <c r="C774" i="1"/>
  <c r="C981" i="1" a="1"/>
  <c r="C981" i="1"/>
  <c r="C434" i="1" a="1"/>
  <c r="C434" i="1"/>
  <c r="C681" i="1" a="1"/>
  <c r="C681" i="1"/>
  <c r="C568" i="1" a="1"/>
  <c r="C568" i="1"/>
  <c r="C944" i="1" a="1"/>
  <c r="C944" i="1"/>
  <c r="C708" i="1" a="1"/>
  <c r="C708" i="1"/>
  <c r="C908" i="1" a="1"/>
  <c r="C908" i="1"/>
  <c r="C43" i="1" a="1"/>
  <c r="C43" i="1"/>
  <c r="C528" i="1" a="1"/>
  <c r="C528" i="1"/>
  <c r="C603" i="1" a="1"/>
  <c r="C603" i="1"/>
  <c r="C158" i="1" a="1"/>
  <c r="C158" i="1"/>
  <c r="C648" i="1" a="1"/>
  <c r="C648" i="1"/>
  <c r="C739" i="1" a="1"/>
  <c r="C739" i="1"/>
  <c r="C267" i="1" a="1"/>
  <c r="C267" i="1"/>
  <c r="C167" i="1" a="1"/>
  <c r="C167" i="1"/>
  <c r="C18" i="1" a="1"/>
  <c r="C18" i="1"/>
  <c r="C354" i="1" a="1"/>
  <c r="C354" i="1"/>
  <c r="C30" i="1" a="1"/>
  <c r="C30" i="1"/>
  <c r="C965" i="1" a="1"/>
  <c r="C965" i="1"/>
  <c r="C89" i="1" a="1"/>
  <c r="C89" i="1"/>
  <c r="C275" i="1" a="1"/>
  <c r="C275" i="1"/>
  <c r="C26" i="1" a="1"/>
  <c r="C26" i="1"/>
  <c r="C785" i="1" a="1"/>
  <c r="C785" i="1"/>
  <c r="C596" i="1" a="1"/>
  <c r="C596" i="1"/>
  <c r="C954" i="1" a="1"/>
  <c r="C954" i="1"/>
  <c r="C64" i="1" a="1"/>
  <c r="C64" i="1"/>
  <c r="C896" i="1" a="1"/>
  <c r="C896" i="1"/>
  <c r="C29" i="1" a="1"/>
  <c r="C29" i="1"/>
  <c r="C826" i="1" a="1"/>
  <c r="C826" i="1"/>
  <c r="C348" i="1" a="1"/>
  <c r="C348" i="1"/>
  <c r="C369" i="1" a="1"/>
  <c r="C369" i="1"/>
  <c r="C996" i="1" a="1"/>
  <c r="C996" i="1"/>
  <c r="C917" i="1" a="1"/>
  <c r="C917" i="1"/>
  <c r="C989" i="1" a="1"/>
  <c r="C989" i="1"/>
  <c r="C396" i="1" a="1"/>
  <c r="C396" i="1"/>
  <c r="C731" i="1" a="1"/>
  <c r="C731" i="1"/>
  <c r="C700" i="1" a="1"/>
  <c r="C700" i="1"/>
  <c r="C356" i="1" a="1"/>
  <c r="C356" i="1"/>
  <c r="C126" i="1" a="1"/>
  <c r="C126" i="1"/>
  <c r="C203" i="1" a="1"/>
  <c r="C203" i="1"/>
  <c r="C863" i="1" a="1"/>
  <c r="C863" i="1"/>
  <c r="C795" i="1" a="1"/>
  <c r="C795" i="1"/>
  <c r="C855" i="1" a="1"/>
  <c r="C855" i="1"/>
  <c r="C629" i="1" a="1"/>
  <c r="C629" i="1"/>
  <c r="C14" i="1" a="1"/>
  <c r="C14" i="1"/>
  <c r="C314" i="1" a="1"/>
  <c r="C314" i="1"/>
  <c r="C969" i="1" a="1"/>
  <c r="C969" i="1"/>
  <c r="C190" i="1" a="1"/>
  <c r="C190" i="1"/>
  <c r="C199" i="1" a="1"/>
  <c r="C199" i="1"/>
  <c r="C179" i="1" a="1"/>
  <c r="C179" i="1"/>
  <c r="C559" i="1" a="1"/>
  <c r="C559" i="1"/>
  <c r="C255" i="1" a="1"/>
  <c r="C255" i="1"/>
  <c r="C42" i="1" a="1"/>
  <c r="C42" i="1"/>
  <c r="C611" i="1" a="1"/>
  <c r="C611" i="1"/>
  <c r="C550" i="1" a="1"/>
  <c r="C550" i="1"/>
  <c r="C630" i="1" a="1"/>
  <c r="C630" i="1"/>
  <c r="C614" i="1" a="1"/>
  <c r="C614" i="1"/>
  <c r="C869" i="1" a="1"/>
  <c r="C869" i="1"/>
  <c r="C834" i="1" a="1"/>
  <c r="C834" i="1"/>
  <c r="C102" i="1" a="1"/>
  <c r="C102" i="1"/>
  <c r="C668" i="1" a="1"/>
  <c r="C668" i="1"/>
  <c r="C754" i="1" a="1"/>
  <c r="C754" i="1"/>
  <c r="C418" i="1" a="1"/>
  <c r="C418" i="1"/>
  <c r="C588" i="1" a="1"/>
  <c r="C588" i="1"/>
  <c r="C124" i="1" a="1"/>
  <c r="C124" i="1"/>
  <c r="C419" i="1" a="1"/>
  <c r="C419" i="1"/>
  <c r="C727" i="1" a="1"/>
  <c r="C727" i="1"/>
  <c r="C977" i="1" a="1"/>
  <c r="C977" i="1"/>
  <c r="C915" i="1" a="1"/>
  <c r="C915" i="1"/>
  <c r="C9" i="1" a="1"/>
  <c r="C9" i="1"/>
  <c r="C135" i="1" a="1"/>
  <c r="C135" i="1"/>
  <c r="C453" i="1" a="1"/>
  <c r="C453" i="1"/>
  <c r="C412" i="1" a="1"/>
  <c r="C412" i="1"/>
  <c r="C468" i="1" a="1"/>
  <c r="C468" i="1"/>
  <c r="C547" i="1" a="1"/>
  <c r="C547" i="1"/>
  <c r="C382" i="1" a="1"/>
  <c r="C382" i="1"/>
  <c r="C154" i="1" a="1"/>
  <c r="C154" i="1"/>
  <c r="C806" i="1" a="1"/>
  <c r="C806" i="1"/>
  <c r="C374" i="1" a="1"/>
  <c r="C374" i="1"/>
  <c r="C438" i="1" a="1"/>
  <c r="C438" i="1"/>
  <c r="C170" i="1" a="1"/>
  <c r="C170" i="1"/>
  <c r="C299" i="1" a="1"/>
  <c r="C299" i="1"/>
  <c r="C46" i="1" a="1"/>
  <c r="C46" i="1"/>
  <c r="C333" i="1" a="1"/>
  <c r="C333" i="1"/>
  <c r="C478" i="1" a="1"/>
  <c r="C478" i="1"/>
  <c r="C256" i="1" a="1"/>
  <c r="C256" i="1"/>
  <c r="C323" i="1" a="1"/>
  <c r="C323" i="1"/>
  <c r="C328" i="1" a="1"/>
  <c r="C328" i="1"/>
  <c r="C504" i="1" a="1"/>
  <c r="C504" i="1"/>
  <c r="C544" i="1" a="1"/>
  <c r="C544" i="1"/>
  <c r="C461" i="1" a="1"/>
  <c r="C461" i="1"/>
  <c r="C401" i="1" a="1"/>
  <c r="C401" i="1"/>
  <c r="C269" i="1" a="1"/>
  <c r="C269" i="1"/>
  <c r="C953" i="1" a="1"/>
  <c r="C953" i="1"/>
  <c r="C454" i="1" a="1"/>
  <c r="C454" i="1"/>
  <c r="C751" i="1" a="1"/>
  <c r="C751" i="1"/>
  <c r="C390" i="1" a="1"/>
  <c r="C390" i="1"/>
  <c r="C592" i="1" a="1"/>
  <c r="C592" i="1"/>
  <c r="C536" i="1" a="1"/>
  <c r="C536" i="1"/>
  <c r="C423" i="1" a="1"/>
  <c r="C423" i="1"/>
  <c r="C294" i="1" a="1"/>
  <c r="C294" i="1"/>
  <c r="C798" i="1" a="1"/>
  <c r="C798" i="1"/>
  <c r="C120" i="1" a="1"/>
  <c r="C120" i="1"/>
  <c r="C164" i="1" a="1"/>
  <c r="C164" i="1"/>
  <c r="C83" i="1" a="1"/>
  <c r="C83" i="1"/>
  <c r="C249" i="1" a="1"/>
  <c r="C249" i="1"/>
  <c r="C538" i="1" a="1"/>
  <c r="C538" i="1"/>
  <c r="C383" i="1" a="1"/>
  <c r="C383" i="1"/>
  <c r="C59" i="1" a="1"/>
  <c r="C59" i="1"/>
  <c r="C495" i="1" a="1"/>
  <c r="C495" i="1"/>
  <c r="C966" i="1" a="1"/>
  <c r="C966" i="1"/>
  <c r="C31" i="1" a="1"/>
  <c r="C31" i="1"/>
  <c r="C414" i="1" a="1"/>
  <c r="C414" i="1"/>
  <c r="C646" i="1" a="1"/>
  <c r="C646" i="1"/>
  <c r="C310" i="1" a="1"/>
  <c r="C310" i="1"/>
  <c r="C876" i="1" a="1"/>
  <c r="C876" i="1"/>
  <c r="C361" i="1" a="1"/>
  <c r="C361" i="1"/>
  <c r="C808" i="1" a="1"/>
  <c r="C808" i="1"/>
  <c r="C500" i="1" a="1"/>
  <c r="C500" i="1"/>
  <c r="C726" i="1" a="1"/>
  <c r="C726" i="1"/>
  <c r="C842" i="1" a="1"/>
  <c r="C842" i="1"/>
  <c r="C368" i="1" a="1"/>
  <c r="C368" i="1"/>
  <c r="C817" i="1" a="1"/>
  <c r="C817" i="1"/>
  <c r="C189" i="1" a="1"/>
  <c r="C189" i="1"/>
  <c r="C746" i="1" a="1"/>
  <c r="C746" i="1"/>
  <c r="C282" i="1" a="1"/>
  <c r="C282" i="1"/>
  <c r="C489" i="1" a="1"/>
  <c r="C489" i="1"/>
  <c r="C823" i="1" a="1"/>
  <c r="C823" i="1"/>
  <c r="C649" i="1" a="1"/>
  <c r="C649" i="1"/>
  <c r="C35" i="1" a="1"/>
  <c r="C35" i="1"/>
  <c r="C916" i="1" a="1"/>
  <c r="C916" i="1"/>
  <c r="C433" i="1" a="1"/>
  <c r="C433" i="1"/>
  <c r="C602" i="1" a="1"/>
  <c r="C602" i="1"/>
  <c r="C958" i="1" a="1"/>
  <c r="C958" i="1"/>
  <c r="C998" i="1" a="1"/>
  <c r="C998" i="1"/>
  <c r="C608" i="1" a="1"/>
  <c r="C608" i="1"/>
  <c r="C951" i="1" a="1"/>
  <c r="C951" i="1"/>
  <c r="C595" i="1" a="1"/>
  <c r="C595" i="1"/>
  <c r="C47" i="1" a="1"/>
  <c r="C47" i="1"/>
  <c r="C673" i="1" a="1"/>
  <c r="C673" i="1"/>
  <c r="C155" i="1" a="1"/>
  <c r="C155" i="1"/>
  <c r="C935" i="1" a="1"/>
  <c r="C935" i="1"/>
  <c r="C221" i="1" a="1"/>
  <c r="C221" i="1"/>
  <c r="C392" i="1" a="1"/>
  <c r="C392" i="1"/>
  <c r="C91" i="1" a="1"/>
  <c r="C91" i="1"/>
  <c r="C505" i="1" a="1"/>
  <c r="C505" i="1"/>
  <c r="C780" i="1" a="1"/>
  <c r="C780" i="1"/>
  <c r="C997" i="1" a="1"/>
  <c r="C997" i="1"/>
  <c r="C514" i="1" a="1"/>
  <c r="C514" i="1"/>
  <c r="C353" i="1" a="1"/>
  <c r="C353" i="1"/>
  <c r="C987" i="1" a="1"/>
  <c r="C987" i="1"/>
  <c r="C576" i="1" a="1"/>
  <c r="C576" i="1"/>
  <c r="C914" i="1" a="1"/>
  <c r="C914" i="1"/>
  <c r="C658" i="1" a="1"/>
  <c r="C658" i="1"/>
  <c r="C263" i="1" a="1"/>
  <c r="C263" i="1"/>
  <c r="C580" i="1" a="1"/>
  <c r="C580" i="1"/>
  <c r="C341" i="1" a="1"/>
  <c r="C341" i="1"/>
  <c r="C50" i="1" a="1"/>
  <c r="C50" i="1"/>
  <c r="C345" i="1" a="1"/>
  <c r="C345" i="1"/>
  <c r="C450" i="1" a="1"/>
  <c r="C450" i="1"/>
  <c r="C322" i="1" a="1"/>
  <c r="C322" i="1"/>
  <c r="C63" i="1" a="1"/>
  <c r="C63" i="1"/>
  <c r="C140" i="1" a="1"/>
  <c r="C140" i="1"/>
  <c r="C172" i="1" a="1"/>
  <c r="C172" i="1"/>
  <c r="C852" i="1" a="1"/>
  <c r="C852" i="1"/>
  <c r="C262" i="1" a="1"/>
  <c r="C262" i="1"/>
  <c r="C152" i="1" a="1"/>
  <c r="C152" i="1"/>
  <c r="C515" i="1" a="1"/>
  <c r="C515" i="1"/>
  <c r="C784" i="1" a="1"/>
  <c r="C784" i="1"/>
  <c r="C585" i="1" a="1"/>
  <c r="C585" i="1"/>
  <c r="C381" i="1" a="1"/>
  <c r="C381" i="1"/>
  <c r="C463" i="1" a="1"/>
  <c r="C463" i="1"/>
  <c r="C324" i="1" a="1"/>
  <c r="C324" i="1"/>
  <c r="C758" i="1" a="1"/>
  <c r="C758" i="1"/>
  <c r="C481" i="1" a="1"/>
  <c r="C481" i="1"/>
  <c r="C78" i="1" a="1"/>
  <c r="C78" i="1"/>
  <c r="C233" i="1" a="1"/>
  <c r="C233" i="1"/>
  <c r="C582" i="1" a="1"/>
  <c r="C582" i="1"/>
  <c r="C173" i="1" a="1"/>
  <c r="C173" i="1"/>
  <c r="C261" i="1" a="1"/>
  <c r="C261" i="1"/>
  <c r="C23" i="1" a="1"/>
  <c r="C23" i="1"/>
  <c r="C178" i="1" a="1"/>
  <c r="C178" i="1"/>
  <c r="C17" i="1" a="1"/>
  <c r="C17" i="1"/>
  <c r="C967" i="1" a="1"/>
  <c r="C967" i="1"/>
  <c r="C71" i="1" a="1"/>
  <c r="C71" i="1"/>
  <c r="C384" i="1" a="1"/>
  <c r="C384" i="1"/>
  <c r="C974" i="1" a="1"/>
  <c r="C974" i="1"/>
  <c r="C1001" i="1" a="1"/>
  <c r="C1001" i="1"/>
  <c r="C607" i="1" a="1"/>
  <c r="C607" i="1"/>
  <c r="C187" i="1" a="1"/>
  <c r="C187" i="1"/>
  <c r="C303" i="1" a="1"/>
  <c r="C303" i="1"/>
  <c r="C905" i="1" a="1"/>
  <c r="C905" i="1"/>
  <c r="C116" i="1" a="1"/>
  <c r="C116" i="1"/>
  <c r="C445" i="1" a="1"/>
  <c r="C445" i="1"/>
  <c r="C619" i="1" a="1"/>
  <c r="C619" i="1"/>
  <c r="C209" i="1" a="1"/>
  <c r="C209" i="1"/>
  <c r="C293" i="1" a="1"/>
  <c r="C293" i="1"/>
  <c r="C103" i="1" a="1"/>
  <c r="C103" i="1"/>
  <c r="C97" i="1" a="1"/>
  <c r="C97" i="1"/>
  <c r="C494" i="1" a="1"/>
  <c r="C494" i="1"/>
  <c r="C93" i="1" a="1"/>
  <c r="C93" i="1"/>
  <c r="C962" i="1" a="1"/>
  <c r="C962" i="1"/>
  <c r="C287" i="1" a="1"/>
  <c r="C287" i="1"/>
  <c r="C76" i="1" a="1"/>
  <c r="C76" i="1"/>
  <c r="C946" i="1" a="1"/>
  <c r="C946" i="1"/>
  <c r="C906" i="1" a="1"/>
  <c r="C906" i="1"/>
  <c r="C634" i="1" a="1"/>
  <c r="C634" i="1"/>
  <c r="C675" i="1" a="1"/>
  <c r="C675" i="1"/>
  <c r="C907" i="1" a="1"/>
  <c r="C907" i="1"/>
  <c r="C411" i="1" a="1"/>
  <c r="C411" i="1"/>
  <c r="C10" i="1" a="1"/>
  <c r="C10" i="1"/>
  <c r="C714" i="1" a="1"/>
  <c r="C714" i="1"/>
  <c r="C707" i="1" a="1"/>
  <c r="C707" i="1"/>
  <c r="C210" i="1" a="1"/>
  <c r="C210" i="1"/>
  <c r="C200" i="1" a="1"/>
  <c r="C200" i="1"/>
  <c r="C470" i="1" a="1"/>
  <c r="C470" i="1"/>
  <c r="C444" i="1" a="1"/>
  <c r="C444" i="1"/>
  <c r="C295" i="1" a="1"/>
  <c r="C295" i="1"/>
  <c r="C436" i="1" a="1"/>
  <c r="C436" i="1"/>
  <c r="C824" i="1" a="1"/>
  <c r="C824" i="1"/>
  <c r="C701" i="1" a="1"/>
  <c r="C701" i="1"/>
  <c r="C879" i="1" a="1"/>
  <c r="C879" i="1"/>
  <c r="C734" i="1" a="1"/>
  <c r="C734" i="1"/>
  <c r="C983" i="1" a="1"/>
  <c r="C983" i="1"/>
  <c r="C924" i="1" a="1"/>
  <c r="C924" i="1"/>
  <c r="C597" i="1" a="1"/>
  <c r="C597" i="1"/>
  <c r="C206" i="1" a="1"/>
  <c r="C206" i="1"/>
  <c r="C851" i="1" a="1"/>
  <c r="C851" i="1"/>
  <c r="C921" i="1" a="1"/>
  <c r="C921" i="1"/>
  <c r="C159" i="1" a="1"/>
  <c r="C159" i="1"/>
  <c r="C679" i="1" a="1"/>
  <c r="C679" i="1"/>
  <c r="C130" i="1" a="1"/>
  <c r="C130" i="1"/>
  <c r="C728" i="1" a="1"/>
  <c r="C728" i="1"/>
  <c r="C586" i="1" a="1"/>
  <c r="C586" i="1"/>
  <c r="C182" i="1" a="1"/>
  <c r="C182" i="1"/>
  <c r="C313" i="1" a="1"/>
  <c r="C313" i="1"/>
  <c r="C786" i="1" a="1"/>
  <c r="C786" i="1"/>
  <c r="C406" i="1" a="1"/>
  <c r="C406" i="1"/>
  <c r="C745" i="1" a="1"/>
  <c r="C745" i="1"/>
  <c r="C612" i="1" a="1"/>
  <c r="C612" i="1"/>
  <c r="C886" i="1" a="1"/>
  <c r="C886" i="1"/>
  <c r="C283" i="1" a="1"/>
  <c r="C283" i="1"/>
  <c r="C609" i="1" a="1"/>
  <c r="C609" i="1"/>
  <c r="C794" i="1" a="1"/>
  <c r="C794" i="1"/>
  <c r="C643" i="1" a="1"/>
  <c r="C643" i="1"/>
  <c r="C768" i="1" a="1"/>
  <c r="C768" i="1"/>
  <c r="C830" i="1" a="1"/>
  <c r="C830" i="1"/>
  <c r="C166" i="1" a="1"/>
  <c r="C166" i="1"/>
  <c r="C893" i="1" a="1"/>
  <c r="C893" i="1"/>
  <c r="C114" i="1" a="1"/>
  <c r="C114" i="1"/>
  <c r="C883" i="1" a="1"/>
  <c r="C883" i="1"/>
  <c r="C462" i="1" a="1"/>
  <c r="C462" i="1"/>
  <c r="C398" i="1" a="1"/>
  <c r="C398" i="1"/>
  <c r="C698" i="1" a="1"/>
  <c r="C698" i="1"/>
  <c r="C635" i="1" a="1"/>
  <c r="C635" i="1"/>
  <c r="C258" i="1" a="1"/>
  <c r="C258" i="1"/>
  <c r="C74" i="1" a="1"/>
  <c r="C74" i="1"/>
  <c r="C600" i="1" a="1"/>
  <c r="C600" i="1"/>
  <c r="C234" i="1" a="1"/>
  <c r="C234" i="1"/>
  <c r="C624" i="1" a="1"/>
  <c r="C624" i="1"/>
  <c r="C733" i="1" a="1"/>
  <c r="C733" i="1"/>
  <c r="C132" i="1" a="1"/>
  <c r="C132" i="1"/>
  <c r="C472" i="1" a="1"/>
  <c r="C472" i="1"/>
  <c r="C183" i="1" a="1"/>
  <c r="C183" i="1"/>
  <c r="C862" i="1" a="1"/>
  <c r="C862" i="1"/>
  <c r="C250" i="1" a="1"/>
  <c r="C250" i="1"/>
  <c r="C231" i="1" a="1"/>
  <c r="C231" i="1"/>
  <c r="C82" i="1" a="1"/>
  <c r="C82" i="1"/>
  <c r="C513" i="1" a="1"/>
  <c r="C513" i="1"/>
  <c r="C583" i="1" a="1"/>
  <c r="C583" i="1"/>
  <c r="C153" i="1" a="1"/>
  <c r="C153" i="1"/>
  <c r="C691" i="1" a="1"/>
  <c r="C691" i="1"/>
  <c r="C976" i="1" a="1"/>
  <c r="C976" i="1"/>
  <c r="C60" i="1" a="1"/>
  <c r="C60" i="1"/>
  <c r="C934" i="1" a="1"/>
  <c r="C934" i="1"/>
  <c r="C488" i="1" a="1"/>
  <c r="C488" i="1"/>
  <c r="C426" i="1" a="1"/>
  <c r="C426" i="1"/>
  <c r="C564" i="1" a="1"/>
  <c r="C564" i="1"/>
  <c r="C737" i="1" a="1"/>
  <c r="C737" i="1"/>
  <c r="C571" i="1" a="1"/>
  <c r="C571" i="1"/>
  <c r="C469" i="1" a="1"/>
  <c r="C469" i="1"/>
  <c r="C846" i="1" a="1"/>
  <c r="C846" i="1"/>
  <c r="C803" i="1" a="1"/>
  <c r="C803" i="1"/>
  <c r="C12" i="1" a="1"/>
  <c r="C12" i="1"/>
  <c r="C537" i="1" a="1"/>
  <c r="C537" i="1"/>
  <c r="C235" i="1" a="1"/>
  <c r="C235" i="1"/>
  <c r="C523" i="1" a="1"/>
  <c r="C523" i="1"/>
  <c r="C490" i="1" a="1"/>
  <c r="C490" i="1"/>
  <c r="C339" i="1" a="1"/>
  <c r="C339" i="1"/>
  <c r="C601" i="1" a="1"/>
  <c r="C601" i="1"/>
  <c r="C289" i="1" a="1"/>
  <c r="C289" i="1"/>
  <c r="C520" i="1" a="1"/>
  <c r="C520" i="1"/>
  <c r="C317" i="1" a="1"/>
  <c r="C317" i="1"/>
  <c r="C890" i="1" a="1"/>
  <c r="C890" i="1"/>
  <c r="C420" i="1" a="1"/>
  <c r="C420" i="1"/>
  <c r="C984" i="1" a="1"/>
  <c r="C984" i="1"/>
  <c r="C986" i="1" a="1"/>
  <c r="C986" i="1"/>
  <c r="C290" i="1" a="1"/>
  <c r="C290" i="1"/>
  <c r="C680" i="1" a="1"/>
  <c r="C680" i="1"/>
  <c r="C405" i="1" a="1"/>
  <c r="C405" i="1"/>
  <c r="C73" i="1" a="1"/>
  <c r="C73" i="1"/>
  <c r="C141" i="1" a="1"/>
  <c r="C141" i="1"/>
  <c r="C397" i="1" a="1"/>
  <c r="C397" i="1"/>
  <c r="C431" i="1" a="1"/>
  <c r="C431" i="1"/>
  <c r="C404" i="1" a="1"/>
  <c r="C404" i="1"/>
  <c r="C373" i="1" a="1"/>
  <c r="C373" i="1"/>
  <c r="C991" i="1" a="1"/>
  <c r="C991" i="1"/>
  <c r="C904" i="1" a="1"/>
  <c r="C904" i="1"/>
  <c r="C563" i="1" a="1"/>
  <c r="C563" i="1"/>
  <c r="C101" i="1" a="1"/>
  <c r="C101" i="1"/>
  <c r="C298" i="1" a="1"/>
  <c r="C298" i="1"/>
  <c r="C783" i="1" a="1"/>
  <c r="C783" i="1"/>
  <c r="C825" i="1" a="1"/>
  <c r="C825" i="1"/>
  <c r="C587" i="1" a="1"/>
  <c r="C587" i="1"/>
  <c r="C57" i="1" a="1"/>
  <c r="C57" i="1"/>
  <c r="C822" i="1" a="1"/>
  <c r="C822" i="1"/>
  <c r="C292" i="1" a="1"/>
  <c r="C292" i="1"/>
  <c r="C67" i="1" a="1"/>
  <c r="C67" i="1"/>
  <c r="C224" i="1" a="1"/>
  <c r="C224" i="1"/>
  <c r="C151" i="1" a="1"/>
  <c r="C151" i="1"/>
  <c r="C779" i="1" a="1"/>
  <c r="C779" i="1"/>
  <c r="C487" i="1" a="1"/>
  <c r="C487" i="1"/>
  <c r="C266" i="1" a="1"/>
  <c r="C266" i="1"/>
  <c r="C343" i="1" a="1"/>
  <c r="C343" i="1"/>
  <c r="C37" i="1" a="1"/>
  <c r="C37" i="1"/>
  <c r="C575" i="1" a="1"/>
  <c r="C575" i="1"/>
  <c r="C134" i="1" a="1"/>
  <c r="C134" i="1"/>
  <c r="C125" i="1" a="1"/>
  <c r="C125" i="1"/>
  <c r="C788" i="1" a="1"/>
  <c r="C788" i="1"/>
  <c r="C844" i="1" a="1"/>
  <c r="C844" i="1"/>
  <c r="C344" i="1" a="1"/>
  <c r="C344" i="1"/>
  <c r="C274" i="1" a="1"/>
  <c r="C274" i="1"/>
  <c r="C782" i="1" a="1"/>
  <c r="C782" i="1"/>
  <c r="C499" i="1" a="1"/>
  <c r="C499" i="1"/>
  <c r="C485" i="1" a="1"/>
  <c r="C485" i="1"/>
  <c r="C979" i="1" a="1"/>
  <c r="C979" i="1"/>
  <c r="C992" i="1" a="1"/>
  <c r="C992" i="1"/>
  <c r="C632" i="1" a="1"/>
  <c r="C632" i="1"/>
  <c r="C678" i="1" a="1"/>
  <c r="C678" i="1"/>
  <c r="C230" i="1" a="1"/>
  <c r="C230" i="1"/>
  <c r="C797" i="1" a="1"/>
  <c r="C797" i="1"/>
  <c r="C900" i="1" a="1"/>
  <c r="C900" i="1"/>
  <c r="C377" i="1" a="1"/>
  <c r="C377" i="1"/>
  <c r="C919" i="1" a="1"/>
  <c r="C919" i="1"/>
  <c r="C281" i="1" a="1"/>
  <c r="C281" i="1"/>
  <c r="C975" i="1" a="1"/>
  <c r="C975" i="1"/>
  <c r="C521" i="1" a="1"/>
  <c r="C521" i="1"/>
  <c r="C899" i="1" a="1"/>
  <c r="C899" i="1"/>
  <c r="C121" i="1" a="1"/>
  <c r="C121" i="1"/>
  <c r="C530" i="1" a="1"/>
  <c r="C530" i="1"/>
  <c r="C268" i="1" a="1"/>
  <c r="C268" i="1"/>
  <c r="C477" i="1" a="1"/>
  <c r="C477" i="1"/>
  <c r="C522" i="1" a="1"/>
  <c r="C522" i="1"/>
  <c r="C656" i="1" a="1"/>
  <c r="C656" i="1"/>
  <c r="C540" i="1" a="1"/>
  <c r="C540" i="1"/>
  <c r="C449" i="1" a="1"/>
  <c r="C449" i="1"/>
  <c r="C772" i="1" a="1"/>
  <c r="C772" i="1"/>
  <c r="C655" i="1" a="1"/>
  <c r="C655" i="1"/>
  <c r="C618" i="1" a="1"/>
  <c r="C618" i="1"/>
  <c r="C527" i="1" a="1"/>
  <c r="C527" i="1"/>
  <c r="C129" i="1" a="1"/>
  <c r="C129" i="1"/>
  <c r="C257" i="1" a="1"/>
  <c r="C257" i="1"/>
  <c r="C387" i="1" a="1"/>
  <c r="C387" i="1"/>
  <c r="C288" i="1" a="1"/>
  <c r="C288" i="1"/>
  <c r="C640" i="1" a="1"/>
  <c r="C640" i="1"/>
  <c r="C451" i="1" a="1"/>
  <c r="C451" i="1"/>
  <c r="C605" i="1" a="1"/>
  <c r="C605" i="1"/>
  <c r="C205" i="1" a="1"/>
  <c r="C205" i="1"/>
  <c r="C49" i="1" a="1"/>
  <c r="C49" i="1"/>
  <c r="C417" i="1" a="1"/>
  <c r="C417" i="1"/>
  <c r="C352" i="1" a="1"/>
  <c r="C352" i="1"/>
  <c r="C666" i="1" a="1"/>
  <c r="C666" i="1"/>
  <c r="C448" i="1" a="1"/>
  <c r="C448" i="1"/>
  <c r="C81" i="1" a="1"/>
  <c r="C81" i="1"/>
  <c r="C705" i="1" a="1"/>
  <c r="C705" i="1"/>
  <c r="C92" i="1" a="1"/>
  <c r="C92" i="1"/>
  <c r="C285" i="1" a="1"/>
  <c r="C285" i="1"/>
  <c r="C753" i="1" a="1"/>
  <c r="C753" i="1"/>
  <c r="C380" i="1" a="1"/>
  <c r="C380" i="1"/>
  <c r="C260" i="1" a="1"/>
  <c r="C260" i="1"/>
  <c r="C850" i="1" a="1"/>
  <c r="C850" i="1"/>
  <c r="C802" i="1" a="1"/>
  <c r="C802" i="1"/>
  <c r="C928" i="1" a="1"/>
  <c r="C928" i="1"/>
  <c r="C229" i="1" a="1"/>
  <c r="C229" i="1"/>
  <c r="C362" i="1" a="1"/>
  <c r="C362" i="1"/>
  <c r="C321" i="1" a="1"/>
  <c r="C321" i="1"/>
  <c r="C239" i="1" a="1"/>
  <c r="C239" i="1"/>
  <c r="C359" i="1" a="1"/>
  <c r="C359" i="1"/>
  <c r="C316" i="1" a="1"/>
  <c r="C316" i="1"/>
  <c r="C68" i="1" a="1"/>
  <c r="C68" i="1"/>
  <c r="C606" i="1" a="1"/>
  <c r="C606" i="1"/>
  <c r="C441" i="1" a="1"/>
  <c r="C441" i="1"/>
  <c r="C833" i="1" a="1"/>
  <c r="C833" i="1"/>
  <c r="C695" i="1" a="1"/>
  <c r="C695" i="1"/>
  <c r="C137" i="1" a="1"/>
  <c r="C137" i="1"/>
  <c r="C503" i="1" a="1"/>
  <c r="C503" i="1"/>
  <c r="C202" i="1" a="1"/>
  <c r="C202" i="1"/>
  <c r="C302" i="1" a="1"/>
  <c r="C302" i="1"/>
  <c r="C70" i="1" a="1"/>
  <c r="C70" i="1"/>
  <c r="C882" i="1" a="1"/>
  <c r="C882" i="1"/>
  <c r="C518" i="1" a="1"/>
  <c r="C518" i="1"/>
  <c r="C201" i="1" a="1"/>
  <c r="C201" i="1"/>
  <c r="C864" i="1" a="1"/>
  <c r="C864" i="1"/>
  <c r="C177" i="1" a="1"/>
  <c r="C177" i="1"/>
  <c r="C861" i="1" a="1"/>
  <c r="C861" i="1"/>
  <c r="C730" i="1" a="1"/>
  <c r="C730" i="1"/>
  <c r="C732" i="1" a="1"/>
  <c r="C732" i="1"/>
  <c r="C277" i="1" a="1"/>
  <c r="C277" i="1"/>
  <c r="C8" i="1" a="1"/>
  <c r="C8" i="1"/>
  <c r="C138" i="1" a="1"/>
  <c r="C138" i="1"/>
  <c r="C332" i="1" a="1"/>
  <c r="C332" i="1"/>
  <c r="C829" i="1" a="1"/>
  <c r="C829" i="1"/>
  <c r="C347" i="1" a="1"/>
  <c r="C347" i="1"/>
  <c r="C633" i="1" a="1"/>
  <c r="C633" i="1"/>
  <c r="C466" i="1" a="1"/>
  <c r="C466" i="1"/>
  <c r="C927" i="1" a="1"/>
  <c r="C927" i="1"/>
  <c r="C122" i="1" a="1"/>
  <c r="C122" i="1"/>
  <c r="C416" i="1" a="1"/>
  <c r="C416" i="1"/>
  <c r="C62" i="1" a="1"/>
  <c r="C62" i="1"/>
  <c r="C238" i="1" a="1"/>
  <c r="C238" i="1"/>
  <c r="C163" i="1" a="1"/>
  <c r="C163" i="1"/>
  <c r="C53" i="1" a="1"/>
  <c r="C53" i="1"/>
  <c r="C457" i="1" a="1"/>
  <c r="C457" i="1"/>
  <c r="C778" i="1" a="1"/>
  <c r="C778" i="1"/>
  <c r="C16" i="1" a="1"/>
  <c r="C16" i="1"/>
  <c r="C360" i="1" a="1"/>
  <c r="C360" i="1"/>
  <c r="C286" i="1" a="1"/>
  <c r="C286" i="1"/>
  <c r="C188" i="1" a="1"/>
  <c r="C188" i="1"/>
  <c r="C814" i="1" a="1"/>
  <c r="C814" i="1"/>
  <c r="C471" i="1" a="1"/>
  <c r="C471" i="1"/>
  <c r="C85" i="1" a="1"/>
  <c r="C85" i="1"/>
  <c r="C667" i="1" a="1"/>
  <c r="C667" i="1"/>
  <c r="C641" i="1" a="1"/>
  <c r="C641" i="1"/>
  <c r="C770" i="1" a="1"/>
  <c r="C770" i="1"/>
  <c r="C706" i="1" a="1"/>
  <c r="C706" i="1"/>
  <c r="C813" i="1" a="1"/>
  <c r="C813" i="1"/>
  <c r="C456" i="1" a="1"/>
  <c r="C456" i="1"/>
  <c r="C240" i="1" a="1"/>
  <c r="C240" i="1"/>
  <c r="C519" i="1" a="1"/>
  <c r="C519" i="1"/>
  <c r="C845" i="1" a="1"/>
  <c r="C845" i="1"/>
  <c r="C642" i="1" a="1"/>
  <c r="C642" i="1"/>
  <c r="C567" i="1" a="1"/>
  <c r="C567" i="1"/>
  <c r="C555" i="1" a="1"/>
  <c r="C555" i="1"/>
  <c r="C58" i="1" a="1"/>
  <c r="C58" i="1"/>
  <c r="C663" i="1" a="1"/>
  <c r="C663" i="1"/>
  <c r="C929" i="1" a="1"/>
  <c r="C929" i="1"/>
  <c r="C812" i="1" a="1"/>
  <c r="C812" i="1"/>
  <c r="C790" i="1" a="1"/>
  <c r="C790" i="1"/>
  <c r="C248" i="1" a="1"/>
  <c r="C248" i="1"/>
  <c r="C867" i="1" a="1"/>
  <c r="C867" i="1"/>
  <c r="C196" i="1" a="1"/>
  <c r="C196" i="1"/>
  <c r="C355" i="1" a="1"/>
  <c r="C355" i="1"/>
  <c r="C254" i="1" a="1"/>
  <c r="C254" i="1"/>
  <c r="C305" i="1" a="1"/>
  <c r="C305" i="1"/>
  <c r="C133" i="1" a="1"/>
  <c r="C133" i="1"/>
  <c r="C885" i="1" a="1"/>
  <c r="C885" i="1"/>
  <c r="C410" i="1" a="1"/>
  <c r="C410" i="1"/>
  <c r="C131" i="1" a="1"/>
  <c r="C131" i="1"/>
  <c r="C242" i="1" a="1"/>
  <c r="C242" i="1"/>
  <c r="C628" i="1" a="1"/>
  <c r="C628" i="1"/>
  <c r="C77" i="1" a="1"/>
  <c r="C77" i="1"/>
  <c r="C45" i="1" a="1"/>
  <c r="C45" i="1"/>
  <c r="C367" i="1" a="1"/>
  <c r="C367" i="1"/>
  <c r="C452" i="1" a="1"/>
  <c r="C452" i="1"/>
  <c r="C212" i="1" a="1"/>
  <c r="C212" i="1"/>
  <c r="C657" i="1" a="1"/>
  <c r="C657" i="1"/>
  <c r="C543" i="1" a="1"/>
  <c r="C543" i="1"/>
  <c r="C273" i="1" a="1"/>
  <c r="C273" i="1"/>
  <c r="C139" i="1" a="1"/>
  <c r="C139" i="1"/>
  <c r="C197" i="1" a="1"/>
  <c r="C197" i="1"/>
  <c r="C320" i="1" a="1"/>
  <c r="C320" i="1"/>
  <c r="C247" i="1" a="1"/>
  <c r="C247" i="1"/>
  <c r="C69" i="1" a="1"/>
  <c r="C69" i="1"/>
  <c r="C447" i="1" a="1"/>
  <c r="C447" i="1"/>
  <c r="C973" i="1" a="1"/>
  <c r="C973" i="1"/>
  <c r="C756" i="1" a="1"/>
  <c r="C756" i="1"/>
  <c r="C535" i="1" a="1"/>
  <c r="C535" i="1"/>
  <c r="C717" i="1" a="1"/>
  <c r="C717" i="1"/>
  <c r="C889" i="1" a="1"/>
  <c r="C889" i="1"/>
  <c r="C39" i="1" a="1"/>
  <c r="C39" i="1"/>
  <c r="C198" i="1" a="1"/>
  <c r="C198" i="1"/>
  <c r="C184" i="1" a="1"/>
  <c r="C184" i="1"/>
  <c r="C32" i="1" a="1"/>
  <c r="C32" i="1"/>
  <c r="C832" i="1" a="1"/>
  <c r="C832" i="1"/>
  <c r="C948" i="1" a="1"/>
  <c r="C948" i="1"/>
  <c r="C1000" i="1" a="1"/>
  <c r="C1000" i="1"/>
  <c r="C147" i="1" a="1"/>
  <c r="C147" i="1"/>
  <c r="U70" i="1" a="1"/>
  <c r="U70" i="1"/>
  <c r="O70" i="1" a="1"/>
  <c r="O70" i="1"/>
  <c r="L70" i="1"/>
  <c r="AC70" i="1"/>
  <c r="AB70" i="1"/>
  <c r="AA70" i="1" s="1" a="1"/>
  <c r="AA70" i="1" s="1"/>
  <c r="O173" i="1" a="1"/>
  <c r="O173" i="1"/>
  <c r="O223" i="1" a="1"/>
  <c r="O223" i="1"/>
  <c r="O527" i="1" a="1"/>
  <c r="O527" i="1"/>
  <c r="O591" i="1" a="1"/>
  <c r="O591" i="1"/>
  <c r="O727" i="1" a="1"/>
  <c r="O727" i="1"/>
  <c r="O761" i="1" a="1"/>
  <c r="O761" i="1"/>
  <c r="O23" i="1" a="1"/>
  <c r="O23" i="1"/>
  <c r="O466" i="1" a="1"/>
  <c r="O466" i="1"/>
  <c r="O487" i="1" a="1"/>
  <c r="O487" i="1"/>
  <c r="O272" i="1" a="1"/>
  <c r="O272" i="1"/>
  <c r="O342" i="1" a="1"/>
  <c r="O342" i="1"/>
  <c r="O349" i="1" a="1"/>
  <c r="O349" i="1"/>
  <c r="O390" i="1" a="1"/>
  <c r="O390" i="1"/>
  <c r="O463" i="1" a="1"/>
  <c r="O463" i="1"/>
  <c r="O566" i="1" a="1"/>
  <c r="O566" i="1"/>
  <c r="O896" i="1" a="1"/>
  <c r="O896" i="1"/>
  <c r="O967" i="1" a="1"/>
  <c r="O967" i="1"/>
  <c r="O37" i="1" a="1"/>
  <c r="O37" i="1"/>
  <c r="O99" i="1" a="1"/>
  <c r="O99" i="1"/>
  <c r="O307" i="1" a="1"/>
  <c r="O307" i="1"/>
  <c r="O407" i="1" a="1"/>
  <c r="O407" i="1"/>
  <c r="O496" i="1" a="1"/>
  <c r="O496" i="1"/>
  <c r="O609" i="1" a="1"/>
  <c r="O609" i="1"/>
  <c r="O779" i="1" a="1"/>
  <c r="O779" i="1"/>
  <c r="O783" i="1" a="1"/>
  <c r="O783" i="1"/>
  <c r="O951" i="1" a="1"/>
  <c r="O951" i="1"/>
  <c r="O995" i="1" a="1"/>
  <c r="O995" i="1"/>
  <c r="O28" i="1" a="1"/>
  <c r="O28" i="1"/>
  <c r="O315" i="1" a="1"/>
  <c r="O315" i="1"/>
  <c r="O480" i="1" a="1"/>
  <c r="O480" i="1"/>
  <c r="O478" i="1" a="1"/>
  <c r="O478" i="1"/>
  <c r="O639" i="1" a="1"/>
  <c r="O639" i="1"/>
  <c r="O765" i="1" a="1"/>
  <c r="O765" i="1"/>
  <c r="O991" i="1" a="1"/>
  <c r="O991" i="1"/>
  <c r="O27" i="1" a="1"/>
  <c r="O27" i="1"/>
  <c r="O261" i="1" a="1"/>
  <c r="O261" i="1"/>
  <c r="O559" i="1" a="1"/>
  <c r="O559" i="1"/>
  <c r="O869" i="1" a="1"/>
  <c r="O869" i="1"/>
  <c r="O213" i="1" a="1"/>
  <c r="O213" i="1"/>
  <c r="O367" i="1" a="1"/>
  <c r="O367" i="1"/>
  <c r="O446" i="1" a="1"/>
  <c r="O446" i="1"/>
  <c r="O542" i="1" a="1"/>
  <c r="O542" i="1"/>
  <c r="O860" i="1" a="1"/>
  <c r="O860" i="1"/>
  <c r="O10" i="1" a="1"/>
  <c r="O10" i="1"/>
  <c r="O188" i="1" a="1"/>
  <c r="O188" i="1"/>
  <c r="O204" i="1" a="1"/>
  <c r="O204" i="1"/>
  <c r="O268" i="1" a="1"/>
  <c r="O268" i="1"/>
  <c r="O375" i="1" a="1"/>
  <c r="O375" i="1"/>
  <c r="O975" i="1" a="1"/>
  <c r="O975" i="1"/>
  <c r="O26" i="1" a="1"/>
  <c r="O26" i="1"/>
  <c r="O58" i="1" a="1"/>
  <c r="O58" i="1"/>
  <c r="O103" i="1" a="1"/>
  <c r="O103" i="1"/>
  <c r="O595" i="1" a="1"/>
  <c r="O595" i="1"/>
  <c r="O814" i="1" a="1"/>
  <c r="O814" i="1"/>
  <c r="O840" i="1" a="1"/>
  <c r="O840" i="1"/>
  <c r="O881" i="1" a="1"/>
  <c r="O881" i="1"/>
  <c r="O912" i="1" a="1"/>
  <c r="O912" i="1"/>
  <c r="O946" i="1" a="1"/>
  <c r="O946" i="1"/>
  <c r="O197" i="1" a="1"/>
  <c r="O197" i="1"/>
  <c r="O352" i="1" a="1"/>
  <c r="O352" i="1"/>
  <c r="O622" i="1" a="1"/>
  <c r="O622" i="1"/>
  <c r="O683" i="1" a="1"/>
  <c r="O683" i="1"/>
  <c r="O161" i="1" a="1"/>
  <c r="O161" i="1"/>
  <c r="O220" i="1" a="1"/>
  <c r="O220" i="1"/>
  <c r="O832" i="1" a="1"/>
  <c r="O832" i="1"/>
  <c r="O905" i="1" a="1"/>
  <c r="O905" i="1"/>
  <c r="O350" i="1" a="1"/>
  <c r="O350" i="1"/>
  <c r="O354" i="1" a="1"/>
  <c r="O354" i="1"/>
  <c r="O507" i="1" a="1"/>
  <c r="O507" i="1"/>
  <c r="O530" i="1" a="1"/>
  <c r="O530" i="1"/>
  <c r="O661" i="1" a="1"/>
  <c r="O661" i="1"/>
  <c r="O696" i="1" a="1"/>
  <c r="O696" i="1"/>
  <c r="O773" i="1" a="1"/>
  <c r="O773" i="1"/>
  <c r="O961" i="1" a="1"/>
  <c r="O961" i="1"/>
  <c r="O129" i="1" a="1"/>
  <c r="O129" i="1"/>
  <c r="O151" i="1" a="1"/>
  <c r="O151" i="1"/>
  <c r="O264" i="1" a="1"/>
  <c r="O264" i="1"/>
  <c r="O304" i="1" a="1"/>
  <c r="O304" i="1"/>
  <c r="O633" i="1" a="1"/>
  <c r="O633" i="1"/>
  <c r="O641" i="1" a="1"/>
  <c r="O641" i="1"/>
  <c r="O656" i="1" a="1"/>
  <c r="O656" i="1"/>
  <c r="O737" i="1" a="1"/>
  <c r="O737" i="1"/>
  <c r="O787" i="1" a="1"/>
  <c r="O787" i="1"/>
  <c r="O980" i="1" a="1"/>
  <c r="O980" i="1"/>
  <c r="O145" i="1" a="1"/>
  <c r="O145" i="1"/>
  <c r="O185" i="1" a="1"/>
  <c r="O185" i="1"/>
  <c r="O199" i="1" a="1"/>
  <c r="O199" i="1"/>
  <c r="O436" i="1" a="1"/>
  <c r="O436" i="1"/>
  <c r="O490" i="1" a="1"/>
  <c r="O490" i="1"/>
  <c r="O872" i="1" a="1"/>
  <c r="O872" i="1"/>
  <c r="O46" i="1" a="1"/>
  <c r="O46" i="1"/>
  <c r="O76" i="1" a="1"/>
  <c r="O76" i="1"/>
  <c r="O134" i="1" a="1"/>
  <c r="O134" i="1"/>
  <c r="O180" i="1" a="1"/>
  <c r="O180" i="1"/>
  <c r="O289" i="1" a="1"/>
  <c r="O289" i="1"/>
  <c r="O300" i="1" a="1"/>
  <c r="O300" i="1"/>
  <c r="O584" i="1" a="1"/>
  <c r="O584" i="1"/>
  <c r="O752" i="1" a="1"/>
  <c r="O752" i="1"/>
  <c r="O771" i="1" a="1"/>
  <c r="O771" i="1"/>
  <c r="O880" i="1" a="1"/>
  <c r="O880" i="1"/>
  <c r="O38" i="1" a="1"/>
  <c r="O38" i="1"/>
  <c r="O51" i="1" a="1"/>
  <c r="O51" i="1"/>
  <c r="O81" i="1" a="1"/>
  <c r="O81" i="1"/>
  <c r="O400" i="1" a="1"/>
  <c r="O400" i="1"/>
  <c r="O443" i="1" a="1"/>
  <c r="O443" i="1"/>
  <c r="O588" i="1" a="1"/>
  <c r="O588" i="1"/>
  <c r="O716" i="1" a="1"/>
  <c r="O716" i="1"/>
  <c r="O799" i="1" a="1"/>
  <c r="O799" i="1"/>
  <c r="O984" i="1" a="1"/>
  <c r="O984" i="1"/>
  <c r="O155" i="1" a="1"/>
  <c r="O155" i="1"/>
  <c r="O494" i="1" a="1"/>
  <c r="O494" i="1"/>
  <c r="O511" i="1" a="1"/>
  <c r="O511" i="1"/>
  <c r="O519" i="1" a="1"/>
  <c r="O519" i="1"/>
  <c r="O586" i="1" a="1"/>
  <c r="O586" i="1"/>
  <c r="O736" i="1" a="1"/>
  <c r="O736" i="1"/>
  <c r="O744" i="1" a="1"/>
  <c r="O744" i="1"/>
  <c r="O937" i="1" a="1"/>
  <c r="O937" i="1"/>
  <c r="O20" i="1" a="1"/>
  <c r="O20" i="1"/>
  <c r="O141" i="1" a="1"/>
  <c r="O141" i="1"/>
  <c r="O140" i="1" a="1"/>
  <c r="O140" i="1"/>
  <c r="O855" i="1" a="1"/>
  <c r="O855" i="1"/>
  <c r="O870" i="1" a="1"/>
  <c r="O870" i="1"/>
  <c r="O907" i="1" a="1"/>
  <c r="O907" i="1"/>
  <c r="O923" i="1" a="1"/>
  <c r="O923" i="1"/>
  <c r="O48" i="1" a="1"/>
  <c r="O48" i="1"/>
  <c r="O63" i="1" a="1"/>
  <c r="O63" i="1"/>
  <c r="O250" i="1" a="1"/>
  <c r="O250" i="1"/>
  <c r="O437" i="1" a="1"/>
  <c r="O437" i="1"/>
  <c r="O550" i="1" a="1"/>
  <c r="O550" i="1"/>
  <c r="O603" i="1" a="1"/>
  <c r="O603" i="1"/>
  <c r="O636" i="1" a="1"/>
  <c r="O636" i="1"/>
  <c r="O899" i="1" a="1"/>
  <c r="O899" i="1"/>
  <c r="O911" i="1" a="1"/>
  <c r="O911" i="1"/>
  <c r="O999" i="1" a="1"/>
  <c r="O999" i="1"/>
  <c r="O49" i="1" a="1"/>
  <c r="O49" i="1"/>
  <c r="O194" i="1" a="1"/>
  <c r="O194" i="1"/>
  <c r="O286" i="1" a="1"/>
  <c r="O286" i="1"/>
  <c r="O328" i="1" a="1"/>
  <c r="O328" i="1"/>
  <c r="O662" i="1" a="1"/>
  <c r="O662" i="1"/>
  <c r="O719" i="1" a="1"/>
  <c r="O719" i="1"/>
  <c r="O745" i="1" a="1"/>
  <c r="O745" i="1"/>
  <c r="O836" i="1" a="1"/>
  <c r="O836" i="1"/>
  <c r="O877" i="1" a="1"/>
  <c r="O877" i="1"/>
  <c r="O904" i="1" a="1"/>
  <c r="O904" i="1"/>
  <c r="O948" i="1" a="1"/>
  <c r="O948" i="1"/>
  <c r="O137" i="1" a="1"/>
  <c r="O137" i="1"/>
  <c r="O563" i="1" a="1"/>
  <c r="O563" i="1"/>
  <c r="O782" i="1" a="1"/>
  <c r="O782" i="1"/>
  <c r="O186" i="1" a="1"/>
  <c r="O186" i="1"/>
  <c r="O353" i="1" a="1"/>
  <c r="O353" i="1"/>
  <c r="O408" i="1" a="1"/>
  <c r="O408" i="1"/>
  <c r="O469" i="1" a="1"/>
  <c r="O469" i="1"/>
  <c r="O551" i="1" a="1"/>
  <c r="O551" i="1"/>
  <c r="O819" i="1" a="1"/>
  <c r="O819" i="1"/>
  <c r="O837" i="1" a="1"/>
  <c r="O837" i="1"/>
  <c r="O90" i="1" a="1"/>
  <c r="O90" i="1"/>
  <c r="O562" i="1" a="1"/>
  <c r="O562" i="1"/>
  <c r="O686" i="1" a="1"/>
  <c r="O686" i="1"/>
  <c r="O818" i="1" a="1"/>
  <c r="O818" i="1"/>
  <c r="O973" i="1" a="1"/>
  <c r="O973" i="1"/>
  <c r="O122" i="1" a="1"/>
  <c r="O122" i="1"/>
  <c r="O384" i="1" a="1"/>
  <c r="O384" i="1"/>
  <c r="O525" i="1" a="1"/>
  <c r="O525" i="1"/>
  <c r="O707" i="1" a="1"/>
  <c r="O707" i="1"/>
  <c r="O824" i="1" a="1"/>
  <c r="O824" i="1"/>
  <c r="O910" i="1" a="1"/>
  <c r="O910" i="1"/>
  <c r="O969" i="1" a="1"/>
  <c r="O969" i="1"/>
  <c r="O36" i="1" a="1"/>
  <c r="O36" i="1"/>
  <c r="O71" i="1" a="1"/>
  <c r="O71" i="1"/>
  <c r="O168" i="1" a="1"/>
  <c r="O168" i="1"/>
  <c r="O170" i="1" a="1"/>
  <c r="O170" i="1"/>
  <c r="O428" i="1" a="1"/>
  <c r="O428" i="1"/>
  <c r="O492" i="1" a="1"/>
  <c r="O492" i="1"/>
  <c r="O826" i="1" a="1"/>
  <c r="O826" i="1"/>
  <c r="O917" i="1" a="1"/>
  <c r="O917" i="1"/>
  <c r="O928" i="1" a="1"/>
  <c r="O928" i="1"/>
  <c r="O227" i="1" a="1"/>
  <c r="O227" i="1"/>
  <c r="O462" i="1" a="1"/>
  <c r="O462" i="1"/>
  <c r="O845" i="1" a="1"/>
  <c r="O845" i="1"/>
  <c r="O925" i="1" a="1"/>
  <c r="O925" i="1"/>
  <c r="O929" i="1" a="1"/>
  <c r="O929" i="1"/>
  <c r="O983" i="1" a="1"/>
  <c r="O983" i="1"/>
  <c r="O429" i="1" a="1"/>
  <c r="O429" i="1"/>
  <c r="O435" i="1" a="1"/>
  <c r="O435" i="1"/>
  <c r="O472" i="1" a="1"/>
  <c r="O472" i="1"/>
  <c r="O483" i="1" a="1"/>
  <c r="O483" i="1"/>
  <c r="O517" i="1" a="1"/>
  <c r="O517" i="1"/>
  <c r="O191" i="1" a="1"/>
  <c r="O191" i="1"/>
  <c r="O471" i="1" a="1"/>
  <c r="O471" i="1"/>
  <c r="O793" i="1" a="1"/>
  <c r="O793" i="1"/>
  <c r="O135" i="1" a="1"/>
  <c r="O135" i="1"/>
  <c r="O275" i="1" a="1"/>
  <c r="O275" i="1"/>
  <c r="O547" i="1" a="1"/>
  <c r="O547" i="1"/>
  <c r="O556" i="1" a="1"/>
  <c r="O556" i="1"/>
  <c r="O666" i="1" a="1"/>
  <c r="O666" i="1"/>
  <c r="O709" i="1" a="1"/>
  <c r="O709" i="1"/>
  <c r="O843" i="1" a="1"/>
  <c r="O843" i="1"/>
  <c r="O861" i="1" a="1"/>
  <c r="O861" i="1"/>
  <c r="O985" i="1" a="1"/>
  <c r="O985" i="1"/>
  <c r="O88" i="1" a="1"/>
  <c r="O88" i="1"/>
  <c r="O172" i="1" a="1"/>
  <c r="O172" i="1"/>
  <c r="O212" i="1" a="1"/>
  <c r="O212" i="1"/>
  <c r="O216" i="1" a="1"/>
  <c r="O216" i="1"/>
  <c r="O222" i="1" a="1"/>
  <c r="O222" i="1"/>
  <c r="O327" i="1" a="1"/>
  <c r="O327" i="1"/>
  <c r="O357" i="1" a="1"/>
  <c r="O357" i="1"/>
  <c r="O388" i="1" a="1"/>
  <c r="O388" i="1"/>
  <c r="O600" i="1" a="1"/>
  <c r="O600" i="1"/>
  <c r="O663" i="1" a="1"/>
  <c r="O663" i="1"/>
  <c r="O992" i="1" a="1"/>
  <c r="O992" i="1"/>
  <c r="O41" i="1" a="1"/>
  <c r="O41" i="1"/>
  <c r="O75" i="1" a="1"/>
  <c r="O75" i="1"/>
  <c r="O572" i="1" a="1"/>
  <c r="O572" i="1"/>
  <c r="O594" i="1" a="1"/>
  <c r="O594" i="1"/>
  <c r="O659" i="1" a="1"/>
  <c r="O659" i="1"/>
  <c r="O755" i="1" a="1"/>
  <c r="O755" i="1"/>
  <c r="O848" i="1" a="1"/>
  <c r="O848" i="1"/>
  <c r="O189" i="1" a="1"/>
  <c r="O189" i="1"/>
  <c r="O319" i="1" a="1"/>
  <c r="O319" i="1"/>
  <c r="O341" i="1" a="1"/>
  <c r="O341" i="1"/>
  <c r="O369" i="1" a="1"/>
  <c r="O369" i="1"/>
  <c r="O451" i="1" a="1"/>
  <c r="O451" i="1"/>
  <c r="O457" i="1" a="1"/>
  <c r="O457" i="1"/>
  <c r="O916" i="1" a="1"/>
  <c r="O916" i="1"/>
  <c r="O56" i="1" a="1"/>
  <c r="O56" i="1"/>
  <c r="O66" i="1" a="1"/>
  <c r="O66" i="1"/>
  <c r="O733" i="1" a="1"/>
  <c r="O733" i="1"/>
  <c r="O781" i="1" a="1"/>
  <c r="O781" i="1"/>
  <c r="O61" i="1" a="1"/>
  <c r="O61" i="1"/>
  <c r="O260" i="1" a="1"/>
  <c r="O260" i="1"/>
  <c r="O402" i="1" a="1"/>
  <c r="O402" i="1"/>
  <c r="O543" i="1" a="1"/>
  <c r="O543" i="1"/>
  <c r="O775" i="1" a="1"/>
  <c r="O775" i="1"/>
  <c r="O249" i="1" a="1"/>
  <c r="O249" i="1"/>
  <c r="O590" i="1" a="1"/>
  <c r="O590" i="1"/>
  <c r="O72" i="1" a="1"/>
  <c r="O72" i="1"/>
  <c r="O187" i="1" a="1"/>
  <c r="O187" i="1"/>
  <c r="O296" i="1" a="1"/>
  <c r="O296" i="1"/>
  <c r="O292" i="1" a="1"/>
  <c r="O292" i="1"/>
  <c r="O382" i="1" a="1"/>
  <c r="O382" i="1"/>
  <c r="O459" i="1" a="1"/>
  <c r="O459" i="1"/>
  <c r="O797" i="1" a="1"/>
  <c r="O797" i="1"/>
  <c r="O803" i="1" a="1"/>
  <c r="O803" i="1"/>
  <c r="O842" i="1" a="1"/>
  <c r="O842" i="1"/>
  <c r="O874" i="1" a="1"/>
  <c r="O874" i="1"/>
  <c r="O69" i="1" a="1"/>
  <c r="O69" i="1"/>
  <c r="O105" i="1" a="1"/>
  <c r="O105" i="1"/>
  <c r="O113" i="1" a="1"/>
  <c r="O113" i="1"/>
  <c r="O273" i="1" a="1"/>
  <c r="O273" i="1"/>
  <c r="O523" i="1" a="1"/>
  <c r="O523" i="1"/>
  <c r="O554" i="1" a="1"/>
  <c r="O554" i="1"/>
  <c r="O698" i="1" a="1"/>
  <c r="O698" i="1"/>
  <c r="O908" i="1" a="1"/>
  <c r="O908" i="1"/>
  <c r="O931" i="1" a="1"/>
  <c r="O931" i="1"/>
  <c r="O55" i="1" a="1"/>
  <c r="O55" i="1"/>
  <c r="O78" i="1" a="1"/>
  <c r="O78" i="1"/>
  <c r="O229" i="1" a="1"/>
  <c r="O229" i="1"/>
  <c r="O467" i="1" a="1"/>
  <c r="O467" i="1"/>
  <c r="O491" i="1" a="1"/>
  <c r="O491" i="1"/>
  <c r="O578" i="1" a="1"/>
  <c r="O578" i="1"/>
  <c r="O615" i="1" a="1"/>
  <c r="O615" i="1"/>
  <c r="O884" i="1" a="1"/>
  <c r="O884" i="1"/>
  <c r="O894" i="1" a="1"/>
  <c r="O894" i="1"/>
  <c r="O964" i="1" a="1"/>
  <c r="O964" i="1"/>
  <c r="O996" i="1" a="1"/>
  <c r="O996" i="1"/>
  <c r="O128" i="1" a="1"/>
  <c r="O128" i="1"/>
  <c r="O133" i="1" a="1"/>
  <c r="O133" i="1"/>
  <c r="O338" i="1" a="1"/>
  <c r="O338" i="1"/>
  <c r="O370" i="1" a="1"/>
  <c r="O370" i="1"/>
  <c r="O458" i="1" a="1"/>
  <c r="O458" i="1"/>
  <c r="O485" i="1" a="1"/>
  <c r="O485" i="1"/>
  <c r="O561" i="1" a="1"/>
  <c r="O561" i="1"/>
  <c r="O630" i="1" a="1"/>
  <c r="O630" i="1"/>
  <c r="O658" i="1" a="1"/>
  <c r="O658" i="1"/>
  <c r="O130" i="1" a="1"/>
  <c r="O130" i="1"/>
  <c r="O372" i="1" a="1"/>
  <c r="O372" i="1"/>
  <c r="O461" i="1" a="1"/>
  <c r="O461" i="1"/>
  <c r="O681" i="1" a="1"/>
  <c r="O681" i="1"/>
  <c r="O760" i="1" a="1"/>
  <c r="O760" i="1"/>
  <c r="O812" i="1" a="1"/>
  <c r="O812" i="1"/>
  <c r="O834" i="1" a="1"/>
  <c r="O834" i="1"/>
  <c r="O924" i="1" a="1"/>
  <c r="O924" i="1"/>
  <c r="O33" i="1" a="1"/>
  <c r="O33" i="1"/>
  <c r="O182" i="1" a="1"/>
  <c r="O182" i="1"/>
  <c r="O17" i="1" a="1"/>
  <c r="O17" i="1"/>
  <c r="O179" i="1" a="1"/>
  <c r="O179" i="1"/>
  <c r="O344" i="1" a="1"/>
  <c r="O344" i="1"/>
  <c r="O411" i="1" a="1"/>
  <c r="O411" i="1"/>
  <c r="O643" i="1" a="1"/>
  <c r="O643" i="1"/>
  <c r="O809" i="1" a="1"/>
  <c r="O809" i="1"/>
  <c r="O866" i="1" a="1"/>
  <c r="O866" i="1"/>
  <c r="O878" i="1" a="1"/>
  <c r="O878" i="1"/>
  <c r="O921" i="1" a="1"/>
  <c r="O921" i="1"/>
  <c r="O42" i="1" a="1"/>
  <c r="O42" i="1"/>
  <c r="O256" i="1" a="1"/>
  <c r="O256" i="1"/>
  <c r="O279" i="1" a="1"/>
  <c r="O279" i="1"/>
  <c r="O424" i="1" a="1"/>
  <c r="O424" i="1"/>
  <c r="O476" i="1" a="1"/>
  <c r="O476" i="1"/>
  <c r="O616" i="1" a="1"/>
  <c r="O616" i="1"/>
  <c r="O766" i="1" a="1"/>
  <c r="O766" i="1"/>
  <c r="O934" i="1" a="1"/>
  <c r="O934" i="1"/>
  <c r="O957" i="1" a="1"/>
  <c r="O957" i="1"/>
  <c r="O47" i="1" a="1"/>
  <c r="O47" i="1"/>
  <c r="O337" i="1" a="1"/>
  <c r="O337" i="1"/>
  <c r="O368" i="1" a="1"/>
  <c r="O368" i="1"/>
  <c r="O397" i="1" a="1"/>
  <c r="O397" i="1"/>
  <c r="O587" i="1" a="1"/>
  <c r="O587" i="1"/>
  <c r="O610" i="1" a="1"/>
  <c r="O610" i="1"/>
  <c r="O251" i="1" a="1"/>
  <c r="O251" i="1"/>
  <c r="O653" i="1" a="1"/>
  <c r="O653" i="1"/>
  <c r="O805" i="1" a="1"/>
  <c r="O805" i="1"/>
  <c r="O915" i="1" a="1"/>
  <c r="O915" i="1"/>
  <c r="O9" i="1" a="1"/>
  <c r="O9" i="1"/>
  <c r="O254" i="1" a="1"/>
  <c r="O254" i="1"/>
  <c r="O335" i="1" a="1"/>
  <c r="O335" i="1"/>
  <c r="O385" i="1" a="1"/>
  <c r="O385" i="1"/>
  <c r="O479" i="1" a="1"/>
  <c r="O479" i="1"/>
  <c r="O632" i="1" a="1"/>
  <c r="O632" i="1"/>
  <c r="O648" i="1" a="1"/>
  <c r="O648" i="1"/>
  <c r="O677" i="1" a="1"/>
  <c r="O677" i="1"/>
  <c r="O705" i="1" a="1"/>
  <c r="O705" i="1"/>
  <c r="O831" i="1" a="1"/>
  <c r="O831" i="1"/>
  <c r="O932" i="1" a="1"/>
  <c r="O932" i="1"/>
  <c r="O246" i="1" a="1"/>
  <c r="O246" i="1"/>
  <c r="O528" i="1" a="1"/>
  <c r="O528" i="1"/>
  <c r="O617" i="1" a="1"/>
  <c r="O617" i="1"/>
  <c r="O712" i="1" a="1"/>
  <c r="O712" i="1"/>
  <c r="O815" i="1" a="1"/>
  <c r="O815" i="1"/>
  <c r="O817" i="1" a="1"/>
  <c r="O817" i="1"/>
  <c r="O838" i="1" a="1"/>
  <c r="O838" i="1"/>
  <c r="O852" i="1" a="1"/>
  <c r="O852" i="1"/>
  <c r="O897" i="1" a="1"/>
  <c r="O897" i="1"/>
  <c r="O13" i="1" a="1"/>
  <c r="O13" i="1"/>
  <c r="O32" i="1" a="1"/>
  <c r="O32" i="1"/>
  <c r="O393" i="1" a="1"/>
  <c r="O393" i="1"/>
  <c r="O412" i="1" a="1"/>
  <c r="O412" i="1"/>
  <c r="O432" i="1" a="1"/>
  <c r="O432" i="1"/>
  <c r="O513" i="1" a="1"/>
  <c r="O513" i="1"/>
  <c r="O553" i="1" a="1"/>
  <c r="O553" i="1"/>
  <c r="O612" i="1" a="1"/>
  <c r="O612" i="1"/>
  <c r="O702" i="1" a="1"/>
  <c r="O702" i="1"/>
  <c r="O764" i="1" a="1"/>
  <c r="O764" i="1"/>
  <c r="O93" i="1" a="1"/>
  <c r="O93" i="1"/>
  <c r="O108" i="1" a="1"/>
  <c r="O108" i="1"/>
  <c r="O149" i="1" a="1"/>
  <c r="O149" i="1"/>
  <c r="O231" i="1" a="1"/>
  <c r="O231" i="1"/>
  <c r="O618" i="1" a="1"/>
  <c r="O618" i="1"/>
  <c r="O962" i="1" a="1"/>
  <c r="O962" i="1"/>
  <c r="O448" i="1" a="1"/>
  <c r="O448" i="1"/>
  <c r="O644" i="1" a="1"/>
  <c r="O644" i="1"/>
  <c r="O827" i="1" a="1"/>
  <c r="O827" i="1"/>
  <c r="O858" i="1" a="1"/>
  <c r="O858" i="1"/>
  <c r="O886" i="1" a="1"/>
  <c r="O886" i="1"/>
  <c r="O990" i="1" a="1"/>
  <c r="O990" i="1"/>
  <c r="O331" i="1" a="1"/>
  <c r="O331" i="1"/>
  <c r="O452" i="1" a="1"/>
  <c r="O452" i="1"/>
  <c r="O2" i="1" a="1"/>
  <c r="O2" i="1"/>
  <c r="O146" i="1" a="1"/>
  <c r="O146" i="1"/>
  <c r="O153" i="1" a="1"/>
  <c r="O153" i="1"/>
  <c r="O312" i="1" a="1"/>
  <c r="O312" i="1"/>
  <c r="O497" i="1" a="1"/>
  <c r="O497" i="1"/>
  <c r="O597" i="1" a="1"/>
  <c r="O597" i="1"/>
  <c r="O795" i="1" a="1"/>
  <c r="O795" i="1"/>
  <c r="O87" i="1" a="1"/>
  <c r="O87" i="1"/>
  <c r="O241" i="1" a="1"/>
  <c r="O241" i="1"/>
  <c r="O305" i="1" a="1"/>
  <c r="O305" i="1"/>
  <c r="O348" i="1" a="1"/>
  <c r="O348" i="1"/>
  <c r="O377" i="1" a="1"/>
  <c r="O377" i="1"/>
  <c r="O535" i="1" a="1"/>
  <c r="O535" i="1"/>
  <c r="O537" i="1" a="1"/>
  <c r="O537" i="1"/>
  <c r="O958" i="1" a="1"/>
  <c r="O958" i="1"/>
  <c r="O579" i="1" a="1"/>
  <c r="O579" i="1"/>
  <c r="O678" i="1" a="1"/>
  <c r="O678" i="1"/>
  <c r="O892" i="1" a="1"/>
  <c r="O892" i="1"/>
  <c r="O29" i="1" a="1"/>
  <c r="O29" i="1"/>
  <c r="O318" i="1" a="1"/>
  <c r="O318" i="1"/>
  <c r="O395" i="1" a="1"/>
  <c r="O395" i="1"/>
  <c r="O447" i="1" a="1"/>
  <c r="O447" i="1"/>
  <c r="O560" i="1" a="1"/>
  <c r="O560" i="1"/>
  <c r="O624" i="1" a="1"/>
  <c r="O624" i="1"/>
  <c r="O625" i="1" a="1"/>
  <c r="O625" i="1"/>
  <c r="O673" i="1" a="1"/>
  <c r="O673" i="1"/>
  <c r="O680" i="1" a="1"/>
  <c r="O680" i="1"/>
  <c r="O847" i="1" a="1"/>
  <c r="O847" i="1"/>
  <c r="O974" i="1" a="1"/>
  <c r="O974" i="1"/>
  <c r="O1001" i="1" a="1"/>
  <c r="O1001" i="1"/>
  <c r="O19" i="1" a="1"/>
  <c r="O19" i="1"/>
  <c r="O218" i="1" a="1"/>
  <c r="O218" i="1"/>
  <c r="O232" i="1" a="1"/>
  <c r="O232" i="1"/>
  <c r="O332" i="1" a="1"/>
  <c r="O332" i="1"/>
  <c r="O515" i="1" a="1"/>
  <c r="O515" i="1"/>
  <c r="O927" i="1" a="1"/>
  <c r="O927" i="1"/>
  <c r="O981" i="1" a="1"/>
  <c r="O981" i="1"/>
  <c r="O131" i="1" a="1"/>
  <c r="O131" i="1"/>
  <c r="O174" i="1" a="1"/>
  <c r="O174" i="1"/>
  <c r="O217" i="1" a="1"/>
  <c r="O217" i="1"/>
  <c r="O228" i="1" a="1"/>
  <c r="O228" i="1"/>
  <c r="O420" i="1" a="1"/>
  <c r="O420" i="1"/>
  <c r="O460" i="1" a="1"/>
  <c r="O460" i="1"/>
  <c r="O508" i="1" a="1"/>
  <c r="O508" i="1"/>
  <c r="O575" i="1" a="1"/>
  <c r="O575" i="1"/>
  <c r="O759" i="1" a="1"/>
  <c r="O759" i="1"/>
  <c r="O968" i="1" a="1"/>
  <c r="O968" i="1"/>
  <c r="O139" i="1" a="1"/>
  <c r="O139" i="1"/>
  <c r="O326" i="1" a="1"/>
  <c r="O326" i="1"/>
  <c r="O396" i="1" a="1"/>
  <c r="O396" i="1"/>
  <c r="O571" i="1" a="1"/>
  <c r="O571" i="1"/>
  <c r="O573" i="1" a="1"/>
  <c r="O573" i="1"/>
  <c r="O73" i="1" a="1"/>
  <c r="O73" i="1"/>
  <c r="O111" i="1" a="1"/>
  <c r="O111" i="1"/>
  <c r="O324" i="1" a="1"/>
  <c r="O324" i="1"/>
  <c r="O346" i="1" a="1"/>
  <c r="O346" i="1"/>
  <c r="O757" i="1" a="1"/>
  <c r="O757" i="1"/>
  <c r="O971" i="1" a="1"/>
  <c r="O971" i="1"/>
  <c r="O91" i="1" a="1"/>
  <c r="O91" i="1"/>
  <c r="O115" i="1" a="1"/>
  <c r="O115" i="1"/>
  <c r="O210" i="1" a="1"/>
  <c r="O210" i="1"/>
  <c r="O225" i="1" a="1"/>
  <c r="O225" i="1"/>
  <c r="O800" i="1" a="1"/>
  <c r="O800" i="1"/>
  <c r="O926" i="1" a="1"/>
  <c r="O926" i="1"/>
  <c r="O60" i="1" a="1"/>
  <c r="O60" i="1"/>
  <c r="O82" i="1" a="1"/>
  <c r="O82" i="1"/>
  <c r="O114" i="1" a="1"/>
  <c r="O114" i="1"/>
  <c r="O206" i="1" a="1"/>
  <c r="O206" i="1"/>
  <c r="O247" i="1" a="1"/>
  <c r="O247" i="1"/>
  <c r="O364" i="1" a="1"/>
  <c r="O364" i="1"/>
  <c r="O440" i="1" a="1"/>
  <c r="O440" i="1"/>
  <c r="O592" i="1" a="1"/>
  <c r="O592" i="1"/>
  <c r="O875" i="1" a="1"/>
  <c r="O875" i="1"/>
  <c r="O942" i="1" a="1"/>
  <c r="O942" i="1"/>
  <c r="O997" i="1" a="1"/>
  <c r="O997" i="1"/>
  <c r="O74" i="1" a="1"/>
  <c r="O74" i="1"/>
  <c r="O583" i="1" a="1"/>
  <c r="O583" i="1"/>
  <c r="O582" i="1" a="1"/>
  <c r="O582" i="1"/>
  <c r="O635" i="1" a="1"/>
  <c r="O635" i="1"/>
  <c r="O748" i="1" a="1"/>
  <c r="O748" i="1"/>
  <c r="O431" i="1" a="1"/>
  <c r="O431" i="1"/>
  <c r="O533" i="1" a="1"/>
  <c r="O533" i="1"/>
  <c r="O144" i="1" a="1"/>
  <c r="O144" i="1"/>
  <c r="O154" i="1" a="1"/>
  <c r="O154" i="1"/>
  <c r="O418" i="1" a="1"/>
  <c r="O418" i="1"/>
  <c r="O544" i="1" a="1"/>
  <c r="O544" i="1"/>
  <c r="O580" i="1" a="1"/>
  <c r="O580" i="1"/>
  <c r="O694" i="1" a="1"/>
  <c r="O694" i="1"/>
  <c r="O762" i="1" a="1"/>
  <c r="O762" i="1"/>
  <c r="O763" i="1" a="1"/>
  <c r="O763" i="1"/>
  <c r="O823" i="1" a="1"/>
  <c r="O823" i="1"/>
  <c r="O888" i="1" a="1"/>
  <c r="O888" i="1"/>
  <c r="O94" i="1" a="1"/>
  <c r="O94" i="1"/>
  <c r="O502" i="1" a="1"/>
  <c r="O502" i="1"/>
  <c r="O521" i="1" a="1"/>
  <c r="O521" i="1"/>
  <c r="O638" i="1" a="1"/>
  <c r="O638" i="1"/>
  <c r="O657" i="1" a="1"/>
  <c r="O657" i="1"/>
  <c r="O807" i="1" a="1"/>
  <c r="O807" i="1"/>
  <c r="O80" i="1" a="1"/>
  <c r="O80" i="1"/>
  <c r="O160" i="1" a="1"/>
  <c r="O160" i="1"/>
  <c r="O484" i="1" a="1"/>
  <c r="O484" i="1"/>
  <c r="O769" i="1" a="1"/>
  <c r="O769" i="1"/>
  <c r="O914" i="1" a="1"/>
  <c r="O914" i="1"/>
  <c r="O555" i="1" a="1"/>
  <c r="O555" i="1"/>
  <c r="O585" i="1" a="1"/>
  <c r="O585" i="1"/>
  <c r="O930" i="1" a="1"/>
  <c r="O930" i="1"/>
  <c r="O198" i="1" a="1"/>
  <c r="O198" i="1"/>
  <c r="O236" i="1" a="1"/>
  <c r="O236" i="1"/>
  <c r="O239" i="1" a="1"/>
  <c r="O239" i="1"/>
  <c r="O541" i="1" a="1"/>
  <c r="O541" i="1"/>
  <c r="O684" i="1" a="1"/>
  <c r="O684" i="1"/>
  <c r="O768" i="1" a="1"/>
  <c r="O768" i="1"/>
  <c r="O235" i="1" a="1"/>
  <c r="O235" i="1"/>
  <c r="O529" i="1" a="1"/>
  <c r="O529" i="1"/>
  <c r="O708" i="1" a="1"/>
  <c r="O708" i="1"/>
  <c r="O876" i="1" a="1"/>
  <c r="O876" i="1"/>
  <c r="O255" i="1" a="1"/>
  <c r="O255" i="1"/>
  <c r="O363" i="1" a="1"/>
  <c r="O363" i="1"/>
  <c r="O401" i="1" a="1"/>
  <c r="O401" i="1"/>
  <c r="O675" i="1" a="1"/>
  <c r="O675" i="1"/>
  <c r="O863" i="1" a="1"/>
  <c r="O863" i="1"/>
  <c r="O976" i="1" a="1"/>
  <c r="O976" i="1"/>
  <c r="O266" i="1" a="1"/>
  <c r="O266" i="1"/>
  <c r="O276" i="1" a="1"/>
  <c r="O276" i="1"/>
  <c r="O454" i="1" a="1"/>
  <c r="O454" i="1"/>
  <c r="O655" i="1" a="1"/>
  <c r="O655" i="1"/>
  <c r="O851" i="1" a="1"/>
  <c r="O851" i="1"/>
  <c r="O883" i="1" a="1"/>
  <c r="O883" i="1"/>
  <c r="O67" i="1" a="1"/>
  <c r="O67" i="1"/>
  <c r="O100" i="1" a="1"/>
  <c r="O100" i="1"/>
  <c r="O117" i="1" a="1"/>
  <c r="O117" i="1"/>
  <c r="O215" i="1" a="1"/>
  <c r="O215" i="1"/>
  <c r="O278" i="1" a="1"/>
  <c r="O278" i="1"/>
  <c r="O548" i="1" a="1"/>
  <c r="O548" i="1"/>
  <c r="O637" i="1" a="1"/>
  <c r="O637" i="1"/>
  <c r="O756" i="1" a="1"/>
  <c r="O756" i="1"/>
  <c r="O828" i="1" a="1"/>
  <c r="O828" i="1"/>
  <c r="O918" i="1" a="1"/>
  <c r="O918" i="1"/>
  <c r="O106" i="1" a="1"/>
  <c r="O106" i="1"/>
  <c r="O158" i="1" a="1"/>
  <c r="O158" i="1"/>
  <c r="O410" i="1" a="1"/>
  <c r="O410" i="1"/>
  <c r="O475" i="1" a="1"/>
  <c r="O475" i="1"/>
  <c r="O710" i="1" a="1"/>
  <c r="O710" i="1"/>
  <c r="O772" i="1" a="1"/>
  <c r="O772" i="1"/>
  <c r="O822" i="1" a="1"/>
  <c r="O822" i="1"/>
  <c r="O14" i="1" a="1"/>
  <c r="O14" i="1"/>
  <c r="O101" i="1" a="1"/>
  <c r="O101" i="1"/>
  <c r="O302" i="1" a="1"/>
  <c r="O302" i="1"/>
  <c r="O685" i="1" a="1"/>
  <c r="O685" i="1"/>
  <c r="O724" i="1" a="1"/>
  <c r="O724" i="1"/>
  <c r="O738" i="1" a="1"/>
  <c r="O738" i="1"/>
  <c r="O953" i="1" a="1"/>
  <c r="O953" i="1"/>
  <c r="O221" i="1" a="1"/>
  <c r="O221" i="1"/>
  <c r="O308" i="1" a="1"/>
  <c r="O308" i="1"/>
  <c r="O362" i="1" a="1"/>
  <c r="O362" i="1"/>
  <c r="O414" i="1" a="1"/>
  <c r="O414" i="1"/>
  <c r="O729" i="1" a="1"/>
  <c r="O729" i="1"/>
  <c r="O919" i="1" a="1"/>
  <c r="O919" i="1"/>
  <c r="O171" i="1" a="1"/>
  <c r="O171" i="1"/>
  <c r="O646" i="1" a="1"/>
  <c r="O646" i="1"/>
  <c r="O776" i="1" a="1"/>
  <c r="O776" i="1"/>
  <c r="O903" i="1" a="1"/>
  <c r="O903" i="1"/>
  <c r="O936" i="1" a="1"/>
  <c r="O936" i="1"/>
  <c r="O425" i="1" a="1"/>
  <c r="O425" i="1"/>
  <c r="O901" i="1" a="1"/>
  <c r="O901" i="1"/>
  <c r="O190" i="1" a="1"/>
  <c r="O190" i="1"/>
  <c r="O329" i="1" a="1"/>
  <c r="O329" i="1"/>
  <c r="O378" i="1" a="1"/>
  <c r="O378" i="1"/>
  <c r="O504" i="1" a="1"/>
  <c r="O504" i="1"/>
  <c r="O671" i="1" a="1"/>
  <c r="O671" i="1"/>
  <c r="O687" i="1" a="1"/>
  <c r="O687" i="1"/>
  <c r="O938" i="1" a="1"/>
  <c r="O938" i="1"/>
  <c r="O214" i="1" a="1"/>
  <c r="O214" i="1"/>
  <c r="O660" i="1" a="1"/>
  <c r="O660" i="1"/>
  <c r="O885" i="1" a="1"/>
  <c r="O885" i="1"/>
  <c r="O226" i="1" a="1"/>
  <c r="O226" i="1"/>
  <c r="O253" i="1" a="1"/>
  <c r="O253" i="1"/>
  <c r="O258" i="1" a="1"/>
  <c r="O258" i="1"/>
  <c r="O577" i="1" a="1"/>
  <c r="O577" i="1"/>
  <c r="O829" i="1" a="1"/>
  <c r="O829" i="1"/>
  <c r="O1000" i="1" a="1"/>
  <c r="O1000" i="1"/>
  <c r="O127" i="1" a="1"/>
  <c r="O127" i="1"/>
  <c r="O245" i="1" a="1"/>
  <c r="O245" i="1"/>
  <c r="O486" i="1" a="1"/>
  <c r="O486" i="1"/>
  <c r="O526" i="1" a="1"/>
  <c r="O526" i="1"/>
  <c r="O998" i="1" a="1"/>
  <c r="O998" i="1"/>
  <c r="O192" i="1" a="1"/>
  <c r="O192" i="1"/>
  <c r="O269" i="1" a="1"/>
  <c r="O269" i="1"/>
  <c r="O343" i="1" a="1"/>
  <c r="O343" i="1"/>
  <c r="O465" i="1" a="1"/>
  <c r="O465" i="1"/>
  <c r="O732" i="1" a="1"/>
  <c r="O732" i="1"/>
  <c r="O750" i="1" a="1"/>
  <c r="O750" i="1"/>
  <c r="O868" i="1" a="1"/>
  <c r="O868" i="1"/>
  <c r="O138" i="1" a="1"/>
  <c r="O138" i="1"/>
  <c r="O208" i="1" a="1"/>
  <c r="O208" i="1"/>
  <c r="O207" i="1" a="1"/>
  <c r="O207" i="1"/>
  <c r="O281" i="1" a="1"/>
  <c r="O281" i="1"/>
  <c r="O430" i="1" a="1"/>
  <c r="O430" i="1"/>
  <c r="O482" i="1" a="1"/>
  <c r="O482" i="1"/>
  <c r="O538" i="1" a="1"/>
  <c r="O538" i="1"/>
  <c r="O565" i="1" a="1"/>
  <c r="O565" i="1"/>
  <c r="O704" i="1" a="1"/>
  <c r="O704" i="1"/>
  <c r="O989" i="1" a="1"/>
  <c r="O989" i="1"/>
  <c r="O8" i="1" a="1"/>
  <c r="O8" i="1"/>
  <c r="O358" i="1" a="1"/>
  <c r="O358" i="1"/>
  <c r="O598" i="1" a="1"/>
  <c r="O598" i="1"/>
  <c r="O867" i="1" a="1"/>
  <c r="O867" i="1"/>
  <c r="O119" i="1" a="1"/>
  <c r="O119" i="1"/>
  <c r="O157" i="1" a="1"/>
  <c r="O157" i="1"/>
  <c r="O224" i="1" a="1"/>
  <c r="O224" i="1"/>
  <c r="O379" i="1" a="1"/>
  <c r="O379" i="1"/>
  <c r="O380" i="1" a="1"/>
  <c r="O380" i="1"/>
  <c r="O531" i="1" a="1"/>
  <c r="O531" i="1"/>
  <c r="O887" i="1" a="1"/>
  <c r="O887" i="1"/>
  <c r="O50" i="1" a="1"/>
  <c r="O50" i="1"/>
  <c r="O495" i="1" a="1"/>
  <c r="O495" i="1"/>
  <c r="O664" i="1" a="1"/>
  <c r="O664" i="1"/>
  <c r="O730" i="1" a="1"/>
  <c r="O730" i="1"/>
  <c r="O734" i="1" a="1"/>
  <c r="O734" i="1"/>
  <c r="O143" i="1" a="1"/>
  <c r="O143" i="1"/>
  <c r="O203" i="1" a="1"/>
  <c r="O203" i="1"/>
  <c r="O323" i="1" a="1"/>
  <c r="O323" i="1"/>
  <c r="O438" i="1" a="1"/>
  <c r="O438" i="1"/>
  <c r="O455" i="1" a="1"/>
  <c r="O455" i="1"/>
  <c r="O668" i="1" a="1"/>
  <c r="O668" i="1"/>
  <c r="O746" i="1" a="1"/>
  <c r="O746" i="1"/>
  <c r="O810" i="1" a="1"/>
  <c r="O810" i="1"/>
  <c r="O844" i="1" a="1"/>
  <c r="O844" i="1"/>
  <c r="O939" i="1" a="1"/>
  <c r="O939" i="1"/>
  <c r="O978" i="1" a="1"/>
  <c r="O978" i="1"/>
  <c r="O4" i="1" a="1"/>
  <c r="O4" i="1"/>
  <c r="O107" i="1" a="1"/>
  <c r="O107" i="1"/>
  <c r="O164" i="1" a="1"/>
  <c r="O164" i="1"/>
  <c r="O271" i="1" a="1"/>
  <c r="O271" i="1"/>
  <c r="O321" i="1" a="1"/>
  <c r="O321" i="1"/>
  <c r="O333" i="1" a="1"/>
  <c r="O333" i="1"/>
  <c r="O415" i="1" a="1"/>
  <c r="O415" i="1"/>
  <c r="O493" i="1" a="1"/>
  <c r="O493" i="1"/>
  <c r="O499" i="1" a="1"/>
  <c r="O499" i="1"/>
  <c r="O849" i="1" a="1"/>
  <c r="O849" i="1"/>
  <c r="O5" i="1" a="1"/>
  <c r="O5" i="1"/>
  <c r="O22" i="1" a="1"/>
  <c r="O22" i="1"/>
  <c r="O84" i="1" a="1"/>
  <c r="O84" i="1"/>
  <c r="O184" i="1" a="1"/>
  <c r="O184" i="1"/>
  <c r="O209" i="1" a="1"/>
  <c r="O209" i="1"/>
  <c r="O373" i="1" a="1"/>
  <c r="O373" i="1"/>
  <c r="O634" i="1" a="1"/>
  <c r="O634" i="1"/>
  <c r="O718" i="1" a="1"/>
  <c r="O718" i="1"/>
  <c r="O949" i="1" a="1"/>
  <c r="O949" i="1"/>
  <c r="O520" i="1" a="1"/>
  <c r="O520" i="1"/>
  <c r="O524" i="1" a="1"/>
  <c r="O524" i="1"/>
  <c r="O982" i="1" a="1"/>
  <c r="O982" i="1"/>
  <c r="O233" i="1" a="1"/>
  <c r="O233" i="1"/>
  <c r="O262" i="1" a="1"/>
  <c r="O262" i="1"/>
  <c r="O413" i="1" a="1"/>
  <c r="O413" i="1"/>
  <c r="O417" i="1" a="1"/>
  <c r="O417" i="1"/>
  <c r="O439" i="1" a="1"/>
  <c r="O439" i="1"/>
  <c r="O611" i="1" a="1"/>
  <c r="O611" i="1"/>
  <c r="O754" i="1" a="1"/>
  <c r="O754" i="1"/>
  <c r="O820" i="1" a="1"/>
  <c r="O820" i="1"/>
  <c r="O150" i="1" a="1"/>
  <c r="O150" i="1"/>
  <c r="O391" i="1" a="1"/>
  <c r="O391" i="1"/>
  <c r="O98" i="1" a="1"/>
  <c r="O98" i="1"/>
  <c r="O124" i="1" a="1"/>
  <c r="O124" i="1"/>
  <c r="O290" i="1" a="1"/>
  <c r="O290" i="1"/>
  <c r="O322" i="1" a="1"/>
  <c r="O322" i="1"/>
  <c r="O857" i="1" a="1"/>
  <c r="O857" i="1"/>
  <c r="O941" i="1" a="1"/>
  <c r="O941" i="1"/>
  <c r="O386" i="1" a="1"/>
  <c r="O386" i="1"/>
  <c r="O506" i="1" a="1"/>
  <c r="O506" i="1"/>
  <c r="O731" i="1" a="1"/>
  <c r="O731" i="1"/>
  <c r="O940" i="1" a="1"/>
  <c r="O940" i="1"/>
  <c r="O944" i="1" a="1"/>
  <c r="O944" i="1"/>
  <c r="O311" i="1" a="1"/>
  <c r="O311" i="1"/>
  <c r="O387" i="1" a="1"/>
  <c r="O387" i="1"/>
  <c r="O741" i="1" a="1"/>
  <c r="O741" i="1"/>
  <c r="O230" i="1" a="1"/>
  <c r="O230" i="1"/>
  <c r="O317" i="1" a="1"/>
  <c r="O317" i="1"/>
  <c r="O700" i="1" a="1"/>
  <c r="O700" i="1"/>
  <c r="O777" i="1" a="1"/>
  <c r="O777" i="1"/>
  <c r="O873" i="1" a="1"/>
  <c r="O873" i="1"/>
  <c r="O900" i="1" a="1"/>
  <c r="O900" i="1"/>
  <c r="O3" i="1" a="1"/>
  <c r="O3" i="1"/>
  <c r="O79" i="1" a="1"/>
  <c r="O79" i="1"/>
  <c r="O104" i="1" a="1"/>
  <c r="O104" i="1"/>
  <c r="O167" i="1" a="1"/>
  <c r="O167" i="1"/>
  <c r="O193" i="1" a="1"/>
  <c r="O193" i="1"/>
  <c r="O274" i="1" a="1"/>
  <c r="O274" i="1"/>
  <c r="O351" i="1" a="1"/>
  <c r="O351" i="1"/>
  <c r="O602" i="1" a="1"/>
  <c r="O602" i="1"/>
  <c r="O619" i="1" a="1"/>
  <c r="O619" i="1"/>
  <c r="O263" i="1" a="1"/>
  <c r="O263" i="1"/>
  <c r="O330" i="1" a="1"/>
  <c r="O330" i="1"/>
  <c r="O456" i="1" a="1"/>
  <c r="O456" i="1"/>
  <c r="O893" i="1" a="1"/>
  <c r="O893" i="1"/>
  <c r="O977" i="1" a="1"/>
  <c r="O977" i="1"/>
  <c r="O62" i="1" a="1"/>
  <c r="O62" i="1"/>
  <c r="O282" i="1" a="1"/>
  <c r="O282" i="1"/>
  <c r="O422" i="1" a="1"/>
  <c r="O422" i="1"/>
  <c r="O419" i="1" a="1"/>
  <c r="O419" i="1"/>
  <c r="O605" i="1" a="1"/>
  <c r="O605" i="1"/>
  <c r="O640" i="1" a="1"/>
  <c r="O640" i="1"/>
  <c r="O758" i="1" a="1"/>
  <c r="O758" i="1"/>
  <c r="O116" i="1" a="1"/>
  <c r="O116" i="1"/>
  <c r="O178" i="1" a="1"/>
  <c r="O178" i="1"/>
  <c r="O299" i="1" a="1"/>
  <c r="O299" i="1"/>
  <c r="O316" i="1" a="1"/>
  <c r="O316" i="1"/>
  <c r="O623" i="1" a="1"/>
  <c r="O623" i="1"/>
  <c r="O642" i="1" a="1"/>
  <c r="O642" i="1"/>
  <c r="O956" i="1" a="1"/>
  <c r="O956" i="1"/>
  <c r="O97" i="1" a="1"/>
  <c r="O97" i="1"/>
  <c r="O767" i="1" a="1"/>
  <c r="O767" i="1"/>
  <c r="O786" i="1" a="1"/>
  <c r="O786" i="1"/>
  <c r="O392" i="1" a="1"/>
  <c r="O392" i="1"/>
  <c r="O503" i="1" a="1"/>
  <c r="O503" i="1"/>
  <c r="O569" i="1" a="1"/>
  <c r="O569" i="1"/>
  <c r="O679" i="1" a="1"/>
  <c r="O679" i="1"/>
  <c r="O854" i="1" a="1"/>
  <c r="O854" i="1"/>
  <c r="O943" i="1" a="1"/>
  <c r="O943" i="1"/>
  <c r="O59" i="1" a="1"/>
  <c r="O59" i="1"/>
  <c r="O89" i="1" a="1"/>
  <c r="O89" i="1"/>
  <c r="O267" i="1" a="1"/>
  <c r="O267" i="1"/>
  <c r="O280" i="1" a="1"/>
  <c r="O280" i="1"/>
  <c r="O376" i="1" a="1"/>
  <c r="O376" i="1"/>
  <c r="O613" i="1" a="1"/>
  <c r="O613" i="1"/>
  <c r="O695" i="1" a="1"/>
  <c r="O695" i="1"/>
  <c r="O200" i="1" a="1"/>
  <c r="O200" i="1"/>
  <c r="O284" i="1" a="1"/>
  <c r="O284" i="1"/>
  <c r="O293" i="1" a="1"/>
  <c r="O293" i="1"/>
  <c r="O522" i="1" a="1"/>
  <c r="O522" i="1"/>
  <c r="O649" i="1" a="1"/>
  <c r="O649" i="1"/>
  <c r="O706" i="1" a="1"/>
  <c r="O706" i="1"/>
  <c r="O859" i="1" a="1"/>
  <c r="O859" i="1"/>
  <c r="O890" i="1" a="1"/>
  <c r="O890" i="1"/>
  <c r="O913" i="1" a="1"/>
  <c r="O913" i="1"/>
  <c r="O970" i="1" a="1"/>
  <c r="O970" i="1"/>
  <c r="O202" i="1" a="1"/>
  <c r="O202" i="1"/>
  <c r="O288" i="1" a="1"/>
  <c r="O288" i="1"/>
  <c r="O509" i="1" a="1"/>
  <c r="O509" i="1"/>
  <c r="O676" i="1" a="1"/>
  <c r="O676" i="1"/>
  <c r="O340" i="1" a="1"/>
  <c r="O340" i="1"/>
  <c r="O850" i="1" a="1"/>
  <c r="O850" i="1"/>
  <c r="O77" i="1" a="1"/>
  <c r="O77" i="1"/>
  <c r="O152" i="1" a="1"/>
  <c r="O152" i="1"/>
  <c r="O162" i="1" a="1"/>
  <c r="O162" i="1"/>
  <c r="O309" i="1" a="1"/>
  <c r="O309" i="1"/>
  <c r="O325" i="1" a="1"/>
  <c r="O325" i="1"/>
  <c r="O650" i="1" a="1"/>
  <c r="O650" i="1"/>
  <c r="O788" i="1" a="1"/>
  <c r="O788" i="1"/>
  <c r="O841" i="1" a="1"/>
  <c r="O841" i="1"/>
  <c r="O240" i="1" a="1"/>
  <c r="O240" i="1"/>
  <c r="O473" i="1" a="1"/>
  <c r="O473" i="1"/>
  <c r="O557" i="1" a="1"/>
  <c r="O557" i="1"/>
  <c r="O574" i="1" a="1"/>
  <c r="O574" i="1"/>
  <c r="O722" i="1" a="1"/>
  <c r="O722" i="1"/>
  <c r="O747" i="1" a="1"/>
  <c r="O747" i="1"/>
  <c r="O159" i="1" a="1"/>
  <c r="O159" i="1"/>
  <c r="O371" i="1" a="1"/>
  <c r="O371" i="1"/>
  <c r="O470" i="1" a="1"/>
  <c r="O470" i="1"/>
  <c r="O477" i="1" a="1"/>
  <c r="O477" i="1"/>
  <c r="O510" i="1" a="1"/>
  <c r="O510" i="1"/>
  <c r="O735" i="1" a="1"/>
  <c r="O735" i="1"/>
  <c r="O780" i="1" a="1"/>
  <c r="O780" i="1"/>
  <c r="O972" i="1" a="1"/>
  <c r="O972" i="1"/>
  <c r="O45" i="1" a="1"/>
  <c r="O45" i="1"/>
  <c r="O501" i="1" a="1"/>
  <c r="O501" i="1"/>
  <c r="O721" i="1" a="1"/>
  <c r="O721" i="1"/>
  <c r="O35" i="1" a="1"/>
  <c r="O35" i="1"/>
  <c r="O381" i="1" a="1"/>
  <c r="O381" i="1"/>
  <c r="O539" i="1" a="1"/>
  <c r="O539" i="1"/>
  <c r="O546" i="1" a="1"/>
  <c r="O546" i="1"/>
  <c r="O558" i="1" a="1"/>
  <c r="O558" i="1"/>
  <c r="O652" i="1" a="1"/>
  <c r="O652" i="1"/>
  <c r="O796" i="1" a="1"/>
  <c r="O796" i="1"/>
  <c r="O833" i="1" a="1"/>
  <c r="O833" i="1"/>
  <c r="O895" i="1" a="1"/>
  <c r="O895" i="1"/>
  <c r="O40" i="1" a="1"/>
  <c r="O40" i="1"/>
  <c r="O201" i="1" a="1"/>
  <c r="O201" i="1"/>
  <c r="O409" i="1" a="1"/>
  <c r="O409" i="1"/>
  <c r="O498" i="1" a="1"/>
  <c r="O498" i="1"/>
  <c r="O593" i="1" a="1"/>
  <c r="O593" i="1"/>
  <c r="O909" i="1" a="1"/>
  <c r="O909" i="1"/>
  <c r="O18" i="1" a="1"/>
  <c r="O18" i="1"/>
  <c r="O123" i="1" a="1"/>
  <c r="O123" i="1"/>
  <c r="O238" i="1" a="1"/>
  <c r="O238" i="1"/>
  <c r="O242" i="1" a="1"/>
  <c r="O242" i="1"/>
  <c r="O243" i="1" a="1"/>
  <c r="O243" i="1"/>
  <c r="O581" i="1" a="1"/>
  <c r="O581" i="1"/>
  <c r="O607" i="1" a="1"/>
  <c r="O607" i="1"/>
  <c r="O713" i="1" a="1"/>
  <c r="O713" i="1"/>
  <c r="O739" i="1" a="1"/>
  <c r="O739" i="1"/>
  <c r="O808" i="1" a="1"/>
  <c r="O808" i="1"/>
  <c r="O34" i="1" a="1"/>
  <c r="O34" i="1"/>
  <c r="O125" i="1" a="1"/>
  <c r="O125" i="1"/>
  <c r="O148" i="1" a="1"/>
  <c r="O148" i="1"/>
  <c r="O195" i="1" a="1"/>
  <c r="O195" i="1"/>
  <c r="O297" i="1" a="1"/>
  <c r="O297" i="1"/>
  <c r="O361" i="1" a="1"/>
  <c r="O361" i="1"/>
  <c r="O389" i="1" a="1"/>
  <c r="O389" i="1"/>
  <c r="O628" i="1" a="1"/>
  <c r="O628" i="1"/>
  <c r="O864" i="1" a="1"/>
  <c r="O864" i="1"/>
  <c r="O920" i="1" a="1"/>
  <c r="O920" i="1"/>
  <c r="O12" i="1" a="1"/>
  <c r="O12" i="1"/>
  <c r="O449" i="1" a="1"/>
  <c r="O449" i="1"/>
  <c r="O568" i="1" a="1"/>
  <c r="O568" i="1"/>
  <c r="O567" i="1" a="1"/>
  <c r="O567" i="1"/>
  <c r="O933" i="1" a="1"/>
  <c r="O933" i="1"/>
  <c r="O31" i="1" a="1"/>
  <c r="O31" i="1"/>
  <c r="O183" i="1" a="1"/>
  <c r="O183" i="1"/>
  <c r="O345" i="1" a="1"/>
  <c r="O345" i="1"/>
  <c r="O374" i="1" a="1"/>
  <c r="O374" i="1"/>
  <c r="O399" i="1" a="1"/>
  <c r="O399" i="1"/>
  <c r="O441" i="1" a="1"/>
  <c r="O441" i="1"/>
  <c r="O682" i="1" a="1"/>
  <c r="O682" i="1"/>
  <c r="O720" i="1" a="1"/>
  <c r="O720" i="1"/>
  <c r="O778" i="1" a="1"/>
  <c r="O778" i="1"/>
  <c r="O785" i="1" a="1"/>
  <c r="O785" i="1"/>
  <c r="O801" i="1" a="1"/>
  <c r="O801" i="1"/>
  <c r="O830" i="1" a="1"/>
  <c r="O830" i="1"/>
  <c r="O85" i="1" a="1"/>
  <c r="O85" i="1"/>
  <c r="O176" i="1" a="1"/>
  <c r="O176" i="1"/>
  <c r="O688" i="1" a="1"/>
  <c r="O688" i="1"/>
  <c r="O689" i="1" a="1"/>
  <c r="O689" i="1"/>
  <c r="O922" i="1" a="1"/>
  <c r="O922" i="1"/>
  <c r="O96" i="1" a="1"/>
  <c r="O96" i="1"/>
  <c r="O283" i="1" a="1"/>
  <c r="O283" i="1"/>
  <c r="O355" i="1" a="1"/>
  <c r="O355" i="1"/>
  <c r="O614" i="1" a="1"/>
  <c r="O614" i="1"/>
  <c r="O64" i="1" a="1"/>
  <c r="O64" i="1"/>
  <c r="O291" i="1" a="1"/>
  <c r="O291" i="1"/>
  <c r="O298" i="1" a="1"/>
  <c r="O298" i="1"/>
  <c r="O450" i="1" a="1"/>
  <c r="O450" i="1"/>
  <c r="O453" i="1" a="1"/>
  <c r="O453" i="1"/>
  <c r="O545" i="1" a="1"/>
  <c r="O545" i="1"/>
  <c r="O692" i="1" a="1"/>
  <c r="O692" i="1"/>
  <c r="O889" i="1" a="1"/>
  <c r="O889" i="1"/>
  <c r="O960" i="1" a="1"/>
  <c r="O960" i="1"/>
  <c r="O986" i="1" a="1"/>
  <c r="O986" i="1"/>
  <c r="O751" i="1" a="1"/>
  <c r="O751" i="1"/>
  <c r="O770" i="1" a="1"/>
  <c r="O770" i="1"/>
  <c r="O794" i="1" a="1"/>
  <c r="O794" i="1"/>
  <c r="O804" i="1" a="1"/>
  <c r="O804" i="1"/>
  <c r="O950" i="1" a="1"/>
  <c r="O950" i="1"/>
  <c r="O993" i="1" a="1"/>
  <c r="O993" i="1"/>
  <c r="O339" i="1" a="1"/>
  <c r="O339" i="1"/>
  <c r="O589" i="1" a="1"/>
  <c r="O589" i="1"/>
  <c r="O647" i="1" a="1"/>
  <c r="O647" i="1"/>
  <c r="O947" i="1" a="1"/>
  <c r="O947" i="1"/>
  <c r="O120" i="1" a="1"/>
  <c r="O120" i="1"/>
  <c r="O427" i="1" a="1"/>
  <c r="O427" i="1"/>
  <c r="O608" i="1" a="1"/>
  <c r="O608" i="1"/>
  <c r="O670" i="1" a="1"/>
  <c r="O670" i="1"/>
  <c r="O743" i="1" a="1"/>
  <c r="O743" i="1"/>
  <c r="O959" i="1" a="1"/>
  <c r="O959" i="1"/>
  <c r="O205" i="1" a="1"/>
  <c r="O205" i="1"/>
  <c r="O237" i="1" a="1"/>
  <c r="O237" i="1"/>
  <c r="O334" i="1" a="1"/>
  <c r="O334" i="1"/>
  <c r="O359" i="1" a="1"/>
  <c r="O359" i="1"/>
  <c r="O405" i="1" a="1"/>
  <c r="O405" i="1"/>
  <c r="O481" i="1" a="1"/>
  <c r="O481" i="1"/>
  <c r="O488" i="1" a="1"/>
  <c r="O488" i="1"/>
  <c r="O790" i="1" a="1"/>
  <c r="O790" i="1"/>
  <c r="O853" i="1" a="1"/>
  <c r="O853" i="1"/>
  <c r="O39" i="1" a="1"/>
  <c r="O39" i="1"/>
  <c r="O43" i="1" a="1"/>
  <c r="O43" i="1"/>
  <c r="O259" i="1" a="1"/>
  <c r="O259" i="1"/>
  <c r="O265" i="1" a="1"/>
  <c r="O265" i="1"/>
  <c r="O277" i="1" a="1"/>
  <c r="O277" i="1"/>
  <c r="O474" i="1" a="1"/>
  <c r="O474" i="1"/>
  <c r="O564" i="1" a="1"/>
  <c r="O564" i="1"/>
  <c r="O665" i="1" a="1"/>
  <c r="O665" i="1"/>
  <c r="O181" i="1" a="1"/>
  <c r="O181" i="1"/>
  <c r="O287" i="1" a="1"/>
  <c r="O287" i="1"/>
  <c r="O336" i="1" a="1"/>
  <c r="O336" i="1"/>
  <c r="O690" i="1" a="1"/>
  <c r="O690" i="1"/>
  <c r="O906" i="1" a="1"/>
  <c r="O906" i="1"/>
  <c r="O295" i="1" a="1"/>
  <c r="O295" i="1"/>
  <c r="O693" i="1" a="1"/>
  <c r="O693" i="1"/>
  <c r="O697" i="1" a="1"/>
  <c r="O697" i="1"/>
  <c r="O839" i="1" a="1"/>
  <c r="O839" i="1"/>
  <c r="O882" i="1" a="1"/>
  <c r="O882" i="1"/>
  <c r="O965" i="1" a="1"/>
  <c r="O965" i="1"/>
  <c r="O434" i="1" a="1"/>
  <c r="O434" i="1"/>
  <c r="O444" i="1" a="1"/>
  <c r="O444" i="1"/>
  <c r="O532" i="1" a="1"/>
  <c r="O532" i="1"/>
  <c r="O102" i="1" a="1"/>
  <c r="O102" i="1"/>
  <c r="O118" i="1" a="1"/>
  <c r="O118" i="1"/>
  <c r="O211" i="1" a="1"/>
  <c r="O211" i="1"/>
  <c r="O270" i="1" a="1"/>
  <c r="O270" i="1"/>
  <c r="O406" i="1" a="1"/>
  <c r="O406" i="1"/>
  <c r="O442" i="1" a="1"/>
  <c r="O442" i="1"/>
  <c r="O699" i="1" a="1"/>
  <c r="O699" i="1"/>
  <c r="O95" i="1" a="1"/>
  <c r="O95" i="1"/>
  <c r="O512" i="1" a="1"/>
  <c r="O512" i="1"/>
  <c r="O576" i="1" a="1"/>
  <c r="O576" i="1"/>
  <c r="O774" i="1" a="1"/>
  <c r="O774" i="1"/>
  <c r="O945" i="1" a="1"/>
  <c r="O945" i="1"/>
  <c r="O219" i="1" a="1"/>
  <c r="O219" i="1"/>
  <c r="O257" i="1" a="1"/>
  <c r="O257" i="1"/>
  <c r="O421" i="1" a="1"/>
  <c r="O421" i="1"/>
  <c r="O433" i="1" a="1"/>
  <c r="O433" i="1"/>
  <c r="O599" i="1" a="1"/>
  <c r="O599" i="1"/>
  <c r="O621" i="1" a="1"/>
  <c r="O621" i="1"/>
  <c r="O645" i="1" a="1"/>
  <c r="O645" i="1"/>
  <c r="O825" i="1" a="1"/>
  <c r="O825" i="1"/>
  <c r="O952" i="1" a="1"/>
  <c r="O952" i="1"/>
  <c r="O6" i="1" a="1"/>
  <c r="O6" i="1"/>
  <c r="O165" i="1" a="1"/>
  <c r="O165" i="1"/>
  <c r="O320" i="1" a="1"/>
  <c r="O320" i="1"/>
  <c r="O726" i="1" a="1"/>
  <c r="O726" i="1"/>
  <c r="O865" i="1" a="1"/>
  <c r="O865" i="1"/>
  <c r="O966" i="1" a="1"/>
  <c r="O966" i="1"/>
  <c r="O988" i="1" a="1"/>
  <c r="O988" i="1"/>
  <c r="O15" i="1" a="1"/>
  <c r="O15" i="1"/>
  <c r="O30" i="1" a="1"/>
  <c r="O30" i="1"/>
  <c r="O54" i="1" a="1"/>
  <c r="O54" i="1"/>
  <c r="O92" i="1" a="1"/>
  <c r="O92" i="1"/>
  <c r="O163" i="1" a="1"/>
  <c r="O163" i="1"/>
  <c r="O196" i="1" a="1"/>
  <c r="O196" i="1"/>
  <c r="O356" i="1" a="1"/>
  <c r="O356" i="1"/>
  <c r="O505" i="1" a="1"/>
  <c r="O505" i="1"/>
  <c r="O514" i="1" a="1"/>
  <c r="O514" i="1"/>
  <c r="O540" i="1" a="1"/>
  <c r="O540" i="1"/>
  <c r="O627" i="1" a="1"/>
  <c r="O627" i="1"/>
  <c r="O806" i="1" a="1"/>
  <c r="O806" i="1"/>
  <c r="O955" i="1" a="1"/>
  <c r="O955" i="1"/>
  <c r="O365" i="1" a="1"/>
  <c r="O365" i="1"/>
  <c r="O423" i="1" a="1"/>
  <c r="O423" i="1"/>
  <c r="O464" i="1" a="1"/>
  <c r="O464" i="1"/>
  <c r="O667" i="1" a="1"/>
  <c r="O667" i="1"/>
  <c r="O53" i="1" a="1"/>
  <c r="O53" i="1"/>
  <c r="O347" i="1" a="1"/>
  <c r="O347" i="1"/>
  <c r="O606" i="1" a="1"/>
  <c r="O606" i="1"/>
  <c r="O811" i="1" a="1"/>
  <c r="O811" i="1"/>
  <c r="O856" i="1" a="1"/>
  <c r="O856" i="1"/>
  <c r="O898" i="1" a="1"/>
  <c r="O898" i="1"/>
  <c r="O285" i="1" a="1"/>
  <c r="O285" i="1"/>
  <c r="O310" i="1" a="1"/>
  <c r="O310" i="1"/>
  <c r="O629" i="1" a="1"/>
  <c r="O629" i="1"/>
  <c r="O674" i="1" a="1"/>
  <c r="O674" i="1"/>
  <c r="O846" i="1" a="1"/>
  <c r="O846" i="1"/>
  <c r="O306" i="1" a="1"/>
  <c r="O306" i="1"/>
  <c r="O798" i="1" a="1"/>
  <c r="O798" i="1"/>
  <c r="O802" i="1" a="1"/>
  <c r="O802" i="1"/>
  <c r="O301" i="1" a="1"/>
  <c r="O301" i="1"/>
  <c r="O314" i="1" a="1"/>
  <c r="O314" i="1"/>
  <c r="O403" i="1" a="1"/>
  <c r="O403" i="1"/>
  <c r="O725" i="1" a="1"/>
  <c r="O725" i="1"/>
  <c r="O862" i="1" a="1"/>
  <c r="O862" i="1"/>
  <c r="O891" i="1" a="1"/>
  <c r="O891" i="1"/>
  <c r="O83" i="1" a="1"/>
  <c r="O83" i="1"/>
  <c r="O121" i="1" a="1"/>
  <c r="O121" i="1"/>
  <c r="O156" i="1" a="1"/>
  <c r="O156" i="1"/>
  <c r="O166" i="1" a="1"/>
  <c r="O166" i="1"/>
  <c r="O518" i="1" a="1"/>
  <c r="O518" i="1"/>
  <c r="O654" i="1" a="1"/>
  <c r="O654" i="1"/>
  <c r="O792" i="1" a="1"/>
  <c r="O792" i="1"/>
  <c r="O65" i="1" a="1"/>
  <c r="O65" i="1"/>
  <c r="O68" i="1" a="1"/>
  <c r="O68" i="1"/>
  <c r="O177" i="1" a="1"/>
  <c r="O177" i="1"/>
  <c r="O252" i="1" a="1"/>
  <c r="O252" i="1"/>
  <c r="O489" i="1" a="1"/>
  <c r="O489" i="1"/>
  <c r="O651" i="1" a="1"/>
  <c r="O651" i="1"/>
  <c r="O691" i="1" a="1"/>
  <c r="O691" i="1"/>
  <c r="O57" i="1" a="1"/>
  <c r="O57" i="1"/>
  <c r="O294" i="1" a="1"/>
  <c r="O294" i="1"/>
  <c r="O313" i="1" a="1"/>
  <c r="O313" i="1"/>
  <c r="O383" i="1" a="1"/>
  <c r="O383" i="1"/>
  <c r="O426" i="1" a="1"/>
  <c r="O426" i="1"/>
  <c r="O516" i="1" a="1"/>
  <c r="O516" i="1"/>
  <c r="O714" i="1" a="1"/>
  <c r="O714" i="1"/>
  <c r="O728" i="1" a="1"/>
  <c r="O728" i="1"/>
  <c r="O791" i="1" a="1"/>
  <c r="O791" i="1"/>
  <c r="O987" i="1" a="1"/>
  <c r="O987" i="1"/>
  <c r="O110" i="1" a="1"/>
  <c r="O110" i="1"/>
  <c r="O112" i="1" a="1"/>
  <c r="O112" i="1"/>
  <c r="O234" i="1" a="1"/>
  <c r="O234" i="1"/>
  <c r="O366" i="1" a="1"/>
  <c r="O366" i="1"/>
  <c r="O416" i="1" a="1"/>
  <c r="O416" i="1"/>
  <c r="O672" i="1" a="1"/>
  <c r="O672" i="1"/>
  <c r="O723" i="1" a="1"/>
  <c r="O723" i="1"/>
  <c r="O879" i="1" a="1"/>
  <c r="O879" i="1"/>
  <c r="O44" i="1" a="1"/>
  <c r="O44" i="1"/>
  <c r="O126" i="1" a="1"/>
  <c r="O126" i="1"/>
  <c r="O136" i="1" a="1"/>
  <c r="O136" i="1"/>
  <c r="O248" i="1" a="1"/>
  <c r="O248" i="1"/>
  <c r="O631" i="1" a="1"/>
  <c r="O631" i="1"/>
  <c r="O816" i="1" a="1"/>
  <c r="O816" i="1"/>
  <c r="O11" i="1" a="1"/>
  <c r="O11" i="1"/>
  <c r="O132" i="1" a="1"/>
  <c r="O132" i="1"/>
  <c r="O169" i="1" a="1"/>
  <c r="O169" i="1"/>
  <c r="O244" i="1" a="1"/>
  <c r="O244" i="1"/>
  <c r="O398" i="1" a="1"/>
  <c r="O398" i="1"/>
  <c r="O835" i="1" a="1"/>
  <c r="O835" i="1"/>
  <c r="O979" i="1" a="1"/>
  <c r="O979" i="1"/>
  <c r="O7" i="1" a="1"/>
  <c r="O7" i="1"/>
  <c r="O175" i="1" a="1"/>
  <c r="O175" i="1"/>
  <c r="O445" i="1" a="1"/>
  <c r="O445" i="1"/>
  <c r="O570" i="1" a="1"/>
  <c r="O570" i="1"/>
  <c r="O596" i="1" a="1"/>
  <c r="O596" i="1"/>
  <c r="O601" i="1" a="1"/>
  <c r="O601" i="1"/>
  <c r="O821" i="1" a="1"/>
  <c r="O821" i="1"/>
  <c r="O142" i="1" a="1"/>
  <c r="O142" i="1"/>
  <c r="O552" i="1" a="1"/>
  <c r="O552" i="1"/>
  <c r="O749" i="1" a="1"/>
  <c r="O749" i="1"/>
  <c r="O21" i="1" a="1"/>
  <c r="O21" i="1"/>
  <c r="O109" i="1" a="1"/>
  <c r="O109" i="1"/>
  <c r="O147" i="1" a="1"/>
  <c r="O147" i="1"/>
  <c r="O303" i="1" a="1"/>
  <c r="O303" i="1"/>
  <c r="O604" i="1" a="1"/>
  <c r="O604" i="1"/>
  <c r="O703" i="1" a="1"/>
  <c r="O703" i="1"/>
  <c r="O813" i="1" a="1"/>
  <c r="O813" i="1"/>
  <c r="O994" i="1" a="1"/>
  <c r="O994" i="1"/>
  <c r="O24" i="1" a="1"/>
  <c r="O24" i="1"/>
  <c r="O86" i="1" a="1"/>
  <c r="O86" i="1"/>
  <c r="O536" i="1" a="1"/>
  <c r="O536" i="1"/>
  <c r="O549" i="1" a="1"/>
  <c r="O549" i="1"/>
  <c r="O626" i="1" a="1"/>
  <c r="O626" i="1"/>
  <c r="O701" i="1" a="1"/>
  <c r="O701" i="1"/>
  <c r="O742" i="1" a="1"/>
  <c r="O742" i="1"/>
  <c r="O954" i="1" a="1"/>
  <c r="O954" i="1"/>
  <c r="O16" i="1" a="1"/>
  <c r="O16" i="1"/>
  <c r="O52" i="1" a="1"/>
  <c r="O52" i="1"/>
  <c r="O404" i="1" a="1"/>
  <c r="O404" i="1"/>
  <c r="O468" i="1" a="1"/>
  <c r="O468" i="1"/>
  <c r="O669" i="1" a="1"/>
  <c r="O669" i="1"/>
  <c r="O717" i="1" a="1"/>
  <c r="O717" i="1"/>
  <c r="O740" i="1" a="1"/>
  <c r="O740" i="1"/>
  <c r="O753" i="1" a="1"/>
  <c r="O753" i="1"/>
  <c r="O784" i="1" a="1"/>
  <c r="O784" i="1"/>
  <c r="O871" i="1" a="1"/>
  <c r="O871" i="1"/>
  <c r="O25" i="1" a="1"/>
  <c r="O25" i="1"/>
  <c r="O360" i="1" a="1"/>
  <c r="O360" i="1"/>
  <c r="O394" i="1" a="1"/>
  <c r="O394" i="1"/>
  <c r="O500" i="1" a="1"/>
  <c r="O500" i="1"/>
  <c r="O534" i="1" a="1"/>
  <c r="O534" i="1"/>
  <c r="O620" i="1" a="1"/>
  <c r="O620" i="1"/>
  <c r="O711" i="1" a="1"/>
  <c r="O711" i="1"/>
  <c r="O715" i="1" a="1"/>
  <c r="O715" i="1"/>
  <c r="O789" i="1" a="1"/>
  <c r="O789" i="1"/>
  <c r="O902" i="1" a="1"/>
  <c r="O902" i="1"/>
  <c r="O935" i="1" a="1"/>
  <c r="O935" i="1"/>
  <c r="O963" i="1" a="1"/>
  <c r="O963" i="1"/>
  <c r="U33" i="1" a="1"/>
  <c r="U33" i="1"/>
  <c r="U41" i="1" a="1"/>
  <c r="U41" i="1"/>
  <c r="U45" i="1" a="1"/>
  <c r="U45" i="1"/>
  <c r="U60" i="1" a="1"/>
  <c r="U60" i="1"/>
  <c r="U57" i="1" a="1"/>
  <c r="U57" i="1"/>
  <c r="U75" i="1" a="1"/>
  <c r="U75" i="1"/>
  <c r="U82" i="1" a="1"/>
  <c r="U82" i="1"/>
  <c r="U114" i="1" a="1"/>
  <c r="U114" i="1"/>
  <c r="U116" i="1" a="1"/>
  <c r="U116" i="1"/>
  <c r="U127" i="1" a="1"/>
  <c r="U127" i="1"/>
  <c r="U137" i="1" a="1"/>
  <c r="U137" i="1"/>
  <c r="U161" i="1" a="1"/>
  <c r="U161" i="1"/>
  <c r="U173" i="1" a="1"/>
  <c r="U173" i="1"/>
  <c r="U178" i="1" a="1"/>
  <c r="U178" i="1"/>
  <c r="U182" i="1" a="1"/>
  <c r="U182" i="1"/>
  <c r="U206" i="1" a="1"/>
  <c r="U206" i="1"/>
  <c r="U219" i="1" a="1"/>
  <c r="U219" i="1"/>
  <c r="U220" i="1" a="1"/>
  <c r="U220" i="1"/>
  <c r="U223" i="1" a="1"/>
  <c r="U223" i="1"/>
  <c r="U245" i="1" a="1"/>
  <c r="U245" i="1"/>
  <c r="U247" i="1" a="1"/>
  <c r="U247" i="1"/>
  <c r="U257" i="1" a="1"/>
  <c r="U257" i="1"/>
  <c r="U266" i="1" a="1"/>
  <c r="U266" i="1"/>
  <c r="U276" i="1" a="1"/>
  <c r="U276" i="1"/>
  <c r="U294" i="1" a="1"/>
  <c r="U294" i="1"/>
  <c r="U299" i="1" a="1"/>
  <c r="U299" i="1"/>
  <c r="U313" i="1" a="1"/>
  <c r="U313" i="1"/>
  <c r="U316" i="1" a="1"/>
  <c r="U316" i="1"/>
  <c r="U331" i="1" a="1"/>
  <c r="U331" i="1"/>
  <c r="U364" i="1" a="1"/>
  <c r="U364" i="1"/>
  <c r="U383" i="1" a="1"/>
  <c r="U383" i="1"/>
  <c r="U421" i="1" a="1"/>
  <c r="U421" i="1"/>
  <c r="U426" i="1" a="1"/>
  <c r="U426" i="1"/>
  <c r="U433" i="1" a="1"/>
  <c r="U433" i="1"/>
  <c r="U440" i="1" a="1"/>
  <c r="U440" i="1"/>
  <c r="U452" i="1" a="1"/>
  <c r="U452" i="1"/>
  <c r="U454" i="1" a="1"/>
  <c r="U454" i="1"/>
  <c r="U486" i="1" a="1"/>
  <c r="U486" i="1"/>
  <c r="U501" i="1" a="1"/>
  <c r="U501" i="1"/>
  <c r="U516" i="1" a="1"/>
  <c r="U516" i="1"/>
  <c r="U520" i="1" a="1"/>
  <c r="U520" i="1"/>
  <c r="U524" i="1" a="1"/>
  <c r="U524" i="1"/>
  <c r="U526" i="1" a="1"/>
  <c r="U526" i="1"/>
  <c r="U527" i="1" a="1"/>
  <c r="U527" i="1"/>
  <c r="U563" i="1" a="1"/>
  <c r="U563" i="1"/>
  <c r="U572" i="1" a="1"/>
  <c r="U572" i="1"/>
  <c r="U591" i="1" a="1"/>
  <c r="U591" i="1"/>
  <c r="U592" i="1" a="1"/>
  <c r="U592" i="1"/>
  <c r="U594" i="1" a="1"/>
  <c r="U594" i="1"/>
  <c r="U599" i="1" a="1"/>
  <c r="U599" i="1"/>
  <c r="U623" i="1" a="1"/>
  <c r="U623" i="1"/>
  <c r="U621" i="1" a="1"/>
  <c r="U621" i="1"/>
  <c r="U642" i="1" a="1"/>
  <c r="U642" i="1"/>
  <c r="U645" i="1" a="1"/>
  <c r="U645" i="1"/>
  <c r="U655" i="1" a="1"/>
  <c r="U655" i="1"/>
  <c r="U659" i="1" a="1"/>
  <c r="U659" i="1"/>
  <c r="U714" i="1" a="1"/>
  <c r="U714" i="1"/>
  <c r="U721" i="1" a="1"/>
  <c r="U721" i="1"/>
  <c r="U728" i="1" a="1"/>
  <c r="U728" i="1"/>
  <c r="U727" i="1" a="1"/>
  <c r="U727" i="1"/>
  <c r="U751" i="1" a="1"/>
  <c r="U751" i="1"/>
  <c r="U755" i="1" a="1"/>
  <c r="U755" i="1"/>
  <c r="U761" i="1" a="1"/>
  <c r="U761" i="1"/>
  <c r="U770" i="1" a="1"/>
  <c r="U770" i="1"/>
  <c r="U782" i="1" a="1"/>
  <c r="U782" i="1"/>
  <c r="U791" i="1" a="1"/>
  <c r="U791" i="1"/>
  <c r="U794" i="1" a="1"/>
  <c r="U794" i="1"/>
  <c r="U804" i="1" a="1"/>
  <c r="U804" i="1"/>
  <c r="U825" i="1" a="1"/>
  <c r="U825" i="1"/>
  <c r="U832" i="1" a="1"/>
  <c r="U832" i="1"/>
  <c r="U848" i="1" a="1"/>
  <c r="U848" i="1"/>
  <c r="U851" i="1" a="1"/>
  <c r="U851" i="1"/>
  <c r="U875" i="1" a="1"/>
  <c r="U875" i="1"/>
  <c r="U883" i="1" a="1"/>
  <c r="U883" i="1"/>
  <c r="U905" i="1" a="1"/>
  <c r="U905" i="1"/>
  <c r="U942" i="1" a="1"/>
  <c r="U942" i="1"/>
  <c r="U950" i="1" a="1"/>
  <c r="U950" i="1"/>
  <c r="U952" i="1" a="1"/>
  <c r="U952" i="1"/>
  <c r="U956" i="1" a="1"/>
  <c r="U956" i="1"/>
  <c r="U982" i="1" a="1"/>
  <c r="U982" i="1"/>
  <c r="U987" i="1" a="1"/>
  <c r="U987" i="1"/>
  <c r="U993" i="1" a="1"/>
  <c r="U993" i="1"/>
  <c r="U997" i="1" a="1"/>
  <c r="U997" i="1"/>
  <c r="U998" i="1" a="1"/>
  <c r="U998" i="1"/>
  <c r="U2" i="1" a="1"/>
  <c r="U2" i="1"/>
  <c r="U6" i="1" a="1"/>
  <c r="U6" i="1"/>
  <c r="U17" i="1" a="1"/>
  <c r="U17" i="1"/>
  <c r="U23" i="1" a="1"/>
  <c r="U23" i="1"/>
  <c r="U35" i="1" a="1"/>
  <c r="U35" i="1"/>
  <c r="U67" i="1" a="1"/>
  <c r="U67" i="1"/>
  <c r="U74" i="1" a="1"/>
  <c r="U74" i="1"/>
  <c r="U97" i="1" a="1"/>
  <c r="U97" i="1"/>
  <c r="U100" i="1" a="1"/>
  <c r="U100" i="1"/>
  <c r="U110" i="1" a="1"/>
  <c r="U110" i="1"/>
  <c r="U112" i="1" a="1"/>
  <c r="U112" i="1"/>
  <c r="U117" i="1" a="1"/>
  <c r="U117" i="1"/>
  <c r="U146" i="1" a="1"/>
  <c r="U146" i="1"/>
  <c r="U153" i="1" a="1"/>
  <c r="U153" i="1"/>
  <c r="U165" i="1" a="1"/>
  <c r="U165" i="1"/>
  <c r="U179" i="1" a="1"/>
  <c r="U179" i="1"/>
  <c r="U186" i="1" a="1"/>
  <c r="U186" i="1"/>
  <c r="U189" i="1" a="1"/>
  <c r="U189" i="1"/>
  <c r="U192" i="1" a="1"/>
  <c r="U192" i="1"/>
  <c r="U215" i="1" a="1"/>
  <c r="U215" i="1"/>
  <c r="U234" i="1" a="1"/>
  <c r="U234" i="1"/>
  <c r="U233" i="1" a="1"/>
  <c r="U233" i="1"/>
  <c r="U262" i="1" a="1"/>
  <c r="U262" i="1"/>
  <c r="U269" i="1" a="1"/>
  <c r="U269" i="1"/>
  <c r="U278" i="1" a="1"/>
  <c r="U278" i="1"/>
  <c r="U312" i="1" a="1"/>
  <c r="U312" i="1"/>
  <c r="U319" i="1" a="1"/>
  <c r="U319" i="1"/>
  <c r="U320" i="1" a="1"/>
  <c r="U320" i="1"/>
  <c r="U339" i="1" a="1"/>
  <c r="U339" i="1"/>
  <c r="U341" i="1" a="1"/>
  <c r="U341" i="1"/>
  <c r="U344" i="1" a="1"/>
  <c r="U344" i="1"/>
  <c r="U343" i="1" a="1"/>
  <c r="U343" i="1"/>
  <c r="U350" i="1" a="1"/>
  <c r="U350" i="1"/>
  <c r="U354" i="1" a="1"/>
  <c r="U354" i="1"/>
  <c r="U353" i="1" a="1"/>
  <c r="U353" i="1"/>
  <c r="U366" i="1" a="1"/>
  <c r="U366" i="1"/>
  <c r="U369" i="1" a="1"/>
  <c r="U369" i="1"/>
  <c r="U381" i="1" a="1"/>
  <c r="U381" i="1"/>
  <c r="U408" i="1" a="1"/>
  <c r="U408" i="1"/>
  <c r="U411" i="1" a="1"/>
  <c r="U411" i="1"/>
  <c r="U413" i="1" a="1"/>
  <c r="U413" i="1"/>
  <c r="U416" i="1" a="1"/>
  <c r="U416" i="1"/>
  <c r="U417" i="1" a="1"/>
  <c r="U417" i="1"/>
  <c r="U439" i="1" a="1"/>
  <c r="U439" i="1"/>
  <c r="U451" i="1" a="1"/>
  <c r="U451" i="1"/>
  <c r="U457" i="1" a="1"/>
  <c r="U457" i="1"/>
  <c r="U465" i="1" a="1"/>
  <c r="U465" i="1"/>
  <c r="U466" i="1" a="1"/>
  <c r="U466" i="1"/>
  <c r="U469" i="1" a="1"/>
  <c r="U469" i="1"/>
  <c r="U487" i="1" a="1"/>
  <c r="U487" i="1"/>
  <c r="U497" i="1" a="1"/>
  <c r="U497" i="1"/>
  <c r="U507" i="1" a="1"/>
  <c r="U507" i="1"/>
  <c r="U530" i="1" a="1"/>
  <c r="U530" i="1"/>
  <c r="U539" i="1" a="1"/>
  <c r="U539" i="1"/>
  <c r="U546" i="1" a="1"/>
  <c r="U546" i="1"/>
  <c r="U548" i="1" a="1"/>
  <c r="U548" i="1"/>
  <c r="U551" i="1" a="1"/>
  <c r="U551" i="1"/>
  <c r="U558" i="1" a="1"/>
  <c r="U558" i="1"/>
  <c r="U583" i="1" a="1"/>
  <c r="U583" i="1"/>
  <c r="U582" i="1" a="1"/>
  <c r="U582" i="1"/>
  <c r="U589" i="1" a="1"/>
  <c r="U589" i="1"/>
  <c r="U597" i="1" a="1"/>
  <c r="U597" i="1"/>
  <c r="U611" i="1" a="1"/>
  <c r="U611" i="1"/>
  <c r="U635" i="1" a="1"/>
  <c r="U635" i="1"/>
  <c r="U637" i="1" a="1"/>
  <c r="U637" i="1"/>
  <c r="U643" i="1" a="1"/>
  <c r="U643" i="1"/>
  <c r="U647" i="1" a="1"/>
  <c r="U647" i="1"/>
  <c r="U652" i="1" a="1"/>
  <c r="U652" i="1"/>
  <c r="U661" i="1" a="1"/>
  <c r="U661" i="1"/>
  <c r="U672" i="1" a="1"/>
  <c r="U672" i="1"/>
  <c r="U696" i="1" a="1"/>
  <c r="U696" i="1"/>
  <c r="U723" i="1" a="1"/>
  <c r="U723" i="1"/>
  <c r="U726" i="1" a="1"/>
  <c r="U726" i="1"/>
  <c r="U732" i="1" a="1"/>
  <c r="U732" i="1"/>
  <c r="U750" i="1" a="1"/>
  <c r="U750" i="1"/>
  <c r="U748" i="1" a="1"/>
  <c r="U748" i="1"/>
  <c r="U754" i="1" a="1"/>
  <c r="U754" i="1"/>
  <c r="U756" i="1" a="1"/>
  <c r="U756" i="1"/>
  <c r="U767" i="1" a="1"/>
  <c r="U767" i="1"/>
  <c r="U773" i="1" a="1"/>
  <c r="U773" i="1"/>
  <c r="U786" i="1" a="1"/>
  <c r="U786" i="1"/>
  <c r="U796" i="1" a="1"/>
  <c r="U796" i="1"/>
  <c r="U795" i="1" a="1"/>
  <c r="U795" i="1"/>
  <c r="U809" i="1" a="1"/>
  <c r="U809" i="1"/>
  <c r="U819" i="1" a="1"/>
  <c r="U819" i="1"/>
  <c r="U820" i="1" a="1"/>
  <c r="U820" i="1"/>
  <c r="U828" i="1" a="1"/>
  <c r="U828" i="1"/>
  <c r="U833" i="1" a="1"/>
  <c r="U833" i="1"/>
  <c r="U837" i="1" a="1"/>
  <c r="U837" i="1"/>
  <c r="U866" i="1" a="1"/>
  <c r="U866" i="1"/>
  <c r="U865" i="1" a="1"/>
  <c r="U865" i="1"/>
  <c r="U868" i="1" a="1"/>
  <c r="U868" i="1"/>
  <c r="U878" i="1" a="1"/>
  <c r="U878" i="1"/>
  <c r="U879" i="1" a="1"/>
  <c r="U879" i="1"/>
  <c r="U895" i="1" a="1"/>
  <c r="U895" i="1"/>
  <c r="U918" i="1" a="1"/>
  <c r="U918" i="1"/>
  <c r="U916" i="1" a="1"/>
  <c r="U916" i="1"/>
  <c r="U921" i="1" a="1"/>
  <c r="U921" i="1"/>
  <c r="U947" i="1" a="1"/>
  <c r="U947" i="1"/>
  <c r="U961" i="1" a="1"/>
  <c r="U961" i="1"/>
  <c r="U966" i="1" a="1"/>
  <c r="U966" i="1"/>
  <c r="U988" i="1" a="1"/>
  <c r="U988" i="1"/>
  <c r="U15" i="1" a="1"/>
  <c r="U15" i="1"/>
  <c r="U30" i="1" a="1"/>
  <c r="U30" i="1"/>
  <c r="U40" i="1" a="1"/>
  <c r="U40" i="1"/>
  <c r="U44" i="1" a="1"/>
  <c r="U44" i="1"/>
  <c r="U42" i="1" a="1"/>
  <c r="U42" i="1"/>
  <c r="U54" i="1" a="1"/>
  <c r="U54" i="1"/>
  <c r="U56" i="1" a="1"/>
  <c r="U56" i="1"/>
  <c r="U66" i="1" a="1"/>
  <c r="U66" i="1"/>
  <c r="U87" i="1" a="1"/>
  <c r="U87" i="1"/>
  <c r="U90" i="1" a="1"/>
  <c r="U90" i="1"/>
  <c r="U92" i="1" a="1"/>
  <c r="U92" i="1"/>
  <c r="U106" i="1" a="1"/>
  <c r="U106" i="1"/>
  <c r="U120" i="1" a="1"/>
  <c r="U120" i="1"/>
  <c r="U126" i="1" a="1"/>
  <c r="U126" i="1"/>
  <c r="U129" i="1" a="1"/>
  <c r="U129" i="1"/>
  <c r="U136" i="1" a="1"/>
  <c r="U136" i="1"/>
  <c r="U138" i="1" a="1"/>
  <c r="U138" i="1"/>
  <c r="U150" i="1" a="1"/>
  <c r="U150" i="1"/>
  <c r="U158" i="1" a="1"/>
  <c r="U158" i="1"/>
  <c r="U151" i="1" a="1"/>
  <c r="U151" i="1"/>
  <c r="U163" i="1" a="1"/>
  <c r="U163" i="1"/>
  <c r="U196" i="1" a="1"/>
  <c r="U196" i="1"/>
  <c r="U201" i="1" a="1"/>
  <c r="U201" i="1"/>
  <c r="U208" i="1" a="1"/>
  <c r="U208" i="1"/>
  <c r="U207" i="1" a="1"/>
  <c r="U207" i="1"/>
  <c r="U241" i="1" a="1"/>
  <c r="U241" i="1"/>
  <c r="U248" i="1" a="1"/>
  <c r="U248" i="1"/>
  <c r="U256" i="1" a="1"/>
  <c r="U256" i="1"/>
  <c r="U264" i="1" a="1"/>
  <c r="U264" i="1"/>
  <c r="U272" i="1" a="1"/>
  <c r="U272" i="1"/>
  <c r="U279" i="1" a="1"/>
  <c r="U279" i="1"/>
  <c r="U281" i="1" a="1"/>
  <c r="U281" i="1"/>
  <c r="U304" i="1" a="1"/>
  <c r="U304" i="1"/>
  <c r="U305" i="1" a="1"/>
  <c r="U305" i="1"/>
  <c r="U342" i="1" a="1"/>
  <c r="U342" i="1"/>
  <c r="U349" i="1" a="1"/>
  <c r="U349" i="1"/>
  <c r="U348" i="1" a="1"/>
  <c r="U348" i="1"/>
  <c r="U356" i="1" a="1"/>
  <c r="U356" i="1"/>
  <c r="U377" i="1" a="1"/>
  <c r="U377" i="1"/>
  <c r="U390" i="1" a="1"/>
  <c r="U390" i="1"/>
  <c r="U391" i="1" a="1"/>
  <c r="U391" i="1"/>
  <c r="U392" i="1" a="1"/>
  <c r="U392" i="1"/>
  <c r="U409" i="1" a="1"/>
  <c r="U409" i="1"/>
  <c r="U410" i="1" a="1"/>
  <c r="U410" i="1"/>
  <c r="U424" i="1" a="1"/>
  <c r="U424" i="1"/>
  <c r="U427" i="1" a="1"/>
  <c r="U427" i="1"/>
  <c r="U430" i="1" a="1"/>
  <c r="U430" i="1"/>
  <c r="U431" i="1" a="1"/>
  <c r="U431" i="1"/>
  <c r="U463" i="1" a="1"/>
  <c r="U463" i="1"/>
  <c r="U475" i="1" a="1"/>
  <c r="U475" i="1"/>
  <c r="U476" i="1" a="1"/>
  <c r="U476" i="1"/>
  <c r="U482" i="1" a="1"/>
  <c r="U482" i="1"/>
  <c r="U498" i="1" a="1"/>
  <c r="U498" i="1"/>
  <c r="U503" i="1" a="1"/>
  <c r="U503" i="1"/>
  <c r="U505" i="1" a="1"/>
  <c r="U505" i="1"/>
  <c r="U514" i="1" a="1"/>
  <c r="U514" i="1"/>
  <c r="U533" i="1" a="1"/>
  <c r="U533" i="1"/>
  <c r="U535" i="1" a="1"/>
  <c r="U535" i="1"/>
  <c r="U537" i="1" a="1"/>
  <c r="U537" i="1"/>
  <c r="U538" i="1" a="1"/>
  <c r="U538" i="1"/>
  <c r="U540" i="1" a="1"/>
  <c r="U540" i="1"/>
  <c r="U562" i="1" a="1"/>
  <c r="U562" i="1"/>
  <c r="U566" i="1" a="1"/>
  <c r="U566" i="1"/>
  <c r="U565" i="1" a="1"/>
  <c r="U565" i="1"/>
  <c r="U569" i="1" a="1"/>
  <c r="U569" i="1"/>
  <c r="U593" i="1" a="1"/>
  <c r="U593" i="1"/>
  <c r="U608" i="1" a="1"/>
  <c r="U608" i="1"/>
  <c r="U616" i="1" a="1"/>
  <c r="U616" i="1"/>
  <c r="U627" i="1" a="1"/>
  <c r="U627" i="1"/>
  <c r="U631" i="1" a="1"/>
  <c r="U631" i="1"/>
  <c r="U633" i="1" a="1"/>
  <c r="U633" i="1"/>
  <c r="U641" i="1" a="1"/>
  <c r="U641" i="1"/>
  <c r="U656" i="1" a="1"/>
  <c r="U656" i="1"/>
  <c r="U670" i="1" a="1"/>
  <c r="U670" i="1"/>
  <c r="U679" i="1" a="1"/>
  <c r="U679" i="1"/>
  <c r="U686" i="1" a="1"/>
  <c r="U686" i="1"/>
  <c r="U704" i="1" a="1"/>
  <c r="U704" i="1"/>
  <c r="U710" i="1" a="1"/>
  <c r="U710" i="1"/>
  <c r="U733" i="1" a="1"/>
  <c r="U733" i="1"/>
  <c r="U737" i="1" a="1"/>
  <c r="U737" i="1"/>
  <c r="U743" i="1" a="1"/>
  <c r="U743" i="1"/>
  <c r="U766" i="1" a="1"/>
  <c r="U766" i="1"/>
  <c r="U772" i="1" a="1"/>
  <c r="U772" i="1"/>
  <c r="U781" i="1" a="1"/>
  <c r="U781" i="1"/>
  <c r="U787" i="1" a="1"/>
  <c r="U787" i="1"/>
  <c r="U806" i="1" a="1"/>
  <c r="U806" i="1"/>
  <c r="U816" i="1" a="1"/>
  <c r="U816" i="1"/>
  <c r="U818" i="1" a="1"/>
  <c r="U818" i="1"/>
  <c r="U822" i="1" a="1"/>
  <c r="U822" i="1"/>
  <c r="U854" i="1" a="1"/>
  <c r="U854" i="1"/>
  <c r="U896" i="1" a="1"/>
  <c r="U896" i="1"/>
  <c r="U909" i="1" a="1"/>
  <c r="U909" i="1"/>
  <c r="U934" i="1" a="1"/>
  <c r="U934" i="1"/>
  <c r="U943" i="1" a="1"/>
  <c r="U943" i="1"/>
  <c r="U955" i="1" a="1"/>
  <c r="U955" i="1"/>
  <c r="U957" i="1" a="1"/>
  <c r="U957" i="1"/>
  <c r="U958" i="1" a="1"/>
  <c r="U958" i="1"/>
  <c r="U959" i="1" a="1"/>
  <c r="U959" i="1"/>
  <c r="U967" i="1" a="1"/>
  <c r="U967" i="1"/>
  <c r="U973" i="1" a="1"/>
  <c r="U973" i="1"/>
  <c r="U980" i="1" a="1"/>
  <c r="U980" i="1"/>
  <c r="U989" i="1" a="1"/>
  <c r="U989" i="1"/>
  <c r="U8" i="1" a="1"/>
  <c r="U8" i="1"/>
  <c r="U11" i="1" a="1"/>
  <c r="U11" i="1"/>
  <c r="U14" i="1" a="1"/>
  <c r="U14" i="1"/>
  <c r="U18" i="1" a="1"/>
  <c r="U18" i="1"/>
  <c r="U37" i="1" a="1"/>
  <c r="U37" i="1"/>
  <c r="U47" i="1" a="1"/>
  <c r="U47" i="1"/>
  <c r="U59" i="1" a="1"/>
  <c r="U59" i="1"/>
  <c r="U61" i="1" a="1"/>
  <c r="U61" i="1"/>
  <c r="U89" i="1" a="1"/>
  <c r="U89" i="1"/>
  <c r="U98" i="1" a="1"/>
  <c r="U98" i="1"/>
  <c r="U99" i="1" a="1"/>
  <c r="U99" i="1"/>
  <c r="U101" i="1" a="1"/>
  <c r="U101" i="1"/>
  <c r="U122" i="1" a="1"/>
  <c r="U122" i="1"/>
  <c r="U123" i="1" a="1"/>
  <c r="U123" i="1"/>
  <c r="U124" i="1" a="1"/>
  <c r="U124" i="1"/>
  <c r="U132" i="1" a="1"/>
  <c r="U132" i="1"/>
  <c r="U144" i="1" a="1"/>
  <c r="U144" i="1"/>
  <c r="U145" i="1" a="1"/>
  <c r="U145" i="1"/>
  <c r="U154" i="1" a="1"/>
  <c r="U154" i="1"/>
  <c r="U169" i="1" a="1"/>
  <c r="U169" i="1"/>
  <c r="U185" i="1" a="1"/>
  <c r="U185" i="1"/>
  <c r="U199" i="1" a="1"/>
  <c r="U199" i="1"/>
  <c r="U205" i="1" a="1"/>
  <c r="U205" i="1"/>
  <c r="U237" i="1" a="1"/>
  <c r="U237" i="1"/>
  <c r="U238" i="1" a="1"/>
  <c r="U238" i="1"/>
  <c r="U242" i="1" a="1"/>
  <c r="U242" i="1"/>
  <c r="U243" i="1" a="1"/>
  <c r="U243" i="1"/>
  <c r="U244" i="1" a="1"/>
  <c r="U244" i="1"/>
  <c r="U260" i="1" a="1"/>
  <c r="U260" i="1"/>
  <c r="U267" i="1" a="1"/>
  <c r="U267" i="1"/>
  <c r="U280" i="1" a="1"/>
  <c r="U280" i="1"/>
  <c r="U290" i="1" a="1"/>
  <c r="U290" i="1"/>
  <c r="U302" i="1" a="1"/>
  <c r="U302" i="1"/>
  <c r="U307" i="1" a="1"/>
  <c r="U307" i="1"/>
  <c r="U322" i="1" a="1"/>
  <c r="U322" i="1"/>
  <c r="U334" i="1" a="1"/>
  <c r="U334" i="1"/>
  <c r="U337" i="1" a="1"/>
  <c r="U337" i="1"/>
  <c r="U358" i="1" a="1"/>
  <c r="U358" i="1"/>
  <c r="U359" i="1" a="1"/>
  <c r="U359" i="1"/>
  <c r="U365" i="1" a="1"/>
  <c r="U365" i="1"/>
  <c r="U368" i="1" a="1"/>
  <c r="U368" i="1"/>
  <c r="U376" i="1" a="1"/>
  <c r="U376" i="1"/>
  <c r="U384" i="1" a="1"/>
  <c r="U384" i="1"/>
  <c r="U397" i="1" a="1"/>
  <c r="U397" i="1"/>
  <c r="U398" i="1" a="1"/>
  <c r="U398" i="1"/>
  <c r="U402" i="1" a="1"/>
  <c r="U402" i="1"/>
  <c r="U405" i="1" a="1"/>
  <c r="U405" i="1"/>
  <c r="U407" i="1" a="1"/>
  <c r="U407" i="1"/>
  <c r="U418" i="1" a="1"/>
  <c r="U418" i="1"/>
  <c r="U423" i="1" a="1"/>
  <c r="U423" i="1"/>
  <c r="U436" i="1" a="1"/>
  <c r="U436" i="1"/>
  <c r="U464" i="1" a="1"/>
  <c r="U464" i="1"/>
  <c r="U481" i="1" a="1"/>
  <c r="U481" i="1"/>
  <c r="U488" i="1" a="1"/>
  <c r="U488" i="1"/>
  <c r="U490" i="1" a="1"/>
  <c r="U490" i="1"/>
  <c r="U496" i="1" a="1"/>
  <c r="U496" i="1"/>
  <c r="U525" i="1" a="1"/>
  <c r="U525" i="1"/>
  <c r="U543" i="1" a="1"/>
  <c r="U543" i="1"/>
  <c r="U544" i="1" a="1"/>
  <c r="U544" i="1"/>
  <c r="U579" i="1" a="1"/>
  <c r="U579" i="1"/>
  <c r="U580" i="1" a="1"/>
  <c r="U580" i="1"/>
  <c r="U581" i="1" a="1"/>
  <c r="U581" i="1"/>
  <c r="U587" i="1" a="1"/>
  <c r="U587" i="1"/>
  <c r="U598" i="1" a="1"/>
  <c r="U598" i="1"/>
  <c r="U609" i="1" a="1"/>
  <c r="U609" i="1"/>
  <c r="U607" i="1" a="1"/>
  <c r="U607" i="1"/>
  <c r="U610" i="1" a="1"/>
  <c r="U610" i="1"/>
  <c r="U613" i="1" a="1"/>
  <c r="U613" i="1"/>
  <c r="U667" i="1" a="1"/>
  <c r="U667" i="1"/>
  <c r="U678" i="1" a="1"/>
  <c r="U678" i="1"/>
  <c r="U685" i="1" a="1"/>
  <c r="U685" i="1"/>
  <c r="U694" i="1" a="1"/>
  <c r="U694" i="1"/>
  <c r="U695" i="1" a="1"/>
  <c r="U695" i="1"/>
  <c r="U707" i="1" a="1"/>
  <c r="U707" i="1"/>
  <c r="U713" i="1" a="1"/>
  <c r="U713" i="1"/>
  <c r="U724" i="1" a="1"/>
  <c r="U724" i="1"/>
  <c r="U739" i="1" a="1"/>
  <c r="U739" i="1"/>
  <c r="U738" i="1" a="1"/>
  <c r="U738" i="1"/>
  <c r="U762" i="1" a="1"/>
  <c r="U762" i="1"/>
  <c r="U763" i="1" a="1"/>
  <c r="U763" i="1"/>
  <c r="U775" i="1" a="1"/>
  <c r="U775" i="1"/>
  <c r="U779" i="1" a="1"/>
  <c r="U779" i="1"/>
  <c r="U783" i="1" a="1"/>
  <c r="U783" i="1"/>
  <c r="U790" i="1" a="1"/>
  <c r="U790" i="1"/>
  <c r="U808" i="1" a="1"/>
  <c r="U808" i="1"/>
  <c r="U824" i="1" a="1"/>
  <c r="U824" i="1"/>
  <c r="U823" i="1" a="1"/>
  <c r="U823" i="1"/>
  <c r="U835" i="1" a="1"/>
  <c r="U835" i="1"/>
  <c r="U853" i="1" a="1"/>
  <c r="U853" i="1"/>
  <c r="U857" i="1" a="1"/>
  <c r="U857" i="1"/>
  <c r="U867" i="1" a="1"/>
  <c r="U867" i="1"/>
  <c r="U872" i="1" a="1"/>
  <c r="U872" i="1"/>
  <c r="U888" i="1" a="1"/>
  <c r="U888" i="1"/>
  <c r="U892" i="1" a="1"/>
  <c r="U892" i="1"/>
  <c r="U910" i="1" a="1"/>
  <c r="U910" i="1"/>
  <c r="U941" i="1" a="1"/>
  <c r="U941" i="1"/>
  <c r="U951" i="1" a="1"/>
  <c r="U951" i="1"/>
  <c r="U953" i="1" a="1"/>
  <c r="U953" i="1"/>
  <c r="U969" i="1" a="1"/>
  <c r="U969" i="1"/>
  <c r="U979" i="1" a="1"/>
  <c r="U979" i="1"/>
  <c r="U995" i="1" a="1"/>
  <c r="U995" i="1"/>
  <c r="U7" i="1" a="1"/>
  <c r="U7" i="1"/>
  <c r="U28" i="1" a="1"/>
  <c r="U28" i="1"/>
  <c r="U29" i="1" a="1"/>
  <c r="U29" i="1"/>
  <c r="U34" i="1" a="1"/>
  <c r="U34" i="1"/>
  <c r="U36" i="1" a="1"/>
  <c r="U36" i="1"/>
  <c r="U39" i="1" a="1"/>
  <c r="U39" i="1"/>
  <c r="U43" i="1" a="1"/>
  <c r="U43" i="1"/>
  <c r="U46" i="1" a="1"/>
  <c r="U46" i="1"/>
  <c r="U53" i="1" a="1"/>
  <c r="U53" i="1"/>
  <c r="U71" i="1" a="1"/>
  <c r="U71" i="1"/>
  <c r="U76" i="1" a="1"/>
  <c r="U76" i="1"/>
  <c r="U94" i="1" a="1"/>
  <c r="U94" i="1"/>
  <c r="U119" i="1" a="1"/>
  <c r="U119" i="1"/>
  <c r="U125" i="1" a="1"/>
  <c r="U125" i="1"/>
  <c r="U134" i="1" a="1"/>
  <c r="U134" i="1"/>
  <c r="U148" i="1" a="1"/>
  <c r="U148" i="1"/>
  <c r="U157" i="1" a="1"/>
  <c r="U157" i="1"/>
  <c r="U168" i="1" a="1"/>
  <c r="U168" i="1"/>
  <c r="U170" i="1" a="1"/>
  <c r="U170" i="1"/>
  <c r="U175" i="1" a="1"/>
  <c r="U175" i="1"/>
  <c r="U180" i="1" a="1"/>
  <c r="U180" i="1"/>
  <c r="U195" i="1" a="1"/>
  <c r="U195" i="1"/>
  <c r="U200" i="1" a="1"/>
  <c r="U200" i="1"/>
  <c r="U221" i="1" a="1"/>
  <c r="U221" i="1"/>
  <c r="U224" i="1" a="1"/>
  <c r="U224" i="1"/>
  <c r="U251" i="1" a="1"/>
  <c r="U251" i="1"/>
  <c r="U249" i="1" a="1"/>
  <c r="U249" i="1"/>
  <c r="U259" i="1" a="1"/>
  <c r="U259" i="1"/>
  <c r="U265" i="1" a="1"/>
  <c r="U265" i="1"/>
  <c r="U277" i="1" a="1"/>
  <c r="U277" i="1"/>
  <c r="U284" i="1" a="1"/>
  <c r="U284" i="1"/>
  <c r="U289" i="1" a="1"/>
  <c r="U289" i="1"/>
  <c r="U297" i="1" a="1"/>
  <c r="U297" i="1"/>
  <c r="U293" i="1" a="1"/>
  <c r="U293" i="1"/>
  <c r="U300" i="1" a="1"/>
  <c r="U300" i="1"/>
  <c r="U308" i="1" a="1"/>
  <c r="U308" i="1"/>
  <c r="U315" i="1" a="1"/>
  <c r="U315" i="1"/>
  <c r="U318" i="1" a="1"/>
  <c r="U318" i="1"/>
  <c r="U347" i="1" a="1"/>
  <c r="U347" i="1"/>
  <c r="U361" i="1" a="1"/>
  <c r="U361" i="1"/>
  <c r="U362" i="1" a="1"/>
  <c r="U362" i="1"/>
  <c r="U379" i="1" a="1"/>
  <c r="U379" i="1"/>
  <c r="U380" i="1" a="1"/>
  <c r="U380" i="1"/>
  <c r="U386" i="1" a="1"/>
  <c r="U386" i="1"/>
  <c r="U389" i="1" a="1"/>
  <c r="U389" i="1"/>
  <c r="U395" i="1" a="1"/>
  <c r="U395" i="1"/>
  <c r="U414" i="1" a="1"/>
  <c r="U414" i="1"/>
  <c r="U428" i="1" a="1"/>
  <c r="U428" i="1"/>
  <c r="U445" i="1" a="1"/>
  <c r="U445" i="1"/>
  <c r="U447" i="1" a="1"/>
  <c r="U447" i="1"/>
  <c r="U474" i="1" a="1"/>
  <c r="U474" i="1"/>
  <c r="U480" i="1" a="1"/>
  <c r="U480" i="1"/>
  <c r="U478" i="1" a="1"/>
  <c r="U478" i="1"/>
  <c r="U492" i="1" a="1"/>
  <c r="U492" i="1"/>
  <c r="U502" i="1" a="1"/>
  <c r="U502" i="1"/>
  <c r="U506" i="1" a="1"/>
  <c r="U506" i="1"/>
  <c r="U522" i="1" a="1"/>
  <c r="U522" i="1"/>
  <c r="U521" i="1" a="1"/>
  <c r="U521" i="1"/>
  <c r="U531" i="1" a="1"/>
  <c r="U531" i="1"/>
  <c r="U560" i="1" a="1"/>
  <c r="U560" i="1"/>
  <c r="U564" i="1" a="1"/>
  <c r="U564" i="1"/>
  <c r="U570" i="1" a="1"/>
  <c r="U570" i="1"/>
  <c r="U584" i="1" a="1"/>
  <c r="U584" i="1"/>
  <c r="U590" i="1" a="1"/>
  <c r="U590" i="1"/>
  <c r="U596" i="1" a="1"/>
  <c r="U596" i="1"/>
  <c r="U601" i="1" a="1"/>
  <c r="U601" i="1"/>
  <c r="U606" i="1" a="1"/>
  <c r="U606" i="1"/>
  <c r="U624" i="1" a="1"/>
  <c r="U624" i="1"/>
  <c r="U625" i="1" a="1"/>
  <c r="U625" i="1"/>
  <c r="U628" i="1" a="1"/>
  <c r="U628" i="1"/>
  <c r="U638" i="1" a="1"/>
  <c r="U638" i="1"/>
  <c r="U639" i="1" a="1"/>
  <c r="U639" i="1"/>
  <c r="U649" i="1" a="1"/>
  <c r="U649" i="1"/>
  <c r="U653" i="1" a="1"/>
  <c r="U653" i="1"/>
  <c r="U657" i="1" a="1"/>
  <c r="U657" i="1"/>
  <c r="U665" i="1" a="1"/>
  <c r="U665" i="1"/>
  <c r="U673" i="1" a="1"/>
  <c r="U673" i="1"/>
  <c r="U680" i="1" a="1"/>
  <c r="U680" i="1"/>
  <c r="U706" i="1" a="1"/>
  <c r="U706" i="1"/>
  <c r="U729" i="1" a="1"/>
  <c r="U729" i="1"/>
  <c r="U731" i="1" a="1"/>
  <c r="U731" i="1"/>
  <c r="U752" i="1" a="1"/>
  <c r="U752" i="1"/>
  <c r="U765" i="1" a="1"/>
  <c r="U765" i="1"/>
  <c r="U771" i="1" a="1"/>
  <c r="U771" i="1"/>
  <c r="U805" i="1" a="1"/>
  <c r="U805" i="1"/>
  <c r="U807" i="1" a="1"/>
  <c r="U807" i="1"/>
  <c r="U811" i="1" a="1"/>
  <c r="U811" i="1"/>
  <c r="U821" i="1" a="1"/>
  <c r="U821" i="1"/>
  <c r="U826" i="1" a="1"/>
  <c r="U826" i="1"/>
  <c r="U847" i="1" a="1"/>
  <c r="U847" i="1"/>
  <c r="U856" i="1" a="1"/>
  <c r="U856" i="1"/>
  <c r="U859" i="1" a="1"/>
  <c r="U859" i="1"/>
  <c r="U864" i="1" a="1"/>
  <c r="U864" i="1"/>
  <c r="U880" i="1" a="1"/>
  <c r="U880" i="1"/>
  <c r="U887" i="1" a="1"/>
  <c r="U887" i="1"/>
  <c r="U890" i="1" a="1"/>
  <c r="U890" i="1"/>
  <c r="U898" i="1" a="1"/>
  <c r="U898" i="1"/>
  <c r="U913" i="1" a="1"/>
  <c r="U913" i="1"/>
  <c r="U915" i="1" a="1"/>
  <c r="U915" i="1"/>
  <c r="U917" i="1" a="1"/>
  <c r="U917" i="1"/>
  <c r="U920" i="1" a="1"/>
  <c r="U920" i="1"/>
  <c r="U919" i="1" a="1"/>
  <c r="U919" i="1"/>
  <c r="U928" i="1" a="1"/>
  <c r="U928" i="1"/>
  <c r="U940" i="1" a="1"/>
  <c r="U940" i="1"/>
  <c r="U944" i="1" a="1"/>
  <c r="U944" i="1"/>
  <c r="U970" i="1" a="1"/>
  <c r="U970" i="1"/>
  <c r="U974" i="1" a="1"/>
  <c r="U974" i="1"/>
  <c r="U991" i="1" a="1"/>
  <c r="U991" i="1"/>
  <c r="U1001" i="1" a="1"/>
  <c r="U1001" i="1"/>
  <c r="U9" i="1" a="1"/>
  <c r="U9" i="1"/>
  <c r="U12" i="1" a="1"/>
  <c r="U12" i="1"/>
  <c r="U19" i="1" a="1"/>
  <c r="U19" i="1"/>
  <c r="U27" i="1" a="1"/>
  <c r="U27" i="1"/>
  <c r="U38" i="1" a="1"/>
  <c r="U38" i="1"/>
  <c r="U51" i="1" a="1"/>
  <c r="U51" i="1"/>
  <c r="U50" i="1" a="1"/>
  <c r="U50" i="1"/>
  <c r="U72" i="1" a="1"/>
  <c r="U72" i="1"/>
  <c r="U80" i="1" a="1"/>
  <c r="U80" i="1"/>
  <c r="U81" i="1" a="1"/>
  <c r="U81" i="1"/>
  <c r="U142" i="1" a="1"/>
  <c r="U142" i="1"/>
  <c r="U160" i="1" a="1"/>
  <c r="U160" i="1"/>
  <c r="U171" i="1" a="1"/>
  <c r="U171" i="1"/>
  <c r="U181" i="1" a="1"/>
  <c r="U181" i="1"/>
  <c r="U187" i="1" a="1"/>
  <c r="U187" i="1"/>
  <c r="U202" i="1" a="1"/>
  <c r="U202" i="1"/>
  <c r="U218" i="1" a="1"/>
  <c r="U218" i="1"/>
  <c r="U227" i="1" a="1"/>
  <c r="U227" i="1"/>
  <c r="U232" i="1" a="1"/>
  <c r="U232" i="1"/>
  <c r="U254" i="1" a="1"/>
  <c r="U254" i="1"/>
  <c r="U261" i="1" a="1"/>
  <c r="U261" i="1"/>
  <c r="U287" i="1" a="1"/>
  <c r="U287" i="1"/>
  <c r="U285" i="1" a="1"/>
  <c r="U285" i="1"/>
  <c r="U288" i="1" a="1"/>
  <c r="U288" i="1"/>
  <c r="U296" i="1" a="1"/>
  <c r="U296" i="1"/>
  <c r="U292" i="1" a="1"/>
  <c r="U292" i="1"/>
  <c r="U311" i="1" a="1"/>
  <c r="U311" i="1"/>
  <c r="U310" i="1" a="1"/>
  <c r="U310" i="1"/>
  <c r="U332" i="1" a="1"/>
  <c r="U332" i="1"/>
  <c r="U335" i="1" a="1"/>
  <c r="U335" i="1"/>
  <c r="U336" i="1" a="1"/>
  <c r="U336" i="1"/>
  <c r="U382" i="1" a="1"/>
  <c r="U382" i="1"/>
  <c r="U385" i="1" a="1"/>
  <c r="U385" i="1"/>
  <c r="U387" i="1" a="1"/>
  <c r="U387" i="1"/>
  <c r="U400" i="1" a="1"/>
  <c r="U400" i="1"/>
  <c r="U443" i="1" a="1"/>
  <c r="U443" i="1"/>
  <c r="U449" i="1" a="1"/>
  <c r="U449" i="1"/>
  <c r="U459" i="1" a="1"/>
  <c r="U459" i="1"/>
  <c r="U462" i="1" a="1"/>
  <c r="U462" i="1"/>
  <c r="U479" i="1" a="1"/>
  <c r="U479" i="1"/>
  <c r="U484" i="1" a="1"/>
  <c r="U484" i="1"/>
  <c r="U495" i="1" a="1"/>
  <c r="U495" i="1"/>
  <c r="U509" i="1" a="1"/>
  <c r="U509" i="1"/>
  <c r="U515" i="1" a="1"/>
  <c r="U515" i="1"/>
  <c r="U552" i="1" a="1"/>
  <c r="U552" i="1"/>
  <c r="U559" i="1" a="1"/>
  <c r="U559" i="1"/>
  <c r="U568" i="1" a="1"/>
  <c r="U568" i="1"/>
  <c r="U567" i="1" a="1"/>
  <c r="U567" i="1"/>
  <c r="U588" i="1" a="1"/>
  <c r="U588" i="1"/>
  <c r="U629" i="1" a="1"/>
  <c r="U629" i="1"/>
  <c r="U632" i="1" a="1"/>
  <c r="U632" i="1"/>
  <c r="U646" i="1" a="1"/>
  <c r="U646" i="1"/>
  <c r="U648" i="1" a="1"/>
  <c r="U648" i="1"/>
  <c r="U664" i="1" a="1"/>
  <c r="U664" i="1"/>
  <c r="U674" i="1" a="1"/>
  <c r="U674" i="1"/>
  <c r="U676" i="1" a="1"/>
  <c r="U676" i="1"/>
  <c r="U677" i="1" a="1"/>
  <c r="U677" i="1"/>
  <c r="U690" i="1" a="1"/>
  <c r="U690" i="1"/>
  <c r="U705" i="1" a="1"/>
  <c r="U705" i="1"/>
  <c r="U716" i="1" a="1"/>
  <c r="U716" i="1"/>
  <c r="U730" i="1" a="1"/>
  <c r="U730" i="1"/>
  <c r="U734" i="1" a="1"/>
  <c r="U734" i="1"/>
  <c r="U741" i="1" a="1"/>
  <c r="U741" i="1"/>
  <c r="U749" i="1" a="1"/>
  <c r="U749" i="1"/>
  <c r="U769" i="1" a="1"/>
  <c r="U769" i="1"/>
  <c r="U776" i="1" a="1"/>
  <c r="U776" i="1"/>
  <c r="U799" i="1" a="1"/>
  <c r="U799" i="1"/>
  <c r="U797" i="1" a="1"/>
  <c r="U797" i="1"/>
  <c r="U803" i="1" a="1"/>
  <c r="U803" i="1"/>
  <c r="U831" i="1" a="1"/>
  <c r="U831" i="1"/>
  <c r="U842" i="1" a="1"/>
  <c r="U842" i="1"/>
  <c r="U845" i="1" a="1"/>
  <c r="U845" i="1"/>
  <c r="U846" i="1" a="1"/>
  <c r="U846" i="1"/>
  <c r="U869" i="1" a="1"/>
  <c r="U869" i="1"/>
  <c r="U874" i="1" a="1"/>
  <c r="U874" i="1"/>
  <c r="U903" i="1" a="1"/>
  <c r="U903" i="1"/>
  <c r="U906" i="1" a="1"/>
  <c r="U906" i="1"/>
  <c r="U914" i="1" a="1"/>
  <c r="U914" i="1"/>
  <c r="U925" i="1" a="1"/>
  <c r="U925" i="1"/>
  <c r="U929" i="1" a="1"/>
  <c r="U929" i="1"/>
  <c r="U927" i="1" a="1"/>
  <c r="U927" i="1"/>
  <c r="U932" i="1" a="1"/>
  <c r="U932" i="1"/>
  <c r="U933" i="1" a="1"/>
  <c r="U933" i="1"/>
  <c r="U936" i="1" a="1"/>
  <c r="U936" i="1"/>
  <c r="U981" i="1" a="1"/>
  <c r="U981" i="1"/>
  <c r="U984" i="1" a="1"/>
  <c r="U984" i="1"/>
  <c r="U983" i="1" a="1"/>
  <c r="U983" i="1"/>
  <c r="U21" i="1" a="1"/>
  <c r="U21" i="1"/>
  <c r="U31" i="1" a="1"/>
  <c r="U31" i="1"/>
  <c r="U69" i="1" a="1"/>
  <c r="U69" i="1"/>
  <c r="U105" i="1" a="1"/>
  <c r="U105" i="1"/>
  <c r="U109" i="1" a="1"/>
  <c r="U109" i="1"/>
  <c r="U113" i="1" a="1"/>
  <c r="U113" i="1"/>
  <c r="U131" i="1" a="1"/>
  <c r="U131" i="1"/>
  <c r="U143" i="1" a="1"/>
  <c r="U143" i="1"/>
  <c r="U147" i="1" a="1"/>
  <c r="U147" i="1"/>
  <c r="U155" i="1" a="1"/>
  <c r="U155" i="1"/>
  <c r="U174" i="1" a="1"/>
  <c r="U174" i="1"/>
  <c r="U183" i="1" a="1"/>
  <c r="U183" i="1"/>
  <c r="U203" i="1" a="1"/>
  <c r="U203" i="1"/>
  <c r="U213" i="1" a="1"/>
  <c r="U213" i="1"/>
  <c r="U217" i="1" a="1"/>
  <c r="U217" i="1"/>
  <c r="U228" i="1" a="1"/>
  <c r="U228" i="1"/>
  <c r="U230" i="1" a="1"/>
  <c r="U230" i="1"/>
  <c r="U246" i="1" a="1"/>
  <c r="U246" i="1"/>
  <c r="U273" i="1" a="1"/>
  <c r="U273" i="1"/>
  <c r="U295" i="1" a="1"/>
  <c r="U295" i="1"/>
  <c r="U303" i="1" a="1"/>
  <c r="U303" i="1"/>
  <c r="U306" i="1" a="1"/>
  <c r="U306" i="1"/>
  <c r="U317" i="1" a="1"/>
  <c r="U317" i="1"/>
  <c r="U323" i="1" a="1"/>
  <c r="U323" i="1"/>
  <c r="U340" i="1" a="1"/>
  <c r="U340" i="1"/>
  <c r="U345" i="1" a="1"/>
  <c r="U345" i="1"/>
  <c r="U367" i="1" a="1"/>
  <c r="U367" i="1"/>
  <c r="U374" i="1" a="1"/>
  <c r="U374" i="1"/>
  <c r="U399" i="1" a="1"/>
  <c r="U399" i="1"/>
  <c r="U420" i="1" a="1"/>
  <c r="U420" i="1"/>
  <c r="U425" i="1" a="1"/>
  <c r="U425" i="1"/>
  <c r="U429" i="1" a="1"/>
  <c r="U429" i="1"/>
  <c r="U435" i="1" a="1"/>
  <c r="U435" i="1"/>
  <c r="U438" i="1" a="1"/>
  <c r="U438" i="1"/>
  <c r="U441" i="1" a="1"/>
  <c r="U441" i="1"/>
  <c r="U446" i="1" a="1"/>
  <c r="U446" i="1"/>
  <c r="U455" i="1" a="1"/>
  <c r="U455" i="1"/>
  <c r="U460" i="1" a="1"/>
  <c r="U460" i="1"/>
  <c r="U472" i="1" a="1"/>
  <c r="U472" i="1"/>
  <c r="U483" i="1" a="1"/>
  <c r="U483" i="1"/>
  <c r="U494" i="1" a="1"/>
  <c r="U494" i="1"/>
  <c r="U508" i="1" a="1"/>
  <c r="U508" i="1"/>
  <c r="U511" i="1" a="1"/>
  <c r="U511" i="1"/>
  <c r="U517" i="1" a="1"/>
  <c r="U517" i="1"/>
  <c r="U519" i="1" a="1"/>
  <c r="U519" i="1"/>
  <c r="U523" i="1" a="1"/>
  <c r="U523" i="1"/>
  <c r="U528" i="1" a="1"/>
  <c r="U528" i="1"/>
  <c r="U542" i="1" a="1"/>
  <c r="U542" i="1"/>
  <c r="U554" i="1" a="1"/>
  <c r="U554" i="1"/>
  <c r="U555" i="1" a="1"/>
  <c r="U555" i="1"/>
  <c r="U575" i="1" a="1"/>
  <c r="U575" i="1"/>
  <c r="U586" i="1" a="1"/>
  <c r="U586" i="1"/>
  <c r="U585" i="1" a="1"/>
  <c r="U585" i="1"/>
  <c r="U604" i="1" a="1"/>
  <c r="U604" i="1"/>
  <c r="U617" i="1" a="1"/>
  <c r="U617" i="1"/>
  <c r="U668" i="1" a="1"/>
  <c r="U668" i="1"/>
  <c r="U682" i="1" a="1"/>
  <c r="U682" i="1"/>
  <c r="U693" i="1" a="1"/>
  <c r="U693" i="1"/>
  <c r="U697" i="1" a="1"/>
  <c r="U697" i="1"/>
  <c r="U698" i="1" a="1"/>
  <c r="U698" i="1"/>
  <c r="U703" i="1" a="1"/>
  <c r="U703" i="1"/>
  <c r="U700" i="1" a="1"/>
  <c r="U700" i="1"/>
  <c r="U712" i="1" a="1"/>
  <c r="U712" i="1"/>
  <c r="U720" i="1" a="1"/>
  <c r="U720" i="1"/>
  <c r="U736" i="1" a="1"/>
  <c r="U736" i="1"/>
  <c r="U744" i="1" a="1"/>
  <c r="U744" i="1"/>
  <c r="U746" i="1" a="1"/>
  <c r="U746" i="1"/>
  <c r="U759" i="1" a="1"/>
  <c r="U759" i="1"/>
  <c r="U777" i="1" a="1"/>
  <c r="U777" i="1"/>
  <c r="U778" i="1" a="1"/>
  <c r="U778" i="1"/>
  <c r="U785" i="1" a="1"/>
  <c r="U785" i="1"/>
  <c r="U798" i="1" a="1"/>
  <c r="U798" i="1"/>
  <c r="U801" i="1" a="1"/>
  <c r="U801" i="1"/>
  <c r="U802" i="1" a="1"/>
  <c r="U802" i="1"/>
  <c r="U810" i="1" a="1"/>
  <c r="U810" i="1"/>
  <c r="U813" i="1" a="1"/>
  <c r="U813" i="1"/>
  <c r="U815" i="1" a="1"/>
  <c r="U815" i="1"/>
  <c r="U817" i="1" a="1"/>
  <c r="U817" i="1"/>
  <c r="U830" i="1" a="1"/>
  <c r="U830" i="1"/>
  <c r="U838" i="1" a="1"/>
  <c r="U838" i="1"/>
  <c r="U839" i="1" a="1"/>
  <c r="U839" i="1"/>
  <c r="U844" i="1" a="1"/>
  <c r="U844" i="1"/>
  <c r="U852" i="1" a="1"/>
  <c r="U852" i="1"/>
  <c r="U850" i="1" a="1"/>
  <c r="U850" i="1"/>
  <c r="U860" i="1" a="1"/>
  <c r="U860" i="1"/>
  <c r="U873" i="1" a="1"/>
  <c r="U873" i="1"/>
  <c r="U882" i="1" a="1"/>
  <c r="U882" i="1"/>
  <c r="U897" i="1" a="1"/>
  <c r="U897" i="1"/>
  <c r="U901" i="1" a="1"/>
  <c r="U901" i="1"/>
  <c r="U900" i="1" a="1"/>
  <c r="U900" i="1"/>
  <c r="U908" i="1" a="1"/>
  <c r="U908" i="1"/>
  <c r="U930" i="1" a="1"/>
  <c r="U930" i="1"/>
  <c r="U931" i="1" a="1"/>
  <c r="U931" i="1"/>
  <c r="U937" i="1" a="1"/>
  <c r="U937" i="1"/>
  <c r="U939" i="1" a="1"/>
  <c r="U939" i="1"/>
  <c r="U965" i="1" a="1"/>
  <c r="U965" i="1"/>
  <c r="U968" i="1" a="1"/>
  <c r="U968" i="1"/>
  <c r="U978" i="1" a="1"/>
  <c r="U978" i="1"/>
  <c r="U994" i="1" a="1"/>
  <c r="U994" i="1"/>
  <c r="U3" i="1" a="1"/>
  <c r="U3" i="1"/>
  <c r="U4" i="1" a="1"/>
  <c r="U4" i="1"/>
  <c r="U10" i="1" a="1"/>
  <c r="U10" i="1"/>
  <c r="U13" i="1" a="1"/>
  <c r="U13" i="1"/>
  <c r="U20" i="1" a="1"/>
  <c r="U20" i="1"/>
  <c r="U24" i="1" a="1"/>
  <c r="U24" i="1"/>
  <c r="U32" i="1" a="1"/>
  <c r="U32" i="1"/>
  <c r="U55" i="1" a="1"/>
  <c r="U55" i="1"/>
  <c r="U77" i="1" a="1"/>
  <c r="U77" i="1"/>
  <c r="U79" i="1" a="1"/>
  <c r="U79" i="1"/>
  <c r="U78" i="1" a="1"/>
  <c r="U78" i="1"/>
  <c r="U86" i="1" a="1"/>
  <c r="U86" i="1"/>
  <c r="U85" i="1" a="1"/>
  <c r="U85" i="1"/>
  <c r="U104" i="1" a="1"/>
  <c r="U104" i="1"/>
  <c r="U107" i="1" a="1"/>
  <c r="U107" i="1"/>
  <c r="U139" i="1" a="1"/>
  <c r="U139" i="1"/>
  <c r="U141" i="1" a="1"/>
  <c r="U141" i="1"/>
  <c r="U140" i="1" a="1"/>
  <c r="U140" i="1"/>
  <c r="U152" i="1" a="1"/>
  <c r="U152" i="1"/>
  <c r="U162" i="1" a="1"/>
  <c r="U162" i="1"/>
  <c r="U164" i="1" a="1"/>
  <c r="U164" i="1"/>
  <c r="U167" i="1" a="1"/>
  <c r="U167" i="1"/>
  <c r="U176" i="1" a="1"/>
  <c r="U176" i="1"/>
  <c r="U188" i="1" a="1"/>
  <c r="U188" i="1"/>
  <c r="U191" i="1" a="1"/>
  <c r="U191" i="1"/>
  <c r="U190" i="1" a="1"/>
  <c r="U190" i="1"/>
  <c r="U193" i="1" a="1"/>
  <c r="U193" i="1"/>
  <c r="U198" i="1" a="1"/>
  <c r="U198" i="1"/>
  <c r="U204" i="1" a="1"/>
  <c r="U204" i="1"/>
  <c r="U229" i="1" a="1"/>
  <c r="U229" i="1"/>
  <c r="U236" i="1" a="1"/>
  <c r="U236" i="1"/>
  <c r="U239" i="1" a="1"/>
  <c r="U239" i="1"/>
  <c r="U271" i="1" a="1"/>
  <c r="U271" i="1"/>
  <c r="U268" i="1" a="1"/>
  <c r="U268" i="1"/>
  <c r="U274" i="1" a="1"/>
  <c r="U274" i="1"/>
  <c r="U301" i="1" a="1"/>
  <c r="U301" i="1"/>
  <c r="U309" i="1" a="1"/>
  <c r="U309" i="1"/>
  <c r="U314" i="1" a="1"/>
  <c r="U314" i="1"/>
  <c r="U321" i="1" a="1"/>
  <c r="U321" i="1"/>
  <c r="U325" i="1" a="1"/>
  <c r="U325" i="1"/>
  <c r="U326" i="1" a="1"/>
  <c r="U326" i="1"/>
  <c r="U329" i="1" a="1"/>
  <c r="U329" i="1"/>
  <c r="U333" i="1" a="1"/>
  <c r="U333" i="1"/>
  <c r="U351" i="1" a="1"/>
  <c r="U351" i="1"/>
  <c r="U375" i="1" a="1"/>
  <c r="U375" i="1"/>
  <c r="U378" i="1" a="1"/>
  <c r="U378" i="1"/>
  <c r="U393" i="1" a="1"/>
  <c r="U393" i="1"/>
  <c r="U396" i="1" a="1"/>
  <c r="U396" i="1"/>
  <c r="U403" i="1" a="1"/>
  <c r="U403" i="1"/>
  <c r="U412" i="1" a="1"/>
  <c r="U412" i="1"/>
  <c r="U415" i="1" a="1"/>
  <c r="U415" i="1"/>
  <c r="U432" i="1" a="1"/>
  <c r="U432" i="1"/>
  <c r="U434" i="1" a="1"/>
  <c r="U434" i="1"/>
  <c r="U444" i="1" a="1"/>
  <c r="U444" i="1"/>
  <c r="U467" i="1" a="1"/>
  <c r="U467" i="1"/>
  <c r="U471" i="1" a="1"/>
  <c r="U471" i="1"/>
  <c r="U493" i="1" a="1"/>
  <c r="U493" i="1"/>
  <c r="U491" i="1" a="1"/>
  <c r="U491" i="1"/>
  <c r="U499" i="1" a="1"/>
  <c r="U499" i="1"/>
  <c r="U504" i="1" a="1"/>
  <c r="U504" i="1"/>
  <c r="U513" i="1" a="1"/>
  <c r="U513" i="1"/>
  <c r="U532" i="1" a="1"/>
  <c r="U532" i="1"/>
  <c r="U536" i="1" a="1"/>
  <c r="U536" i="1"/>
  <c r="U541" i="1" a="1"/>
  <c r="U541" i="1"/>
  <c r="U549" i="1" a="1"/>
  <c r="U549" i="1"/>
  <c r="U553" i="1" a="1"/>
  <c r="U553" i="1"/>
  <c r="U571" i="1" a="1"/>
  <c r="U571" i="1"/>
  <c r="U573" i="1" a="1"/>
  <c r="U573" i="1"/>
  <c r="U578" i="1" a="1"/>
  <c r="U578" i="1"/>
  <c r="U602" i="1" a="1"/>
  <c r="U602" i="1"/>
  <c r="U612" i="1" a="1"/>
  <c r="U612" i="1"/>
  <c r="U615" i="1" a="1"/>
  <c r="U615" i="1"/>
  <c r="U619" i="1" a="1"/>
  <c r="U619" i="1"/>
  <c r="U626" i="1" a="1"/>
  <c r="U626" i="1"/>
  <c r="U650" i="1" a="1"/>
  <c r="U650" i="1"/>
  <c r="U671" i="1" a="1"/>
  <c r="U671" i="1"/>
  <c r="U684" i="1" a="1"/>
  <c r="U684" i="1"/>
  <c r="U688" i="1" a="1"/>
  <c r="U688" i="1"/>
  <c r="U689" i="1" a="1"/>
  <c r="U689" i="1"/>
  <c r="U687" i="1" a="1"/>
  <c r="U687" i="1"/>
  <c r="U701" i="1" a="1"/>
  <c r="U701" i="1"/>
  <c r="U702" i="1" a="1"/>
  <c r="U702" i="1"/>
  <c r="U725" i="1" a="1"/>
  <c r="U725" i="1"/>
  <c r="U742" i="1" a="1"/>
  <c r="U742" i="1"/>
  <c r="U764" i="1" a="1"/>
  <c r="U764" i="1"/>
  <c r="U768" i="1" a="1"/>
  <c r="U768" i="1"/>
  <c r="U788" i="1" a="1"/>
  <c r="U788" i="1"/>
  <c r="U793" i="1" a="1"/>
  <c r="U793" i="1"/>
  <c r="U841" i="1" a="1"/>
  <c r="U841" i="1"/>
  <c r="U849" i="1" a="1"/>
  <c r="U849" i="1"/>
  <c r="U855" i="1" a="1"/>
  <c r="U855" i="1"/>
  <c r="U862" i="1" a="1"/>
  <c r="U862" i="1"/>
  <c r="U870" i="1" a="1"/>
  <c r="U870" i="1"/>
  <c r="U884" i="1" a="1"/>
  <c r="U884" i="1"/>
  <c r="U891" i="1" a="1"/>
  <c r="U891" i="1"/>
  <c r="U894" i="1" a="1"/>
  <c r="U894" i="1"/>
  <c r="U907" i="1" a="1"/>
  <c r="U907" i="1"/>
  <c r="U923" i="1" a="1"/>
  <c r="U923" i="1"/>
  <c r="U922" i="1" a="1"/>
  <c r="U922" i="1"/>
  <c r="U938" i="1" a="1"/>
  <c r="U938" i="1"/>
  <c r="U954" i="1" a="1"/>
  <c r="U954" i="1"/>
  <c r="U964" i="1" a="1"/>
  <c r="U964" i="1"/>
  <c r="U975" i="1" a="1"/>
  <c r="U975" i="1"/>
  <c r="U996" i="1" a="1"/>
  <c r="U996" i="1"/>
  <c r="U5" i="1" a="1"/>
  <c r="U5" i="1"/>
  <c r="U16" i="1" a="1"/>
  <c r="U16" i="1"/>
  <c r="U22" i="1" a="1"/>
  <c r="U22" i="1"/>
  <c r="U26" i="1" a="1"/>
  <c r="U26" i="1"/>
  <c r="U48" i="1" a="1"/>
  <c r="U48" i="1"/>
  <c r="U52" i="1" a="1"/>
  <c r="U52" i="1"/>
  <c r="U58" i="1" a="1"/>
  <c r="U58" i="1"/>
  <c r="U63" i="1" a="1"/>
  <c r="U63" i="1"/>
  <c r="U73" i="1" a="1"/>
  <c r="U73" i="1"/>
  <c r="U84" i="1" a="1"/>
  <c r="U84" i="1"/>
  <c r="U83" i="1" a="1"/>
  <c r="U83" i="1"/>
  <c r="U96" i="1" a="1"/>
  <c r="U96" i="1"/>
  <c r="U93" i="1" a="1"/>
  <c r="U93" i="1"/>
  <c r="U103" i="1" a="1"/>
  <c r="U103" i="1"/>
  <c r="U102" i="1" a="1"/>
  <c r="U102" i="1"/>
  <c r="U108" i="1" a="1"/>
  <c r="U108" i="1"/>
  <c r="U111" i="1" a="1"/>
  <c r="U111" i="1"/>
  <c r="U118" i="1" a="1"/>
  <c r="U118" i="1"/>
  <c r="U121" i="1" a="1"/>
  <c r="U121" i="1"/>
  <c r="U128" i="1" a="1"/>
  <c r="U128" i="1"/>
  <c r="U133" i="1" a="1"/>
  <c r="U133" i="1"/>
  <c r="U135" i="1" a="1"/>
  <c r="U135" i="1"/>
  <c r="U149" i="1" a="1"/>
  <c r="U149" i="1"/>
  <c r="U156" i="1" a="1"/>
  <c r="U156" i="1"/>
  <c r="U166" i="1" a="1"/>
  <c r="U166" i="1"/>
  <c r="U184" i="1" a="1"/>
  <c r="U184" i="1"/>
  <c r="U209" i="1" a="1"/>
  <c r="U209" i="1"/>
  <c r="U211" i="1" a="1"/>
  <c r="U211" i="1"/>
  <c r="U214" i="1" a="1"/>
  <c r="U214" i="1"/>
  <c r="U231" i="1" a="1"/>
  <c r="U231" i="1"/>
  <c r="U235" i="1" a="1"/>
  <c r="U235" i="1"/>
  <c r="U240" i="1" a="1"/>
  <c r="U240" i="1"/>
  <c r="U250" i="1" a="1"/>
  <c r="U250" i="1"/>
  <c r="U263" i="1" a="1"/>
  <c r="U263" i="1"/>
  <c r="U270" i="1" a="1"/>
  <c r="U270" i="1"/>
  <c r="U275" i="1" a="1"/>
  <c r="U275" i="1"/>
  <c r="U283" i="1" a="1"/>
  <c r="U283" i="1"/>
  <c r="U324" i="1" a="1"/>
  <c r="U324" i="1"/>
  <c r="U330" i="1" a="1"/>
  <c r="U330" i="1"/>
  <c r="U338" i="1" a="1"/>
  <c r="U338" i="1"/>
  <c r="U346" i="1" a="1"/>
  <c r="U346" i="1"/>
  <c r="U355" i="1" a="1"/>
  <c r="U355" i="1"/>
  <c r="U370" i="1" a="1"/>
  <c r="U370" i="1"/>
  <c r="U406" i="1" a="1"/>
  <c r="U406" i="1"/>
  <c r="U404" i="1" a="1"/>
  <c r="U404" i="1"/>
  <c r="U437" i="1" a="1"/>
  <c r="U437" i="1"/>
  <c r="U442" i="1" a="1"/>
  <c r="U442" i="1"/>
  <c r="U456" i="1" a="1"/>
  <c r="U456" i="1"/>
  <c r="U458" i="1" a="1"/>
  <c r="U458" i="1"/>
  <c r="U468" i="1" a="1"/>
  <c r="U468" i="1"/>
  <c r="U473" i="1" a="1"/>
  <c r="U473" i="1"/>
  <c r="U485" i="1" a="1"/>
  <c r="U485" i="1"/>
  <c r="U518" i="1" a="1"/>
  <c r="U518" i="1"/>
  <c r="U529" i="1" a="1"/>
  <c r="U529" i="1"/>
  <c r="U547" i="1" a="1"/>
  <c r="U547" i="1"/>
  <c r="U550" i="1" a="1"/>
  <c r="U550" i="1"/>
  <c r="U556" i="1" a="1"/>
  <c r="U556" i="1"/>
  <c r="U557" i="1" a="1"/>
  <c r="U557" i="1"/>
  <c r="U561" i="1" a="1"/>
  <c r="U561" i="1"/>
  <c r="U574" i="1" a="1"/>
  <c r="U574" i="1"/>
  <c r="U595" i="1" a="1"/>
  <c r="U595" i="1"/>
  <c r="U603" i="1" a="1"/>
  <c r="U603" i="1"/>
  <c r="U614" i="1" a="1"/>
  <c r="U614" i="1"/>
  <c r="U618" i="1" a="1"/>
  <c r="U618" i="1"/>
  <c r="U630" i="1" a="1"/>
  <c r="U630" i="1"/>
  <c r="U636" i="1" a="1"/>
  <c r="U636" i="1"/>
  <c r="U654" i="1" a="1"/>
  <c r="U654" i="1"/>
  <c r="U658" i="1" a="1"/>
  <c r="U658" i="1"/>
  <c r="U660" i="1" a="1"/>
  <c r="U660" i="1"/>
  <c r="U669" i="1" a="1"/>
  <c r="U669" i="1"/>
  <c r="U666" i="1" a="1"/>
  <c r="U666" i="1"/>
  <c r="U699" i="1" a="1"/>
  <c r="U699" i="1"/>
  <c r="U708" i="1" a="1"/>
  <c r="U708" i="1"/>
  <c r="U709" i="1" a="1"/>
  <c r="U709" i="1"/>
  <c r="U717" i="1" a="1"/>
  <c r="U717" i="1"/>
  <c r="U722" i="1" a="1"/>
  <c r="U722" i="1"/>
  <c r="U740" i="1" a="1"/>
  <c r="U740" i="1"/>
  <c r="U747" i="1" a="1"/>
  <c r="U747" i="1"/>
  <c r="U753" i="1" a="1"/>
  <c r="U753" i="1"/>
  <c r="U757" i="1" a="1"/>
  <c r="U757" i="1"/>
  <c r="U784" i="1" a="1"/>
  <c r="U784" i="1"/>
  <c r="U792" i="1" a="1"/>
  <c r="U792" i="1"/>
  <c r="U814" i="1" a="1"/>
  <c r="U814" i="1"/>
  <c r="U840" i="1" a="1"/>
  <c r="U840" i="1"/>
  <c r="U843" i="1" a="1"/>
  <c r="U843" i="1"/>
  <c r="U861" i="1" a="1"/>
  <c r="U861" i="1"/>
  <c r="U871" i="1" a="1"/>
  <c r="U871" i="1"/>
  <c r="U876" i="1" a="1"/>
  <c r="U876" i="1"/>
  <c r="U881" i="1" a="1"/>
  <c r="U881" i="1"/>
  <c r="U885" i="1" a="1"/>
  <c r="U885" i="1"/>
  <c r="U893" i="1" a="1"/>
  <c r="U893" i="1"/>
  <c r="U899" i="1" a="1"/>
  <c r="U899" i="1"/>
  <c r="U912" i="1" a="1"/>
  <c r="U912" i="1"/>
  <c r="U911" i="1" a="1"/>
  <c r="U911" i="1"/>
  <c r="U946" i="1" a="1"/>
  <c r="U946" i="1"/>
  <c r="U962" i="1" a="1"/>
  <c r="U962" i="1"/>
  <c r="U971" i="1" a="1"/>
  <c r="U971" i="1"/>
  <c r="U977" i="1" a="1"/>
  <c r="U977" i="1"/>
  <c r="U985" i="1" a="1"/>
  <c r="U985" i="1"/>
  <c r="U999" i="1" a="1"/>
  <c r="U999" i="1"/>
  <c r="U25" i="1" a="1"/>
  <c r="U25" i="1"/>
  <c r="U49" i="1" a="1"/>
  <c r="U49" i="1"/>
  <c r="U62" i="1" a="1"/>
  <c r="U62" i="1"/>
  <c r="U64" i="1" a="1"/>
  <c r="U64" i="1"/>
  <c r="U65" i="1" a="1"/>
  <c r="U65" i="1"/>
  <c r="U68" i="1" a="1"/>
  <c r="U68" i="1"/>
  <c r="U88" i="1" a="1"/>
  <c r="U88" i="1"/>
  <c r="U91" i="1" a="1"/>
  <c r="U91" i="1"/>
  <c r="U95" i="1" a="1"/>
  <c r="U95" i="1"/>
  <c r="U115" i="1" a="1"/>
  <c r="U115" i="1"/>
  <c r="U130" i="1" a="1"/>
  <c r="U130" i="1"/>
  <c r="U159" i="1" a="1"/>
  <c r="U159" i="1"/>
  <c r="U172" i="1" a="1"/>
  <c r="U172" i="1"/>
  <c r="U177" i="1" a="1"/>
  <c r="U177" i="1"/>
  <c r="U194" i="1" a="1"/>
  <c r="U194" i="1"/>
  <c r="U197" i="1" a="1"/>
  <c r="U197" i="1"/>
  <c r="U210" i="1" a="1"/>
  <c r="U210" i="1"/>
  <c r="U212" i="1" a="1"/>
  <c r="U212" i="1"/>
  <c r="U216" i="1" a="1"/>
  <c r="U216" i="1"/>
  <c r="U222" i="1" a="1"/>
  <c r="U222" i="1"/>
  <c r="U226" i="1" a="1"/>
  <c r="U226" i="1"/>
  <c r="U225" i="1" a="1"/>
  <c r="U225" i="1"/>
  <c r="U252" i="1" a="1"/>
  <c r="U252" i="1"/>
  <c r="U253" i="1" a="1"/>
  <c r="U253" i="1"/>
  <c r="U255" i="1" a="1"/>
  <c r="U255" i="1"/>
  <c r="U258" i="1" a="1"/>
  <c r="U258" i="1"/>
  <c r="U282" i="1" a="1"/>
  <c r="U282" i="1"/>
  <c r="U286" i="1" a="1"/>
  <c r="U286" i="1"/>
  <c r="U291" i="1" a="1"/>
  <c r="U291" i="1"/>
  <c r="U298" i="1" a="1"/>
  <c r="U298" i="1"/>
  <c r="U327" i="1" a="1"/>
  <c r="U327" i="1"/>
  <c r="U328" i="1" a="1"/>
  <c r="U328" i="1"/>
  <c r="U352" i="1" a="1"/>
  <c r="U352" i="1"/>
  <c r="U357" i="1" a="1"/>
  <c r="U357" i="1"/>
  <c r="U360" i="1" a="1"/>
  <c r="U360" i="1"/>
  <c r="U363" i="1" a="1"/>
  <c r="U363" i="1"/>
  <c r="U371" i="1" a="1"/>
  <c r="U371" i="1"/>
  <c r="U372" i="1" a="1"/>
  <c r="U372" i="1"/>
  <c r="U373" i="1" a="1"/>
  <c r="U373" i="1"/>
  <c r="U388" i="1" a="1"/>
  <c r="U388" i="1"/>
  <c r="U394" i="1" a="1"/>
  <c r="U394" i="1"/>
  <c r="U401" i="1" a="1"/>
  <c r="U401" i="1"/>
  <c r="U422" i="1" a="1"/>
  <c r="U422" i="1"/>
  <c r="U419" i="1" a="1"/>
  <c r="U419" i="1"/>
  <c r="U450" i="1" a="1"/>
  <c r="U450" i="1"/>
  <c r="U448" i="1" a="1"/>
  <c r="U448" i="1"/>
  <c r="U453" i="1" a="1"/>
  <c r="U453" i="1"/>
  <c r="U461" i="1" a="1"/>
  <c r="U461" i="1"/>
  <c r="U470" i="1" a="1"/>
  <c r="U470" i="1"/>
  <c r="U477" i="1" a="1"/>
  <c r="U477" i="1"/>
  <c r="U489" i="1" a="1"/>
  <c r="U489" i="1"/>
  <c r="U500" i="1" a="1"/>
  <c r="U500" i="1"/>
  <c r="U512" i="1" a="1"/>
  <c r="U512" i="1"/>
  <c r="U510" i="1" a="1"/>
  <c r="U510" i="1"/>
  <c r="U534" i="1" a="1"/>
  <c r="U534" i="1"/>
  <c r="U545" i="1" a="1"/>
  <c r="U545" i="1"/>
  <c r="U576" i="1" a="1"/>
  <c r="U576" i="1"/>
  <c r="U577" i="1" a="1"/>
  <c r="U577" i="1"/>
  <c r="U600" i="1" a="1"/>
  <c r="U600" i="1"/>
  <c r="U605" i="1" a="1"/>
  <c r="U605" i="1"/>
  <c r="U620" i="1" a="1"/>
  <c r="U620" i="1"/>
  <c r="U622" i="1" a="1"/>
  <c r="U622" i="1"/>
  <c r="U634" i="1" a="1"/>
  <c r="U634" i="1"/>
  <c r="U640" i="1" a="1"/>
  <c r="U640" i="1"/>
  <c r="U644" i="1" a="1"/>
  <c r="U644" i="1"/>
  <c r="U651" i="1" a="1"/>
  <c r="U651" i="1"/>
  <c r="U662" i="1" a="1"/>
  <c r="U662" i="1"/>
  <c r="U663" i="1" a="1"/>
  <c r="U663" i="1"/>
  <c r="U675" i="1" a="1"/>
  <c r="U675" i="1"/>
  <c r="U681" i="1" a="1"/>
  <c r="U681" i="1"/>
  <c r="U683" i="1" a="1"/>
  <c r="U683" i="1"/>
  <c r="U691" i="1" a="1"/>
  <c r="U691" i="1"/>
  <c r="U692" i="1" a="1"/>
  <c r="U692" i="1"/>
  <c r="U711" i="1" a="1"/>
  <c r="U711" i="1"/>
  <c r="U715" i="1" a="1"/>
  <c r="U715" i="1"/>
  <c r="U718" i="1" a="1"/>
  <c r="U718" i="1"/>
  <c r="U719" i="1" a="1"/>
  <c r="U719" i="1"/>
  <c r="U735" i="1" a="1"/>
  <c r="U735" i="1"/>
  <c r="U745" i="1" a="1"/>
  <c r="U745" i="1"/>
  <c r="U758" i="1" a="1"/>
  <c r="U758" i="1"/>
  <c r="U760" i="1" a="1"/>
  <c r="U760" i="1"/>
  <c r="U774" i="1" a="1"/>
  <c r="U774" i="1"/>
  <c r="U780" i="1" a="1"/>
  <c r="U780" i="1"/>
  <c r="U789" i="1" a="1"/>
  <c r="U789" i="1"/>
  <c r="U800" i="1" a="1"/>
  <c r="U800" i="1"/>
  <c r="U812" i="1" a="1"/>
  <c r="U812" i="1"/>
  <c r="U827" i="1" a="1"/>
  <c r="U827" i="1"/>
  <c r="U829" i="1" a="1"/>
  <c r="U829" i="1"/>
  <c r="U834" i="1" a="1"/>
  <c r="U834" i="1"/>
  <c r="U836" i="1" a="1"/>
  <c r="U836" i="1"/>
  <c r="U858" i="1" a="1"/>
  <c r="U858" i="1"/>
  <c r="U863" i="1" a="1"/>
  <c r="U863" i="1"/>
  <c r="U877" i="1" a="1"/>
  <c r="U877" i="1"/>
  <c r="U886" i="1" a="1"/>
  <c r="U886" i="1"/>
  <c r="U889" i="1" a="1"/>
  <c r="U889" i="1"/>
  <c r="U902" i="1" a="1"/>
  <c r="U902" i="1"/>
  <c r="U904" i="1" a="1"/>
  <c r="U904" i="1"/>
  <c r="U924" i="1" a="1"/>
  <c r="U924" i="1"/>
  <c r="U926" i="1" a="1"/>
  <c r="U926" i="1"/>
  <c r="U935" i="1" a="1"/>
  <c r="U935" i="1"/>
  <c r="U945" i="1" a="1"/>
  <c r="U945" i="1"/>
  <c r="U948" i="1" a="1"/>
  <c r="U948" i="1"/>
  <c r="U949" i="1" a="1"/>
  <c r="U949" i="1"/>
  <c r="U960" i="1" a="1"/>
  <c r="U960" i="1"/>
  <c r="U963" i="1" a="1"/>
  <c r="U963" i="1"/>
  <c r="U972" i="1" a="1"/>
  <c r="U972" i="1"/>
  <c r="U976" i="1" a="1"/>
  <c r="U976" i="1"/>
  <c r="U986" i="1" a="1"/>
  <c r="U986" i="1"/>
  <c r="U990" i="1" a="1"/>
  <c r="U990" i="1"/>
  <c r="U992" i="1" a="1"/>
  <c r="U992" i="1"/>
  <c r="U1000" i="1" a="1"/>
  <c r="U1000" i="1"/>
  <c r="AB2" i="1"/>
  <c r="AA2" i="1" s="1" a="1"/>
  <c r="AA2" i="1" s="1"/>
  <c r="AB5" i="1"/>
  <c r="AA5" i="1" s="1" a="1"/>
  <c r="AA5" i="1" s="1"/>
  <c r="AB3" i="1"/>
  <c r="AA3" i="1" s="1" a="1"/>
  <c r="AA3" i="1" s="1"/>
  <c r="AB4" i="1"/>
  <c r="AA4" i="1" s="1" a="1"/>
  <c r="AA4" i="1" s="1"/>
  <c r="AB6" i="1"/>
  <c r="AA6" i="1" s="1" a="1"/>
  <c r="AA6" i="1" s="1"/>
  <c r="AB7" i="1"/>
  <c r="AA7" i="1" s="1" a="1"/>
  <c r="AA7" i="1" s="1"/>
  <c r="AB10" i="1"/>
  <c r="AA10" i="1" s="1" a="1"/>
  <c r="AA10" i="1" s="1"/>
  <c r="AB8" i="1"/>
  <c r="AA8" i="1" s="1" a="1"/>
  <c r="AA8" i="1" s="1"/>
  <c r="AB11" i="1"/>
  <c r="AA11" i="1" s="1" a="1"/>
  <c r="AA11" i="1" s="1"/>
  <c r="AB9" i="1"/>
  <c r="AA9" i="1" s="1" a="1"/>
  <c r="AA9" i="1" s="1"/>
  <c r="AB12" i="1"/>
  <c r="AA12" i="1" s="1" a="1"/>
  <c r="AA12" i="1" s="1"/>
  <c r="AB13" i="1"/>
  <c r="AA13" i="1" s="1" a="1"/>
  <c r="AA13" i="1" s="1"/>
  <c r="AB15" i="1"/>
  <c r="AA15" i="1" s="1" a="1"/>
  <c r="AA15" i="1" s="1"/>
  <c r="AB14" i="1"/>
  <c r="AA14" i="1" s="1" a="1"/>
  <c r="AA14" i="1" s="1"/>
  <c r="AB16" i="1"/>
  <c r="AA16" i="1" s="1" a="1"/>
  <c r="AA16" i="1" s="1"/>
  <c r="AB17" i="1"/>
  <c r="AA17" i="1" s="1" a="1"/>
  <c r="AA17" i="1" s="1"/>
  <c r="AB18" i="1"/>
  <c r="AA18" i="1" s="1" a="1"/>
  <c r="AA18" i="1" s="1"/>
  <c r="AB19" i="1"/>
  <c r="AA19" i="1" s="1" a="1"/>
  <c r="AA19" i="1" s="1"/>
  <c r="AB21" i="1"/>
  <c r="AA21" i="1" s="1" a="1"/>
  <c r="AA21" i="1" s="1"/>
  <c r="AB22" i="1"/>
  <c r="AA22" i="1" s="1" a="1"/>
  <c r="AA22" i="1" s="1"/>
  <c r="AB20" i="1"/>
  <c r="AA20" i="1" s="1" a="1"/>
  <c r="AA20" i="1" s="1"/>
  <c r="AB23" i="1"/>
  <c r="AA23" i="1" s="1" a="1"/>
  <c r="AA23" i="1" s="1"/>
  <c r="AB24" i="1"/>
  <c r="AA24" i="1" s="1" a="1"/>
  <c r="AA24" i="1" s="1"/>
  <c r="AB25" i="1"/>
  <c r="AA25" i="1" s="1" a="1"/>
  <c r="AA25" i="1" s="1"/>
  <c r="AB28" i="1"/>
  <c r="AA28" i="1" s="1" a="1"/>
  <c r="AA28" i="1" s="1"/>
  <c r="AB27" i="1"/>
  <c r="AA27" i="1" s="1" a="1"/>
  <c r="AA27" i="1" s="1"/>
  <c r="AB26" i="1"/>
  <c r="AA26" i="1" s="1" a="1"/>
  <c r="AA26" i="1" s="1"/>
  <c r="AB31" i="1"/>
  <c r="AA31" i="1" s="1" a="1"/>
  <c r="AA31" i="1" s="1"/>
  <c r="AB29" i="1"/>
  <c r="AA29" i="1" s="1" a="1"/>
  <c r="AA29" i="1" s="1"/>
  <c r="AB30" i="1"/>
  <c r="AA30" i="1" s="1" a="1"/>
  <c r="AA30" i="1" s="1"/>
  <c r="AB34" i="1"/>
  <c r="AA34" i="1" s="1" a="1"/>
  <c r="AA34" i="1" s="1"/>
  <c r="AB32" i="1"/>
  <c r="AA32" i="1" s="1" a="1"/>
  <c r="AA32" i="1" s="1"/>
  <c r="AB33" i="1"/>
  <c r="AA33" i="1" s="1" a="1"/>
  <c r="AA33" i="1" s="1"/>
  <c r="AB35" i="1"/>
  <c r="AA35" i="1" s="1" a="1"/>
  <c r="AA35" i="1" s="1"/>
  <c r="AB36" i="1"/>
  <c r="AA36" i="1" s="1" a="1"/>
  <c r="AA36" i="1" s="1"/>
  <c r="AB38" i="1"/>
  <c r="AA38" i="1" s="1" a="1"/>
  <c r="AA38" i="1" s="1"/>
  <c r="AB37" i="1"/>
  <c r="AA37" i="1" s="1" a="1"/>
  <c r="AA37" i="1" s="1"/>
  <c r="AB39" i="1"/>
  <c r="AA39" i="1" s="1" a="1"/>
  <c r="AA39" i="1" s="1"/>
  <c r="AB40" i="1"/>
  <c r="AA40" i="1" s="1" a="1"/>
  <c r="AA40" i="1" s="1"/>
  <c r="AB41" i="1"/>
  <c r="AA41" i="1" s="1" a="1"/>
  <c r="AA41" i="1" s="1"/>
  <c r="AB43" i="1"/>
  <c r="AA43" i="1" s="1" a="1"/>
  <c r="AA43" i="1" s="1"/>
  <c r="AB44" i="1"/>
  <c r="AA44" i="1" s="1" a="1"/>
  <c r="AA44" i="1" s="1"/>
  <c r="AB42" i="1"/>
  <c r="AA42" i="1" s="1" a="1"/>
  <c r="AA42" i="1" s="1"/>
  <c r="AB45" i="1"/>
  <c r="AA45" i="1" s="1" a="1"/>
  <c r="AA45" i="1" s="1"/>
  <c r="AB46" i="1"/>
  <c r="AA46" i="1" s="1" a="1"/>
  <c r="AA46" i="1" s="1"/>
  <c r="AB47" i="1"/>
  <c r="AA47" i="1" s="1" a="1"/>
  <c r="AA47" i="1" s="1"/>
  <c r="AB48" i="1"/>
  <c r="AA48" i="1" s="1" a="1"/>
  <c r="AA48" i="1" s="1"/>
  <c r="AB51" i="1"/>
  <c r="AA51" i="1" s="1" a="1"/>
  <c r="AA51" i="1" s="1"/>
  <c r="AB50" i="1"/>
  <c r="AA50" i="1" s="1" a="1"/>
  <c r="AA50" i="1" s="1"/>
  <c r="AB49" i="1"/>
  <c r="AA49" i="1" s="1" a="1"/>
  <c r="AA49" i="1" s="1"/>
  <c r="AB52" i="1"/>
  <c r="AA52" i="1" s="1" a="1"/>
  <c r="AA52" i="1" s="1"/>
  <c r="AB53" i="1"/>
  <c r="AA53" i="1" s="1" a="1"/>
  <c r="AA53" i="1" s="1"/>
  <c r="AB54" i="1"/>
  <c r="AA54" i="1" s="1" a="1"/>
  <c r="AA54" i="1" s="1"/>
  <c r="AB56" i="1"/>
  <c r="AA56" i="1" s="1" a="1"/>
  <c r="AA56" i="1" s="1"/>
  <c r="AB55" i="1"/>
  <c r="AA55" i="1" s="1" a="1"/>
  <c r="AA55" i="1" s="1"/>
  <c r="AB58" i="1"/>
  <c r="AA58" i="1" s="1" a="1"/>
  <c r="AA58" i="1" s="1"/>
  <c r="AB60" i="1"/>
  <c r="AA60" i="1" s="1" a="1"/>
  <c r="AA60" i="1" s="1"/>
  <c r="AB59" i="1"/>
  <c r="AA59" i="1" s="1" a="1"/>
  <c r="AA59" i="1" s="1"/>
  <c r="AB61" i="1"/>
  <c r="AA61" i="1" s="1" a="1"/>
  <c r="AA61" i="1" s="1"/>
  <c r="AB57" i="1"/>
  <c r="AA57" i="1" s="1" a="1"/>
  <c r="AA57" i="1" s="1"/>
  <c r="AB62" i="1"/>
  <c r="AA62" i="1" s="1" a="1"/>
  <c r="AA62" i="1" s="1"/>
  <c r="AB63" i="1"/>
  <c r="AA63" i="1" s="1" a="1"/>
  <c r="AA63" i="1" s="1"/>
  <c r="AB64" i="1"/>
  <c r="AA64" i="1" s="1" a="1"/>
  <c r="AA64" i="1" s="1"/>
  <c r="AB66" i="1"/>
  <c r="AA66" i="1" s="1" a="1"/>
  <c r="AA66" i="1" s="1"/>
  <c r="AB65" i="1"/>
  <c r="AA65" i="1" s="1" a="1"/>
  <c r="AA65" i="1" s="1"/>
  <c r="AB69" i="1"/>
  <c r="AA69" i="1" s="1" a="1"/>
  <c r="AA69" i="1" s="1"/>
  <c r="AB68" i="1"/>
  <c r="AA68" i="1" s="1" a="1"/>
  <c r="AA68" i="1" s="1"/>
  <c r="AB67" i="1"/>
  <c r="AA67" i="1" s="1" a="1"/>
  <c r="AA67" i="1" s="1"/>
  <c r="AB71" i="1"/>
  <c r="AA71" i="1" s="1" a="1"/>
  <c r="AA71" i="1" s="1"/>
  <c r="AB72" i="1"/>
  <c r="AA72" i="1" s="1" a="1"/>
  <c r="AA72" i="1" s="1"/>
  <c r="AB74" i="1"/>
  <c r="AA74" i="1" s="1" a="1"/>
  <c r="AA74" i="1" s="1"/>
  <c r="AB73" i="1"/>
  <c r="AA73" i="1" s="1" a="1"/>
  <c r="AA73" i="1" s="1"/>
  <c r="AB75" i="1"/>
  <c r="AA75" i="1" s="1" a="1"/>
  <c r="AA75" i="1" s="1"/>
  <c r="AB76" i="1"/>
  <c r="AA76" i="1" s="1" a="1"/>
  <c r="AA76" i="1" s="1"/>
  <c r="AB77" i="1"/>
  <c r="AA77" i="1" s="1" a="1"/>
  <c r="AA77" i="1" s="1"/>
  <c r="AB79" i="1"/>
  <c r="AA79" i="1" s="1" a="1"/>
  <c r="AA79" i="1" s="1"/>
  <c r="AB78" i="1"/>
  <c r="AA78" i="1" s="1" a="1"/>
  <c r="AA78" i="1" s="1"/>
  <c r="AB80" i="1"/>
  <c r="AA80" i="1" s="1" a="1"/>
  <c r="AA80" i="1" s="1"/>
  <c r="AB82" i="1"/>
  <c r="AA82" i="1" s="1" a="1"/>
  <c r="AA82" i="1" s="1"/>
  <c r="AB81" i="1"/>
  <c r="AA81" i="1" s="1" a="1"/>
  <c r="AA81" i="1" s="1"/>
  <c r="AB84" i="1"/>
  <c r="AA84" i="1" s="1" a="1"/>
  <c r="AA84" i="1" s="1"/>
  <c r="AB83" i="1"/>
  <c r="AA83" i="1" s="1" a="1"/>
  <c r="AA83" i="1" s="1"/>
  <c r="AB87" i="1"/>
  <c r="AA87" i="1" s="1" a="1"/>
  <c r="AA87" i="1" s="1"/>
  <c r="AB86" i="1"/>
  <c r="AA86" i="1" s="1" a="1"/>
  <c r="AA86" i="1" s="1"/>
  <c r="AB85" i="1"/>
  <c r="AA85" i="1" s="1" a="1"/>
  <c r="AA85" i="1" s="1"/>
  <c r="AB88" i="1"/>
  <c r="AA88" i="1" s="1" a="1"/>
  <c r="AA88" i="1" s="1"/>
  <c r="AB90" i="1"/>
  <c r="AA90" i="1" s="1" a="1"/>
  <c r="AA90" i="1" s="1"/>
  <c r="AB89" i="1"/>
  <c r="AA89" i="1" s="1" a="1"/>
  <c r="AA89" i="1" s="1"/>
  <c r="AB91" i="1"/>
  <c r="AA91" i="1" s="1" a="1"/>
  <c r="AA91" i="1" s="1"/>
  <c r="AB96" i="1"/>
  <c r="AA96" i="1" s="1" a="1"/>
  <c r="AA96" i="1" s="1"/>
  <c r="AB94" i="1"/>
  <c r="AA94" i="1" s="1" a="1"/>
  <c r="AA94" i="1" s="1"/>
  <c r="AB93" i="1"/>
  <c r="AA93" i="1" s="1" a="1"/>
  <c r="AA93" i="1" s="1"/>
  <c r="AB92" i="1"/>
  <c r="AA92" i="1" s="1" a="1"/>
  <c r="AA92" i="1" s="1"/>
  <c r="AB95" i="1"/>
  <c r="AA95" i="1" s="1" a="1"/>
  <c r="AA95" i="1" s="1"/>
  <c r="AB98" i="1"/>
  <c r="AA98" i="1" s="1" a="1"/>
  <c r="AA98" i="1" s="1"/>
  <c r="AB99" i="1"/>
  <c r="AA99" i="1" s="1" a="1"/>
  <c r="AA99" i="1" s="1"/>
  <c r="AB97" i="1"/>
  <c r="AA97" i="1" s="1" a="1"/>
  <c r="AA97" i="1" s="1"/>
  <c r="AB100" i="1"/>
  <c r="AA100" i="1" s="1" a="1"/>
  <c r="AA100" i="1" s="1"/>
  <c r="AB101" i="1"/>
  <c r="AA101" i="1" s="1" a="1"/>
  <c r="AA101" i="1" s="1"/>
  <c r="AB105" i="1"/>
  <c r="AA105" i="1" s="1" a="1"/>
  <c r="AA105" i="1" s="1"/>
  <c r="AB103" i="1"/>
  <c r="AA103" i="1" s="1" a="1"/>
  <c r="AA103" i="1" s="1"/>
  <c r="AB104" i="1"/>
  <c r="AA104" i="1" s="1" a="1"/>
  <c r="AA104" i="1" s="1"/>
  <c r="AB102" i="1"/>
  <c r="AA102" i="1" s="1" a="1"/>
  <c r="AA102" i="1" s="1"/>
  <c r="AB106" i="1"/>
  <c r="AA106" i="1" s="1" a="1"/>
  <c r="AA106" i="1" s="1"/>
  <c r="AB108" i="1"/>
  <c r="AA108" i="1" s="1" a="1"/>
  <c r="AA108" i="1" s="1"/>
  <c r="AB109" i="1"/>
  <c r="AA109" i="1" s="1" a="1"/>
  <c r="AA109" i="1" s="1"/>
  <c r="AB107" i="1"/>
  <c r="AA107" i="1" s="1" a="1"/>
  <c r="AA107" i="1" s="1"/>
  <c r="AB110" i="1"/>
  <c r="AA110" i="1" s="1" a="1"/>
  <c r="AA110" i="1" s="1"/>
  <c r="AB111" i="1"/>
  <c r="AA111" i="1" s="1" a="1"/>
  <c r="AA111" i="1" s="1"/>
  <c r="AB113" i="1"/>
  <c r="AA113" i="1" s="1" a="1"/>
  <c r="AA113" i="1" s="1"/>
  <c r="AB112" i="1"/>
  <c r="AA112" i="1" s="1" a="1"/>
  <c r="AA112" i="1" s="1"/>
  <c r="AB114" i="1"/>
  <c r="AA114" i="1" s="1" a="1"/>
  <c r="AA114" i="1" s="1"/>
  <c r="AB115" i="1"/>
  <c r="AA115" i="1" s="1" a="1"/>
  <c r="AA115" i="1" s="1"/>
  <c r="AB117" i="1"/>
  <c r="AA117" i="1" s="1" a="1"/>
  <c r="AA117" i="1" s="1"/>
  <c r="AB116" i="1"/>
  <c r="AA116" i="1" s="1" a="1"/>
  <c r="AA116" i="1" s="1"/>
  <c r="AB119" i="1"/>
  <c r="AA119" i="1" s="1" a="1"/>
  <c r="AA119" i="1" s="1"/>
  <c r="AB118" i="1"/>
  <c r="AA118" i="1" s="1" a="1"/>
  <c r="AA118" i="1" s="1"/>
  <c r="AB120" i="1"/>
  <c r="AA120" i="1" s="1" a="1"/>
  <c r="AA120" i="1" s="1"/>
  <c r="AB122" i="1"/>
  <c r="AA122" i="1" s="1" a="1"/>
  <c r="AA122" i="1" s="1"/>
  <c r="AB123" i="1"/>
  <c r="AA123" i="1" s="1" a="1"/>
  <c r="AA123" i="1" s="1"/>
  <c r="AB121" i="1"/>
  <c r="AA121" i="1" s="1" a="1"/>
  <c r="AA121" i="1" s="1"/>
  <c r="AB124" i="1"/>
  <c r="AA124" i="1" s="1" a="1"/>
  <c r="AA124" i="1" s="1"/>
  <c r="AB127" i="1"/>
  <c r="AA127" i="1" s="1" a="1"/>
  <c r="AA127" i="1" s="1"/>
  <c r="AB128" i="1"/>
  <c r="AA128" i="1" s="1" a="1"/>
  <c r="AA128" i="1" s="1"/>
  <c r="AB125" i="1"/>
  <c r="AA125" i="1" s="1" a="1"/>
  <c r="AA125" i="1" s="1"/>
  <c r="AB126" i="1"/>
  <c r="AA126" i="1" s="1" a="1"/>
  <c r="AA126" i="1" s="1"/>
  <c r="AB130" i="1"/>
  <c r="AA130" i="1" s="1" a="1"/>
  <c r="AA130" i="1" s="1"/>
  <c r="AB129" i="1"/>
  <c r="AA129" i="1" s="1" a="1"/>
  <c r="AA129" i="1" s="1"/>
  <c r="AB131" i="1"/>
  <c r="AA131" i="1" s="1" a="1"/>
  <c r="AA131" i="1" s="1"/>
  <c r="AB132" i="1"/>
  <c r="AA132" i="1" s="1" a="1"/>
  <c r="AA132" i="1" s="1"/>
  <c r="AB133" i="1"/>
  <c r="AA133" i="1" s="1" a="1"/>
  <c r="AA133" i="1" s="1"/>
  <c r="AB136" i="1"/>
  <c r="AA136" i="1" s="1" a="1"/>
  <c r="AA136" i="1" s="1"/>
  <c r="AB135" i="1"/>
  <c r="AA135" i="1" s="1" a="1"/>
  <c r="AA135" i="1" s="1"/>
  <c r="AB134" i="1"/>
  <c r="AA134" i="1" s="1" a="1"/>
  <c r="AA134" i="1" s="1"/>
  <c r="AB138" i="1"/>
  <c r="AA138" i="1" s="1" a="1"/>
  <c r="AA138" i="1" s="1"/>
  <c r="AB137" i="1"/>
  <c r="AA137" i="1" s="1" a="1"/>
  <c r="AA137" i="1" s="1"/>
  <c r="AB139" i="1"/>
  <c r="AA139" i="1" s="1" a="1"/>
  <c r="AA139" i="1" s="1"/>
  <c r="AB141" i="1"/>
  <c r="AA141" i="1" s="1" a="1"/>
  <c r="AA141" i="1" s="1"/>
  <c r="AB143" i="1"/>
  <c r="AA143" i="1" s="1" a="1"/>
  <c r="AA143" i="1" s="1"/>
  <c r="AB140" i="1"/>
  <c r="AA140" i="1" s="1" a="1"/>
  <c r="AA140" i="1" s="1"/>
  <c r="AB144" i="1"/>
  <c r="AA144" i="1" s="1" a="1"/>
  <c r="AA144" i="1" s="1"/>
  <c r="AB142" i="1"/>
  <c r="AA142" i="1" s="1" a="1"/>
  <c r="AA142" i="1" s="1"/>
  <c r="AB145" i="1"/>
  <c r="AA145" i="1" s="1" a="1"/>
  <c r="AA145" i="1" s="1"/>
  <c r="AB146" i="1"/>
  <c r="AA146" i="1" s="1" a="1"/>
  <c r="AA146" i="1" s="1"/>
  <c r="AB149" i="1"/>
  <c r="AA149" i="1" s="1" a="1"/>
  <c r="AA149" i="1" s="1"/>
  <c r="AB147" i="1"/>
  <c r="AA147" i="1" s="1" a="1"/>
  <c r="AA147" i="1" s="1"/>
  <c r="AB150" i="1"/>
  <c r="AA150" i="1" s="1" a="1"/>
  <c r="AA150" i="1" s="1"/>
  <c r="AB148" i="1"/>
  <c r="AA148" i="1" s="1" a="1"/>
  <c r="AA148" i="1" s="1"/>
  <c r="AB158" i="1"/>
  <c r="AA158" i="1" s="1" a="1"/>
  <c r="AA158" i="1" s="1"/>
  <c r="AB157" i="1"/>
  <c r="AA157" i="1" s="1" a="1"/>
  <c r="AA157" i="1" s="1"/>
  <c r="AB153" i="1"/>
  <c r="AA153" i="1" s="1" a="1"/>
  <c r="AA153" i="1" s="1"/>
  <c r="AB152" i="1"/>
  <c r="AA152" i="1" s="1" a="1"/>
  <c r="AA152" i="1" s="1"/>
  <c r="AB156" i="1"/>
  <c r="AA156" i="1" s="1" a="1"/>
  <c r="AA156" i="1" s="1"/>
  <c r="AB155" i="1"/>
  <c r="AA155" i="1" s="1" a="1"/>
  <c r="AA155" i="1" s="1"/>
  <c r="AB154" i="1"/>
  <c r="AA154" i="1" s="1" a="1"/>
  <c r="AA154" i="1" s="1"/>
  <c r="AB151" i="1"/>
  <c r="AA151" i="1" s="1" a="1"/>
  <c r="AA151" i="1" s="1"/>
  <c r="AB162" i="1"/>
  <c r="AA162" i="1" s="1" a="1"/>
  <c r="AA162" i="1" s="1"/>
  <c r="AB159" i="1"/>
  <c r="AA159" i="1" s="1" a="1"/>
  <c r="AA159" i="1" s="1"/>
  <c r="AB161" i="1"/>
  <c r="AA161" i="1" s="1" a="1"/>
  <c r="AA161" i="1" s="1"/>
  <c r="AB160" i="1"/>
  <c r="AA160" i="1" s="1" a="1"/>
  <c r="AA160" i="1" s="1"/>
  <c r="AB165" i="1"/>
  <c r="AA165" i="1" s="1" a="1"/>
  <c r="AA165" i="1" s="1"/>
  <c r="AB163" i="1"/>
  <c r="AA163" i="1" s="1" a="1"/>
  <c r="AA163" i="1" s="1"/>
  <c r="AB164" i="1"/>
  <c r="AA164" i="1" s="1" a="1"/>
  <c r="AA164" i="1" s="1"/>
  <c r="AB166" i="1"/>
  <c r="AA166" i="1" s="1" a="1"/>
  <c r="AA166" i="1" s="1"/>
  <c r="AB167" i="1"/>
  <c r="AA167" i="1" s="1" a="1"/>
  <c r="AA167" i="1" s="1"/>
  <c r="AB168" i="1"/>
  <c r="AA168" i="1" s="1" a="1"/>
  <c r="AA168" i="1" s="1"/>
  <c r="AB169" i="1"/>
  <c r="AA169" i="1" s="1" a="1"/>
  <c r="AA169" i="1" s="1"/>
  <c r="AB170" i="1"/>
  <c r="AA170" i="1" s="1" a="1"/>
  <c r="AA170" i="1" s="1"/>
  <c r="AB171" i="1"/>
  <c r="AA171" i="1" s="1" a="1"/>
  <c r="AA171" i="1" s="1"/>
  <c r="AB175" i="1"/>
  <c r="AA175" i="1" s="1" a="1"/>
  <c r="AA175" i="1" s="1"/>
  <c r="AB176" i="1"/>
  <c r="AA176" i="1" s="1" a="1"/>
  <c r="AA176" i="1" s="1"/>
  <c r="AB174" i="1"/>
  <c r="AA174" i="1" s="1" a="1"/>
  <c r="AA174" i="1" s="1"/>
  <c r="AB173" i="1"/>
  <c r="AA173" i="1" s="1" a="1"/>
  <c r="AA173" i="1" s="1"/>
  <c r="AB172" i="1"/>
  <c r="AA172" i="1" s="1" a="1"/>
  <c r="AA172" i="1" s="1"/>
  <c r="AB177" i="1"/>
  <c r="AA177" i="1" s="1" a="1"/>
  <c r="AA177" i="1" s="1"/>
  <c r="AB178" i="1"/>
  <c r="AA178" i="1" s="1" a="1"/>
  <c r="AA178" i="1" s="1"/>
  <c r="AB181" i="1"/>
  <c r="AA181" i="1" s="1" a="1"/>
  <c r="AA181" i="1" s="1"/>
  <c r="AB179" i="1"/>
  <c r="AA179" i="1" s="1" a="1"/>
  <c r="AA179" i="1" s="1"/>
  <c r="AB180" i="1"/>
  <c r="AA180" i="1" s="1" a="1"/>
  <c r="AA180" i="1" s="1"/>
  <c r="AB183" i="1"/>
  <c r="AA183" i="1" s="1" a="1"/>
  <c r="AA183" i="1" s="1"/>
  <c r="AB182" i="1"/>
  <c r="AA182" i="1" s="1" a="1"/>
  <c r="AA182" i="1" s="1"/>
  <c r="AB186" i="1"/>
  <c r="AA186" i="1" s="1" a="1"/>
  <c r="AA186" i="1" s="1"/>
  <c r="AB184" i="1"/>
  <c r="AA184" i="1" s="1" a="1"/>
  <c r="AA184" i="1" s="1"/>
  <c r="AB185" i="1"/>
  <c r="AA185" i="1" s="1" a="1"/>
  <c r="AA185" i="1" s="1"/>
  <c r="AB187" i="1"/>
  <c r="AA187" i="1" s="1" a="1"/>
  <c r="AA187" i="1" s="1"/>
  <c r="AB188" i="1"/>
  <c r="AA188" i="1" s="1" a="1"/>
  <c r="AA188" i="1" s="1"/>
  <c r="AB189" i="1"/>
  <c r="AA189" i="1" s="1" a="1"/>
  <c r="AA189" i="1" s="1"/>
  <c r="AB191" i="1"/>
  <c r="AA191" i="1" s="1" a="1"/>
  <c r="AA191" i="1" s="1"/>
  <c r="AB190" i="1"/>
  <c r="AA190" i="1" s="1" a="1"/>
  <c r="AA190" i="1" s="1"/>
  <c r="AB192" i="1"/>
  <c r="AA192" i="1" s="1" a="1"/>
  <c r="AA192" i="1" s="1"/>
  <c r="AB193" i="1"/>
  <c r="AA193" i="1" s="1" a="1"/>
  <c r="AA193" i="1" s="1"/>
  <c r="AB194" i="1"/>
  <c r="AA194" i="1" s="1" a="1"/>
  <c r="AA194" i="1" s="1"/>
  <c r="AB195" i="1"/>
  <c r="AA195" i="1" s="1" a="1"/>
  <c r="AA195" i="1" s="1"/>
  <c r="AB198" i="1"/>
  <c r="AA198" i="1" s="1" a="1"/>
  <c r="AA198" i="1" s="1"/>
  <c r="AB200" i="1"/>
  <c r="AA200" i="1" s="1" a="1"/>
  <c r="AA200" i="1" s="1"/>
  <c r="AB197" i="1"/>
  <c r="AA197" i="1" s="1" a="1"/>
  <c r="AA197" i="1" s="1"/>
  <c r="AB196" i="1"/>
  <c r="AA196" i="1" s="1" a="1"/>
  <c r="AA196" i="1" s="1"/>
  <c r="AB199" i="1"/>
  <c r="AA199" i="1" s="1" a="1"/>
  <c r="AA199" i="1" s="1"/>
  <c r="AB201" i="1"/>
  <c r="AA201" i="1" s="1" a="1"/>
  <c r="AA201" i="1" s="1"/>
  <c r="AB202" i="1"/>
  <c r="AA202" i="1" s="1" a="1"/>
  <c r="AA202" i="1" s="1"/>
  <c r="AB204" i="1"/>
  <c r="AA204" i="1" s="1" a="1"/>
  <c r="AA204" i="1" s="1"/>
  <c r="AB203" i="1"/>
  <c r="AA203" i="1" s="1" a="1"/>
  <c r="AA203" i="1" s="1"/>
  <c r="AB206" i="1"/>
  <c r="AA206" i="1" s="1" a="1"/>
  <c r="AA206" i="1" s="1"/>
  <c r="AB208" i="1"/>
  <c r="AA208" i="1" s="1" a="1"/>
  <c r="AA208" i="1" s="1"/>
  <c r="AB207" i="1"/>
  <c r="AA207" i="1" s="1" a="1"/>
  <c r="AA207" i="1" s="1"/>
  <c r="AB205" i="1"/>
  <c r="AA205" i="1" s="1" a="1"/>
  <c r="AA205" i="1" s="1"/>
  <c r="AB210" i="1"/>
  <c r="AA210" i="1" s="1" a="1"/>
  <c r="AA210" i="1" s="1"/>
  <c r="AB209" i="1"/>
  <c r="AA209" i="1" s="1" a="1"/>
  <c r="AA209" i="1" s="1"/>
  <c r="AB211" i="1"/>
  <c r="AA211" i="1" s="1" a="1"/>
  <c r="AA211" i="1" s="1"/>
  <c r="AB212" i="1"/>
  <c r="AA212" i="1" s="1" a="1"/>
  <c r="AA212" i="1" s="1"/>
  <c r="AB213" i="1"/>
  <c r="AA213" i="1" s="1" a="1"/>
  <c r="AA213" i="1" s="1"/>
  <c r="AB214" i="1"/>
  <c r="AA214" i="1" s="1" a="1"/>
  <c r="AA214" i="1" s="1"/>
  <c r="AB217" i="1"/>
  <c r="AA217" i="1" s="1" a="1"/>
  <c r="AA217" i="1" s="1"/>
  <c r="AB218" i="1"/>
  <c r="AA218" i="1" s="1" a="1"/>
  <c r="AA218" i="1" s="1"/>
  <c r="AB215" i="1"/>
  <c r="AA215" i="1" s="1" a="1"/>
  <c r="AA215" i="1" s="1"/>
  <c r="AB216" i="1"/>
  <c r="AA216" i="1" s="1" a="1"/>
  <c r="AA216" i="1" s="1"/>
  <c r="AB219" i="1"/>
  <c r="AA219" i="1" s="1" a="1"/>
  <c r="AA219" i="1" s="1"/>
  <c r="AB220" i="1"/>
  <c r="AA220" i="1" s="1" a="1"/>
  <c r="AA220" i="1" s="1"/>
  <c r="AB222" i="1"/>
  <c r="AA222" i="1" s="1" a="1"/>
  <c r="AA222" i="1" s="1"/>
  <c r="AB223" i="1"/>
  <c r="AA223" i="1" s="1" a="1"/>
  <c r="AA223" i="1" s="1"/>
  <c r="AB221" i="1"/>
  <c r="AA221" i="1" s="1" a="1"/>
  <c r="AA221" i="1" s="1"/>
  <c r="AB227" i="1"/>
  <c r="AA227" i="1" s="1" a="1"/>
  <c r="AA227" i="1" s="1"/>
  <c r="AB226" i="1"/>
  <c r="AA226" i="1" s="1" a="1"/>
  <c r="AA226" i="1" s="1"/>
  <c r="AB225" i="1"/>
  <c r="AA225" i="1" s="1" a="1"/>
  <c r="AA225" i="1" s="1"/>
  <c r="AB228" i="1"/>
  <c r="AA228" i="1" s="1" a="1"/>
  <c r="AA228" i="1" s="1"/>
  <c r="AB224" i="1"/>
  <c r="AA224" i="1" s="1" a="1"/>
  <c r="AA224" i="1" s="1"/>
  <c r="AB231" i="1"/>
  <c r="AA231" i="1" s="1" a="1"/>
  <c r="AA231" i="1" s="1"/>
  <c r="AB229" i="1"/>
  <c r="AA229" i="1" s="1" a="1"/>
  <c r="AA229" i="1" s="1"/>
  <c r="AB230" i="1"/>
  <c r="AA230" i="1" s="1" a="1"/>
  <c r="AA230" i="1" s="1"/>
  <c r="AB232" i="1"/>
  <c r="AA232" i="1" s="1" a="1"/>
  <c r="AA232" i="1" s="1"/>
  <c r="AB235" i="1"/>
  <c r="AA235" i="1" s="1" a="1"/>
  <c r="AA235" i="1" s="1"/>
  <c r="AB234" i="1"/>
  <c r="AA234" i="1" s="1" a="1"/>
  <c r="AA234" i="1" s="1"/>
  <c r="AB233" i="1"/>
  <c r="AA233" i="1" s="1" a="1"/>
  <c r="AA233" i="1" s="1"/>
  <c r="AB237" i="1"/>
  <c r="AA237" i="1" s="1" a="1"/>
  <c r="AA237" i="1" s="1"/>
  <c r="AB236" i="1"/>
  <c r="AA236" i="1" s="1" a="1"/>
  <c r="AA236" i="1" s="1"/>
  <c r="AB240" i="1"/>
  <c r="AA240" i="1" s="1" a="1"/>
  <c r="AA240" i="1" s="1"/>
  <c r="AB238" i="1"/>
  <c r="AA238" i="1" s="1" a="1"/>
  <c r="AA238" i="1" s="1"/>
  <c r="AB239" i="1"/>
  <c r="AA239" i="1" s="1" a="1"/>
  <c r="AA239" i="1" s="1"/>
  <c r="AB241" i="1"/>
  <c r="AA241" i="1" s="1" a="1"/>
  <c r="AA241" i="1" s="1"/>
  <c r="AB242" i="1"/>
  <c r="AA242" i="1" s="1" a="1"/>
  <c r="AA242" i="1" s="1"/>
  <c r="AB243" i="1"/>
  <c r="AA243" i="1" s="1" a="1"/>
  <c r="AA243" i="1" s="1"/>
  <c r="AB244" i="1"/>
  <c r="AA244" i="1" s="1" a="1"/>
  <c r="AA244" i="1" s="1"/>
  <c r="AB245" i="1"/>
  <c r="AA245" i="1" s="1" a="1"/>
  <c r="AA245" i="1" s="1"/>
  <c r="AB246" i="1"/>
  <c r="AA246" i="1" s="1" a="1"/>
  <c r="AA246" i="1" s="1"/>
  <c r="AB247" i="1"/>
  <c r="AA247" i="1" s="1" a="1"/>
  <c r="AA247" i="1" s="1"/>
  <c r="AB250" i="1"/>
  <c r="AA250" i="1" s="1" a="1"/>
  <c r="AA250" i="1" s="1"/>
  <c r="AB248" i="1"/>
  <c r="AA248" i="1" s="1" a="1"/>
  <c r="AA248" i="1" s="1"/>
  <c r="AB252" i="1"/>
  <c r="AA252" i="1" s="1" a="1"/>
  <c r="AA252" i="1" s="1"/>
  <c r="AB251" i="1"/>
  <c r="AA251" i="1" s="1" a="1"/>
  <c r="AA251" i="1" s="1"/>
  <c r="AB249" i="1"/>
  <c r="AA249" i="1" s="1" a="1"/>
  <c r="AA249" i="1" s="1"/>
  <c r="AB253" i="1"/>
  <c r="AA253" i="1" s="1" a="1"/>
  <c r="AA253" i="1" s="1"/>
  <c r="AB254" i="1"/>
  <c r="AA254" i="1" s="1" a="1"/>
  <c r="AA254" i="1" s="1"/>
  <c r="AB255" i="1"/>
  <c r="AA255" i="1" s="1" a="1"/>
  <c r="AA255" i="1" s="1"/>
  <c r="AB256" i="1"/>
  <c r="AA256" i="1" s="1" a="1"/>
  <c r="AA256" i="1" s="1"/>
  <c r="AB258" i="1"/>
  <c r="AA258" i="1" s="1" a="1"/>
  <c r="AA258" i="1" s="1"/>
  <c r="AB259" i="1"/>
  <c r="AA259" i="1" s="1" a="1"/>
  <c r="AA259" i="1" s="1"/>
  <c r="AB257" i="1"/>
  <c r="AA257" i="1" s="1" a="1"/>
  <c r="AA257" i="1" s="1"/>
  <c r="AB261" i="1"/>
  <c r="AA261" i="1" s="1" a="1"/>
  <c r="AA261" i="1" s="1"/>
  <c r="AB262" i="1"/>
  <c r="AA262" i="1" s="1" a="1"/>
  <c r="AA262" i="1" s="1"/>
  <c r="AB263" i="1"/>
  <c r="AA263" i="1" s="1" a="1"/>
  <c r="AA263" i="1" s="1"/>
  <c r="AB260" i="1"/>
  <c r="AA260" i="1" s="1" a="1"/>
  <c r="AA260" i="1" s="1"/>
  <c r="AB264" i="1"/>
  <c r="AA264" i="1" s="1" a="1"/>
  <c r="AA264" i="1" s="1"/>
  <c r="AB265" i="1"/>
  <c r="AA265" i="1" s="1" a="1"/>
  <c r="AA265" i="1" s="1"/>
  <c r="AB267" i="1"/>
  <c r="AA267" i="1" s="1" a="1"/>
  <c r="AA267" i="1" s="1"/>
  <c r="AB266" i="1"/>
  <c r="AA266" i="1" s="1" a="1"/>
  <c r="AA266" i="1" s="1"/>
  <c r="AB271" i="1"/>
  <c r="AA271" i="1" s="1" a="1"/>
  <c r="AA271" i="1" s="1"/>
  <c r="AB270" i="1"/>
  <c r="AA270" i="1" s="1" a="1"/>
  <c r="AA270" i="1" s="1"/>
  <c r="AB269" i="1"/>
  <c r="AA269" i="1" s="1" a="1"/>
  <c r="AA269" i="1" s="1"/>
  <c r="AB268" i="1"/>
  <c r="AA268" i="1" s="1" a="1"/>
  <c r="AA268" i="1" s="1"/>
  <c r="AB272" i="1"/>
  <c r="AA272" i="1" s="1" a="1"/>
  <c r="AA272" i="1" s="1"/>
  <c r="AB273" i="1"/>
  <c r="AA273" i="1" s="1" a="1"/>
  <c r="AA273" i="1" s="1"/>
  <c r="AB276" i="1"/>
  <c r="AA276" i="1" s="1" a="1"/>
  <c r="AA276" i="1" s="1"/>
  <c r="AB274" i="1"/>
  <c r="AA274" i="1" s="1" a="1"/>
  <c r="AA274" i="1" s="1"/>
  <c r="AB275" i="1"/>
  <c r="AA275" i="1" s="1" a="1"/>
  <c r="AA275" i="1" s="1"/>
  <c r="AB279" i="1"/>
  <c r="AA279" i="1" s="1" a="1"/>
  <c r="AA279" i="1" s="1"/>
  <c r="AB277" i="1"/>
  <c r="AA277" i="1" s="1" a="1"/>
  <c r="AA277" i="1" s="1"/>
  <c r="AB280" i="1"/>
  <c r="AA280" i="1" s="1" a="1"/>
  <c r="AA280" i="1" s="1"/>
  <c r="AB278" i="1"/>
  <c r="AA278" i="1" s="1" a="1"/>
  <c r="AA278" i="1" s="1"/>
  <c r="AB284" i="1"/>
  <c r="AA284" i="1" s="1" a="1"/>
  <c r="AA284" i="1" s="1"/>
  <c r="AB283" i="1"/>
  <c r="AA283" i="1" s="1" a="1"/>
  <c r="AA283" i="1" s="1"/>
  <c r="AB282" i="1"/>
  <c r="AA282" i="1" s="1" a="1"/>
  <c r="AA282" i="1" s="1"/>
  <c r="AB281" i="1"/>
  <c r="AA281" i="1" s="1" a="1"/>
  <c r="AA281" i="1" s="1"/>
  <c r="AB286" i="1"/>
  <c r="AA286" i="1" s="1" a="1"/>
  <c r="AA286" i="1" s="1"/>
  <c r="AB287" i="1"/>
  <c r="AA287" i="1" s="1" a="1"/>
  <c r="AA287" i="1" s="1"/>
  <c r="AB285" i="1"/>
  <c r="AA285" i="1" s="1" a="1"/>
  <c r="AA285" i="1" s="1"/>
  <c r="AB289" i="1"/>
  <c r="AA289" i="1" s="1" a="1"/>
  <c r="AA289" i="1" s="1"/>
  <c r="AB290" i="1"/>
  <c r="AA290" i="1" s="1" a="1"/>
  <c r="AA290" i="1" s="1"/>
  <c r="AB288" i="1"/>
  <c r="AA288" i="1" s="1" a="1"/>
  <c r="AA288" i="1" s="1"/>
  <c r="AB291" i="1"/>
  <c r="AA291" i="1" s="1" a="1"/>
  <c r="AA291" i="1" s="1"/>
  <c r="AB296" i="1"/>
  <c r="AA296" i="1" s="1" a="1"/>
  <c r="AA296" i="1" s="1"/>
  <c r="AB297" i="1"/>
  <c r="AA297" i="1" s="1" a="1"/>
  <c r="AA297" i="1" s="1"/>
  <c r="AB295" i="1"/>
  <c r="AA295" i="1" s="1" a="1"/>
  <c r="AA295" i="1" s="1"/>
  <c r="AB293" i="1"/>
  <c r="AA293" i="1" s="1" a="1"/>
  <c r="AA293" i="1" s="1"/>
  <c r="AB294" i="1"/>
  <c r="AA294" i="1" s="1" a="1"/>
  <c r="AA294" i="1" s="1"/>
  <c r="AB292" i="1"/>
  <c r="AA292" i="1" s="1" a="1"/>
  <c r="AA292" i="1" s="1"/>
  <c r="AB301" i="1"/>
  <c r="AA301" i="1" s="1" a="1"/>
  <c r="AA301" i="1" s="1"/>
  <c r="AB300" i="1"/>
  <c r="AA300" i="1" s="1" a="1"/>
  <c r="AA300" i="1" s="1"/>
  <c r="AB299" i="1"/>
  <c r="AA299" i="1" s="1" a="1"/>
  <c r="AA299" i="1" s="1"/>
  <c r="AB298" i="1"/>
  <c r="AA298" i="1" s="1" a="1"/>
  <c r="AA298" i="1" s="1"/>
  <c r="AB303" i="1"/>
  <c r="AA303" i="1" s="1" a="1"/>
  <c r="AA303" i="1" s="1"/>
  <c r="AB302" i="1"/>
  <c r="AA302" i="1" s="1" a="1"/>
  <c r="AA302" i="1" s="1"/>
  <c r="AB304" i="1"/>
  <c r="AA304" i="1" s="1" a="1"/>
  <c r="AA304" i="1" s="1"/>
  <c r="AB307" i="1"/>
  <c r="AA307" i="1" s="1" a="1"/>
  <c r="AA307" i="1" s="1"/>
  <c r="AB308" i="1"/>
  <c r="AA308" i="1" s="1" a="1"/>
  <c r="AA308" i="1" s="1"/>
  <c r="AB305" i="1"/>
  <c r="AA305" i="1" s="1" a="1"/>
  <c r="AA305" i="1" s="1"/>
  <c r="AB306" i="1"/>
  <c r="AA306" i="1" s="1" a="1"/>
  <c r="AA306" i="1" s="1"/>
  <c r="AB309" i="1"/>
  <c r="AA309" i="1" s="1" a="1"/>
  <c r="AA309" i="1" s="1"/>
  <c r="AB311" i="1"/>
  <c r="AA311" i="1" s="1" a="1"/>
  <c r="AA311" i="1" s="1"/>
  <c r="AB312" i="1"/>
  <c r="AA312" i="1" s="1" a="1"/>
  <c r="AA312" i="1" s="1"/>
  <c r="AB310" i="1"/>
  <c r="AA310" i="1" s="1" a="1"/>
  <c r="AA310" i="1" s="1"/>
  <c r="AB313" i="1"/>
  <c r="AA313" i="1" s="1" a="1"/>
  <c r="AA313" i="1" s="1"/>
  <c r="AB315" i="1"/>
  <c r="AA315" i="1" s="1" a="1"/>
  <c r="AA315" i="1" s="1"/>
  <c r="AB314" i="1"/>
  <c r="AA314" i="1" s="1" a="1"/>
  <c r="AA314" i="1" s="1"/>
  <c r="AB317" i="1"/>
  <c r="AA317" i="1" s="1" a="1"/>
  <c r="AA317" i="1" s="1"/>
  <c r="AB316" i="1"/>
  <c r="AA316" i="1" s="1" a="1"/>
  <c r="AA316" i="1" s="1"/>
  <c r="AB318" i="1"/>
  <c r="AA318" i="1" s="1" a="1"/>
  <c r="AA318" i="1" s="1"/>
  <c r="AB319" i="1"/>
  <c r="AA319" i="1" s="1" a="1"/>
  <c r="AA319" i="1" s="1"/>
  <c r="AB320" i="1"/>
  <c r="AA320" i="1" s="1" a="1"/>
  <c r="AA320" i="1" s="1"/>
  <c r="AB322" i="1"/>
  <c r="AA322" i="1" s="1" a="1"/>
  <c r="AA322" i="1" s="1"/>
  <c r="AB321" i="1"/>
  <c r="AA321" i="1" s="1" a="1"/>
  <c r="AA321" i="1" s="1"/>
  <c r="AB323" i="1"/>
  <c r="AA323" i="1" s="1" a="1"/>
  <c r="AA323" i="1" s="1"/>
  <c r="AB325" i="1"/>
  <c r="AA325" i="1" s="1" a="1"/>
  <c r="AA325" i="1" s="1"/>
  <c r="AB324" i="1"/>
  <c r="AA324" i="1" s="1" a="1"/>
  <c r="AA324" i="1" s="1"/>
  <c r="AB327" i="1"/>
  <c r="AA327" i="1" s="1" a="1"/>
  <c r="AA327" i="1" s="1"/>
  <c r="AB326" i="1"/>
  <c r="AA326" i="1" s="1" a="1"/>
  <c r="AA326" i="1" s="1"/>
  <c r="AB330" i="1"/>
  <c r="AA330" i="1" s="1" a="1"/>
  <c r="AA330" i="1" s="1"/>
  <c r="AB331" i="1"/>
  <c r="AA331" i="1" s="1" a="1"/>
  <c r="AA331" i="1" s="1"/>
  <c r="AB329" i="1"/>
  <c r="AA329" i="1" s="1" a="1"/>
  <c r="AA329" i="1" s="1"/>
  <c r="AB328" i="1"/>
  <c r="AA328" i="1" s="1" a="1"/>
  <c r="AA328" i="1" s="1"/>
  <c r="AB332" i="1"/>
  <c r="AA332" i="1" s="1" a="1"/>
  <c r="AA332" i="1" s="1"/>
  <c r="AB334" i="1"/>
  <c r="AA334" i="1" s="1" a="1"/>
  <c r="AA334" i="1" s="1"/>
  <c r="AB335" i="1"/>
  <c r="AA335" i="1" s="1" a="1"/>
  <c r="AA335" i="1" s="1"/>
  <c r="AB337" i="1"/>
  <c r="AA337" i="1" s="1" a="1"/>
  <c r="AA337" i="1" s="1"/>
  <c r="AB336" i="1"/>
  <c r="AA336" i="1" s="1" a="1"/>
  <c r="AA336" i="1" s="1"/>
  <c r="AB333" i="1"/>
  <c r="AA333" i="1" s="1" a="1"/>
  <c r="AA333" i="1" s="1"/>
  <c r="AB338" i="1"/>
  <c r="AA338" i="1" s="1" a="1"/>
  <c r="AA338" i="1" s="1"/>
  <c r="AB339" i="1"/>
  <c r="AA339" i="1" s="1" a="1"/>
  <c r="AA339" i="1" s="1"/>
  <c r="AB340" i="1"/>
  <c r="AA340" i="1" s="1" a="1"/>
  <c r="AA340" i="1" s="1"/>
  <c r="AB341" i="1"/>
  <c r="AA341" i="1" s="1" a="1"/>
  <c r="AA341" i="1" s="1"/>
  <c r="AB342" i="1"/>
  <c r="AA342" i="1" s="1" a="1"/>
  <c r="AA342" i="1" s="1"/>
  <c r="AB346" i="1"/>
  <c r="AA346" i="1" s="1" a="1"/>
  <c r="AA346" i="1" s="1"/>
  <c r="AB345" i="1"/>
  <c r="AA345" i="1" s="1" a="1"/>
  <c r="AA345" i="1" s="1"/>
  <c r="AB344" i="1"/>
  <c r="AA344" i="1" s="1" a="1"/>
  <c r="AA344" i="1" s="1"/>
  <c r="AB343" i="1"/>
  <c r="AA343" i="1" s="1" a="1"/>
  <c r="AA343" i="1" s="1"/>
  <c r="AB347" i="1"/>
  <c r="AA347" i="1" s="1" a="1"/>
  <c r="AA347" i="1" s="1"/>
  <c r="AB351" i="1"/>
  <c r="AA351" i="1" s="1" a="1"/>
  <c r="AA351" i="1" s="1"/>
  <c r="AB350" i="1"/>
  <c r="AA350" i="1" s="1" a="1"/>
  <c r="AA350" i="1" s="1"/>
  <c r="AB349" i="1"/>
  <c r="AA349" i="1" s="1" a="1"/>
  <c r="AA349" i="1" s="1"/>
  <c r="AB348" i="1"/>
  <c r="AA348" i="1" s="1" a="1"/>
  <c r="AA348" i="1" s="1"/>
  <c r="AB354" i="1"/>
  <c r="AA354" i="1" s="1" a="1"/>
  <c r="AA354" i="1" s="1"/>
  <c r="AB353" i="1"/>
  <c r="AA353" i="1" s="1" a="1"/>
  <c r="AA353" i="1" s="1"/>
  <c r="AB352" i="1"/>
  <c r="AA352" i="1" s="1" a="1"/>
  <c r="AA352" i="1" s="1"/>
  <c r="AB355" i="1"/>
  <c r="AA355" i="1" s="1" a="1"/>
  <c r="AA355" i="1" s="1"/>
  <c r="AB358" i="1"/>
  <c r="AA358" i="1" s="1" a="1"/>
  <c r="AA358" i="1" s="1"/>
  <c r="AB357" i="1"/>
  <c r="AA357" i="1" s="1" a="1"/>
  <c r="AA357" i="1" s="1"/>
  <c r="AB356" i="1"/>
  <c r="AA356" i="1" s="1" a="1"/>
  <c r="AA356" i="1" s="1"/>
  <c r="AB360" i="1"/>
  <c r="AA360" i="1" s="1" a="1"/>
  <c r="AA360" i="1" s="1"/>
  <c r="AB359" i="1"/>
  <c r="AA359" i="1" s="1" a="1"/>
  <c r="AA359" i="1" s="1"/>
  <c r="AB361" i="1"/>
  <c r="AA361" i="1" s="1" a="1"/>
  <c r="AA361" i="1" s="1"/>
  <c r="AB363" i="1"/>
  <c r="AA363" i="1" s="1" a="1"/>
  <c r="AA363" i="1" s="1"/>
  <c r="AB362" i="1"/>
  <c r="AA362" i="1" s="1" a="1"/>
  <c r="AA362" i="1" s="1"/>
  <c r="AB364" i="1"/>
  <c r="AA364" i="1" s="1" a="1"/>
  <c r="AA364" i="1" s="1"/>
  <c r="AB365" i="1"/>
  <c r="AA365" i="1" s="1" a="1"/>
  <c r="AA365" i="1" s="1"/>
  <c r="AB366" i="1"/>
  <c r="AA366" i="1" s="1" a="1"/>
  <c r="AA366" i="1" s="1"/>
  <c r="AB367" i="1"/>
  <c r="AA367" i="1" s="1" a="1"/>
  <c r="AA367" i="1" s="1"/>
  <c r="AB370" i="1"/>
  <c r="AA370" i="1" s="1" a="1"/>
  <c r="AA370" i="1" s="1"/>
  <c r="AB368" i="1"/>
  <c r="AA368" i="1" s="1" a="1"/>
  <c r="AA368" i="1" s="1"/>
  <c r="AB371" i="1"/>
  <c r="AA371" i="1" s="1" a="1"/>
  <c r="AA371" i="1" s="1"/>
  <c r="AB369" i="1"/>
  <c r="AA369" i="1" s="1" a="1"/>
  <c r="AA369" i="1" s="1"/>
  <c r="AB372" i="1"/>
  <c r="AA372" i="1" s="1" a="1"/>
  <c r="AA372" i="1" s="1"/>
  <c r="AB376" i="1"/>
  <c r="AA376" i="1" s="1" a="1"/>
  <c r="AA376" i="1" s="1"/>
  <c r="AB374" i="1"/>
  <c r="AA374" i="1" s="1" a="1"/>
  <c r="AA374" i="1" s="1"/>
  <c r="AB375" i="1"/>
  <c r="AA375" i="1" s="1" a="1"/>
  <c r="AA375" i="1" s="1"/>
  <c r="AB373" i="1"/>
  <c r="AA373" i="1" s="1" a="1"/>
  <c r="AA373" i="1" s="1"/>
  <c r="AB377" i="1"/>
  <c r="AA377" i="1" s="1" a="1"/>
  <c r="AA377" i="1" s="1"/>
  <c r="AB379" i="1"/>
  <c r="AA379" i="1" s="1" a="1"/>
  <c r="AA379" i="1" s="1"/>
  <c r="AB378" i="1"/>
  <c r="AA378" i="1" s="1" a="1"/>
  <c r="AA378" i="1" s="1"/>
  <c r="AB381" i="1"/>
  <c r="AA381" i="1" s="1" a="1"/>
  <c r="AA381" i="1" s="1"/>
  <c r="AB380" i="1"/>
  <c r="AA380" i="1" s="1" a="1"/>
  <c r="AA380" i="1" s="1"/>
  <c r="AB386" i="1"/>
  <c r="AA386" i="1" s="1" a="1"/>
  <c r="AA386" i="1" s="1"/>
  <c r="AB384" i="1"/>
  <c r="AA384" i="1" s="1" a="1"/>
  <c r="AA384" i="1" s="1"/>
  <c r="AB383" i="1"/>
  <c r="AA383" i="1" s="1" a="1"/>
  <c r="AA383" i="1" s="1"/>
  <c r="AB382" i="1"/>
  <c r="AA382" i="1" s="1" a="1"/>
  <c r="AA382" i="1" s="1"/>
  <c r="AB385" i="1"/>
  <c r="AA385" i="1" s="1" a="1"/>
  <c r="AA385" i="1" s="1"/>
  <c r="AB389" i="1"/>
  <c r="AA389" i="1" s="1" a="1"/>
  <c r="AA389" i="1" s="1"/>
  <c r="AB388" i="1"/>
  <c r="AA388" i="1" s="1" a="1"/>
  <c r="AA388" i="1" s="1"/>
  <c r="AB387" i="1"/>
  <c r="AA387" i="1" s="1" a="1"/>
  <c r="AA387" i="1" s="1"/>
  <c r="AB390" i="1"/>
  <c r="AA390" i="1" s="1" a="1"/>
  <c r="AA390" i="1" s="1"/>
  <c r="AB391" i="1"/>
  <c r="AA391" i="1" s="1" a="1"/>
  <c r="AA391" i="1" s="1"/>
  <c r="AB393" i="1"/>
  <c r="AA393" i="1" s="1" a="1"/>
  <c r="AA393" i="1" s="1"/>
  <c r="AB394" i="1"/>
  <c r="AA394" i="1" s="1" a="1"/>
  <c r="AA394" i="1" s="1"/>
  <c r="AB392" i="1"/>
  <c r="AA392" i="1" s="1" a="1"/>
  <c r="AA392" i="1" s="1"/>
  <c r="AB395" i="1"/>
  <c r="AA395" i="1" s="1" a="1"/>
  <c r="AA395" i="1" s="1"/>
  <c r="AB397" i="1"/>
  <c r="AA397" i="1" s="1" a="1"/>
  <c r="AA397" i="1" s="1"/>
  <c r="AB398" i="1"/>
  <c r="AA398" i="1" s="1" a="1"/>
  <c r="AA398" i="1" s="1"/>
  <c r="AB400" i="1"/>
  <c r="AA400" i="1" s="1" a="1"/>
  <c r="AA400" i="1" s="1"/>
  <c r="AB399" i="1"/>
  <c r="AA399" i="1" s="1" a="1"/>
  <c r="AA399" i="1" s="1"/>
  <c r="AB396" i="1"/>
  <c r="AA396" i="1" s="1" a="1"/>
  <c r="AA396" i="1" s="1"/>
  <c r="AB402" i="1"/>
  <c r="AA402" i="1" s="1" a="1"/>
  <c r="AA402" i="1" s="1"/>
  <c r="AB401" i="1"/>
  <c r="AA401" i="1" s="1" a="1"/>
  <c r="AA401" i="1" s="1"/>
  <c r="AB403" i="1"/>
  <c r="AA403" i="1" s="1" a="1"/>
  <c r="AA403" i="1" s="1"/>
  <c r="AB405" i="1"/>
  <c r="AA405" i="1" s="1" a="1"/>
  <c r="AA405" i="1" s="1"/>
  <c r="AB406" i="1"/>
  <c r="AA406" i="1" s="1" a="1"/>
  <c r="AA406" i="1" s="1"/>
  <c r="AB407" i="1"/>
  <c r="AA407" i="1" s="1" a="1"/>
  <c r="AA407" i="1" s="1"/>
  <c r="AB404" i="1"/>
  <c r="AA404" i="1" s="1" a="1"/>
  <c r="AA404" i="1" s="1"/>
  <c r="AB408" i="1"/>
  <c r="AA408" i="1" s="1" a="1"/>
  <c r="AA408" i="1" s="1"/>
  <c r="AB409" i="1"/>
  <c r="AA409" i="1" s="1" a="1"/>
  <c r="AA409" i="1" s="1"/>
  <c r="AB410" i="1"/>
  <c r="AA410" i="1" s="1" a="1"/>
  <c r="AA410" i="1" s="1"/>
  <c r="AB411" i="1"/>
  <c r="AA411" i="1" s="1" a="1"/>
  <c r="AA411" i="1" s="1"/>
  <c r="AB413" i="1"/>
  <c r="AA413" i="1" s="1" a="1"/>
  <c r="AA413" i="1" s="1"/>
  <c r="AB412" i="1"/>
  <c r="AA412" i="1" s="1" a="1"/>
  <c r="AA412" i="1" s="1"/>
  <c r="AB415" i="1"/>
  <c r="AA415" i="1" s="1" a="1"/>
  <c r="AA415" i="1" s="1"/>
  <c r="AB414" i="1"/>
  <c r="AA414" i="1" s="1" a="1"/>
  <c r="AA414" i="1" s="1"/>
  <c r="AB420" i="1"/>
  <c r="AA420" i="1" s="1" a="1"/>
  <c r="AA420" i="1" s="1"/>
  <c r="AB416" i="1"/>
  <c r="AA416" i="1" s="1" a="1"/>
  <c r="AA416" i="1" s="1"/>
  <c r="AB422" i="1"/>
  <c r="AA422" i="1" s="1" a="1"/>
  <c r="AA422" i="1" s="1"/>
  <c r="AB417" i="1"/>
  <c r="AA417" i="1" s="1" a="1"/>
  <c r="AA417" i="1" s="1"/>
  <c r="AB421" i="1"/>
  <c r="AA421" i="1" s="1" a="1"/>
  <c r="AA421" i="1" s="1"/>
  <c r="AB419" i="1"/>
  <c r="AA419" i="1" s="1" a="1"/>
  <c r="AA419" i="1" s="1"/>
  <c r="AB418" i="1"/>
  <c r="AA418" i="1" s="1" a="1"/>
  <c r="AA418" i="1" s="1"/>
  <c r="AB424" i="1"/>
  <c r="AA424" i="1" s="1" a="1"/>
  <c r="AA424" i="1" s="1"/>
  <c r="AB425" i="1"/>
  <c r="AA425" i="1" s="1" a="1"/>
  <c r="AA425" i="1" s="1"/>
  <c r="AB423" i="1"/>
  <c r="AA423" i="1" s="1" a="1"/>
  <c r="AA423" i="1" s="1"/>
  <c r="AB426" i="1"/>
  <c r="AA426" i="1" s="1" a="1"/>
  <c r="AA426" i="1" s="1"/>
  <c r="AB428" i="1"/>
  <c r="AA428" i="1" s="1" a="1"/>
  <c r="AA428" i="1" s="1"/>
  <c r="AB427" i="1"/>
  <c r="AA427" i="1" s="1" a="1"/>
  <c r="AA427" i="1" s="1"/>
  <c r="AB429" i="1"/>
  <c r="AA429" i="1" s="1" a="1"/>
  <c r="AA429" i="1" s="1"/>
  <c r="AB430" i="1"/>
  <c r="AA430" i="1" s="1" a="1"/>
  <c r="AA430" i="1" s="1"/>
  <c r="AB431" i="1"/>
  <c r="AA431" i="1" s="1" a="1"/>
  <c r="AA431" i="1" s="1"/>
  <c r="AB432" i="1"/>
  <c r="AA432" i="1" s="1" a="1"/>
  <c r="AA432" i="1" s="1"/>
  <c r="AB434" i="1"/>
  <c r="AA434" i="1" s="1" a="1"/>
  <c r="AA434" i="1" s="1"/>
  <c r="AB435" i="1"/>
  <c r="AA435" i="1" s="1" a="1"/>
  <c r="AA435" i="1" s="1"/>
  <c r="AB433" i="1"/>
  <c r="AA433" i="1" s="1" a="1"/>
  <c r="AA433" i="1" s="1"/>
  <c r="AB436" i="1"/>
  <c r="AA436" i="1" s="1" a="1"/>
  <c r="AA436" i="1" s="1"/>
  <c r="AB437" i="1"/>
  <c r="AA437" i="1" s="1" a="1"/>
  <c r="AA437" i="1" s="1"/>
  <c r="AB439" i="1"/>
  <c r="AA439" i="1" s="1" a="1"/>
  <c r="AA439" i="1" s="1"/>
  <c r="AB440" i="1"/>
  <c r="AA440" i="1" s="1" a="1"/>
  <c r="AA440" i="1" s="1"/>
  <c r="AB438" i="1"/>
  <c r="AA438" i="1" s="1" a="1"/>
  <c r="AA438" i="1" s="1"/>
  <c r="AB442" i="1"/>
  <c r="AA442" i="1" s="1" a="1"/>
  <c r="AA442" i="1" s="1"/>
  <c r="AB443" i="1"/>
  <c r="AA443" i="1" s="1" a="1"/>
  <c r="AA443" i="1" s="1"/>
  <c r="AB441" i="1"/>
  <c r="AA441" i="1" s="1" a="1"/>
  <c r="AA441" i="1" s="1"/>
  <c r="AB444" i="1"/>
  <c r="AA444" i="1" s="1" a="1"/>
  <c r="AA444" i="1" s="1"/>
  <c r="AB446" i="1"/>
  <c r="AA446" i="1" s="1" a="1"/>
  <c r="AA446" i="1" s="1"/>
  <c r="AB445" i="1"/>
  <c r="AA445" i="1" s="1" a="1"/>
  <c r="AA445" i="1" s="1"/>
  <c r="AB447" i="1"/>
  <c r="AA447" i="1" s="1" a="1"/>
  <c r="AA447" i="1" s="1"/>
  <c r="AB450" i="1"/>
  <c r="AA450" i="1" s="1" a="1"/>
  <c r="AA450" i="1" s="1"/>
  <c r="AB448" i="1"/>
  <c r="AA448" i="1" s="1" a="1"/>
  <c r="AA448" i="1" s="1"/>
  <c r="AB449" i="1"/>
  <c r="AA449" i="1" s="1" a="1"/>
  <c r="AA449" i="1" s="1"/>
  <c r="AB452" i="1"/>
  <c r="AA452" i="1" s="1" a="1"/>
  <c r="AA452" i="1" s="1"/>
  <c r="AB454" i="1"/>
  <c r="AA454" i="1" s="1" a="1"/>
  <c r="AA454" i="1" s="1"/>
  <c r="AB455" i="1"/>
  <c r="AA455" i="1" s="1" a="1"/>
  <c r="AA455" i="1" s="1"/>
  <c r="AB451" i="1"/>
  <c r="AA451" i="1" s="1" a="1"/>
  <c r="AA451" i="1" s="1"/>
  <c r="AB453" i="1"/>
  <c r="AA453" i="1" s="1" a="1"/>
  <c r="AA453" i="1" s="1"/>
  <c r="AB457" i="1"/>
  <c r="AA457" i="1" s="1" a="1"/>
  <c r="AA457" i="1" s="1"/>
  <c r="AB460" i="1"/>
  <c r="AA460" i="1" s="1" a="1"/>
  <c r="AA460" i="1" s="1"/>
  <c r="AB459" i="1"/>
  <c r="AA459" i="1" s="1" a="1"/>
  <c r="AA459" i="1" s="1"/>
  <c r="AB456" i="1"/>
  <c r="AA456" i="1" s="1" a="1"/>
  <c r="AA456" i="1" s="1"/>
  <c r="AB458" i="1"/>
  <c r="AA458" i="1" s="1" a="1"/>
  <c r="AA458" i="1" s="1"/>
  <c r="AB465" i="1"/>
  <c r="AA465" i="1" s="1" a="1"/>
  <c r="AA465" i="1" s="1"/>
  <c r="AB462" i="1"/>
  <c r="AA462" i="1" s="1" a="1"/>
  <c r="AA462" i="1" s="1"/>
  <c r="AB464" i="1"/>
  <c r="AA464" i="1" s="1" a="1"/>
  <c r="AA464" i="1" s="1"/>
  <c r="AB463" i="1"/>
  <c r="AA463" i="1" s="1" a="1"/>
  <c r="AA463" i="1" s="1"/>
  <c r="AB461" i="1"/>
  <c r="AA461" i="1" s="1" a="1"/>
  <c r="AA461" i="1" s="1"/>
  <c r="AB466" i="1"/>
  <c r="AA466" i="1" s="1" a="1"/>
  <c r="AA466" i="1" s="1"/>
  <c r="AB467" i="1"/>
  <c r="AA467" i="1" s="1" a="1"/>
  <c r="AA467" i="1" s="1"/>
  <c r="AB469" i="1"/>
  <c r="AA469" i="1" s="1" a="1"/>
  <c r="AA469" i="1" s="1"/>
  <c r="AB470" i="1"/>
  <c r="AA470" i="1" s="1" a="1"/>
  <c r="AA470" i="1" s="1"/>
  <c r="AB468" i="1"/>
  <c r="AA468" i="1" s="1" a="1"/>
  <c r="AA468" i="1" s="1"/>
  <c r="AB471" i="1"/>
  <c r="AA471" i="1" s="1" a="1"/>
  <c r="AA471" i="1" s="1"/>
  <c r="AB473" i="1"/>
  <c r="AA473" i="1" s="1" a="1"/>
  <c r="AA473" i="1" s="1"/>
  <c r="AB475" i="1"/>
  <c r="AA475" i="1" s="1" a="1"/>
  <c r="AA475" i="1" s="1"/>
  <c r="AB472" i="1"/>
  <c r="AA472" i="1" s="1" a="1"/>
  <c r="AA472" i="1" s="1"/>
  <c r="AB476" i="1"/>
  <c r="AA476" i="1" s="1" a="1"/>
  <c r="AA476" i="1" s="1"/>
  <c r="AB474" i="1"/>
  <c r="AA474" i="1" s="1" a="1"/>
  <c r="AA474" i="1" s="1"/>
  <c r="AB480" i="1"/>
  <c r="AA480" i="1" s="1" a="1"/>
  <c r="AA480" i="1" s="1"/>
  <c r="AB479" i="1"/>
  <c r="AA479" i="1" s="1" a="1"/>
  <c r="AA479" i="1" s="1"/>
  <c r="AB478" i="1"/>
  <c r="AA478" i="1" s="1" a="1"/>
  <c r="AA478" i="1" s="1"/>
  <c r="AB477" i="1"/>
  <c r="AA477" i="1" s="1" a="1"/>
  <c r="AA477" i="1" s="1"/>
  <c r="AB483" i="1"/>
  <c r="AA483" i="1" s="1" a="1"/>
  <c r="AA483" i="1" s="1"/>
  <c r="AB482" i="1"/>
  <c r="AA482" i="1" s="1" a="1"/>
  <c r="AA482" i="1" s="1"/>
  <c r="AB481" i="1"/>
  <c r="AA481" i="1" s="1" a="1"/>
  <c r="AA481" i="1" s="1"/>
  <c r="AB484" i="1"/>
  <c r="AA484" i="1" s="1" a="1"/>
  <c r="AA484" i="1" s="1"/>
  <c r="AB485" i="1"/>
  <c r="AA485" i="1" s="1" a="1"/>
  <c r="AA485" i="1" s="1"/>
  <c r="AB486" i="1"/>
  <c r="AA486" i="1" s="1" a="1"/>
  <c r="AA486" i="1" s="1"/>
  <c r="AB488" i="1"/>
  <c r="AA488" i="1" s="1" a="1"/>
  <c r="AA488" i="1" s="1"/>
  <c r="AB487" i="1"/>
  <c r="AA487" i="1" s="1" a="1"/>
  <c r="AA487" i="1" s="1"/>
  <c r="AB489" i="1"/>
  <c r="AA489" i="1" s="1" a="1"/>
  <c r="AA489" i="1" s="1"/>
  <c r="AB490" i="1"/>
  <c r="AA490" i="1" s="1" a="1"/>
  <c r="AA490" i="1" s="1"/>
  <c r="AB492" i="1"/>
  <c r="AA492" i="1" s="1" a="1"/>
  <c r="AA492" i="1" s="1"/>
  <c r="AB493" i="1"/>
  <c r="AA493" i="1" s="1" a="1"/>
  <c r="AA493" i="1" s="1"/>
  <c r="AB491" i="1"/>
  <c r="AA491" i="1" s="1" a="1"/>
  <c r="AA491" i="1" s="1"/>
  <c r="AB498" i="1"/>
  <c r="AA498" i="1" s="1" a="1"/>
  <c r="AA498" i="1" s="1"/>
  <c r="AB494" i="1"/>
  <c r="AA494" i="1" s="1" a="1"/>
  <c r="AA494" i="1" s="1"/>
  <c r="AB497" i="1"/>
  <c r="AA497" i="1" s="1" a="1"/>
  <c r="AA497" i="1" s="1"/>
  <c r="AB496" i="1"/>
  <c r="AA496" i="1" s="1" a="1"/>
  <c r="AA496" i="1" s="1"/>
  <c r="AB495" i="1"/>
  <c r="AA495" i="1" s="1" a="1"/>
  <c r="AA495" i="1" s="1"/>
  <c r="AB502" i="1"/>
  <c r="AA502" i="1" s="1" a="1"/>
  <c r="AA502" i="1" s="1"/>
  <c r="AB500" i="1"/>
  <c r="AA500" i="1" s="1" a="1"/>
  <c r="AA500" i="1" s="1"/>
  <c r="AB499" i="1"/>
  <c r="AA499" i="1" s="1" a="1"/>
  <c r="AA499" i="1" s="1"/>
  <c r="AB501" i="1"/>
  <c r="AA501" i="1" s="1" a="1"/>
  <c r="AA501" i="1" s="1"/>
  <c r="AB506" i="1"/>
  <c r="AA506" i="1" s="1" a="1"/>
  <c r="AA506" i="1" s="1"/>
  <c r="AB503" i="1"/>
  <c r="AA503" i="1" s="1" a="1"/>
  <c r="AA503" i="1" s="1"/>
  <c r="AB507" i="1"/>
  <c r="AA507" i="1" s="1" a="1"/>
  <c r="AA507" i="1" s="1"/>
  <c r="AB505" i="1"/>
  <c r="AA505" i="1" s="1" a="1"/>
  <c r="AA505" i="1" s="1"/>
  <c r="AB504" i="1"/>
  <c r="AA504" i="1" s="1" a="1"/>
  <c r="AA504" i="1" s="1"/>
  <c r="AB508" i="1"/>
  <c r="AA508" i="1" s="1" a="1"/>
  <c r="AA508" i="1" s="1"/>
  <c r="AB509" i="1"/>
  <c r="AA509" i="1" s="1" a="1"/>
  <c r="AA509" i="1" s="1"/>
  <c r="AB512" i="1"/>
  <c r="AA512" i="1" s="1" a="1"/>
  <c r="AA512" i="1" s="1"/>
  <c r="AB511" i="1"/>
  <c r="AA511" i="1" s="1" a="1"/>
  <c r="AA511" i="1" s="1"/>
  <c r="AB510" i="1"/>
  <c r="AA510" i="1" s="1" a="1"/>
  <c r="AA510" i="1" s="1"/>
  <c r="AB513" i="1"/>
  <c r="AA513" i="1" s="1" a="1"/>
  <c r="AA513" i="1" s="1"/>
  <c r="AB517" i="1"/>
  <c r="AA517" i="1" s="1" a="1"/>
  <c r="AA517" i="1" s="1"/>
  <c r="AB515" i="1"/>
  <c r="AA515" i="1" s="1" a="1"/>
  <c r="AA515" i="1" s="1"/>
  <c r="AB514" i="1"/>
  <c r="AA514" i="1" s="1" a="1"/>
  <c r="AA514" i="1" s="1"/>
  <c r="AB516" i="1"/>
  <c r="AA516" i="1" s="1" a="1"/>
  <c r="AA516" i="1" s="1"/>
  <c r="AB520" i="1"/>
  <c r="AA520" i="1" s="1" a="1"/>
  <c r="AA520" i="1" s="1"/>
  <c r="AB519" i="1"/>
  <c r="AA519" i="1" s="1" a="1"/>
  <c r="AA519" i="1" s="1"/>
  <c r="AB518" i="1"/>
  <c r="AA518" i="1" s="1" a="1"/>
  <c r="AA518" i="1" s="1"/>
  <c r="AB523" i="1"/>
  <c r="AA523" i="1" s="1" a="1"/>
  <c r="AA523" i="1" s="1"/>
  <c r="AB525" i="1"/>
  <c r="AA525" i="1" s="1" a="1"/>
  <c r="AA525" i="1" s="1"/>
  <c r="AB524" i="1"/>
  <c r="AA524" i="1" s="1" a="1"/>
  <c r="AA524" i="1" s="1"/>
  <c r="AB526" i="1"/>
  <c r="AA526" i="1" s="1" a="1"/>
  <c r="AA526" i="1" s="1"/>
  <c r="AB522" i="1"/>
  <c r="AA522" i="1" s="1" a="1"/>
  <c r="AA522" i="1" s="1"/>
  <c r="AB521" i="1"/>
  <c r="AA521" i="1" s="1" a="1"/>
  <c r="AA521" i="1" s="1"/>
  <c r="AB528" i="1"/>
  <c r="AA528" i="1" s="1" a="1"/>
  <c r="AA528" i="1" s="1"/>
  <c r="AB529" i="1"/>
  <c r="AA529" i="1" s="1" a="1"/>
  <c r="AA529" i="1" s="1"/>
  <c r="AB527" i="1"/>
  <c r="AA527" i="1" s="1" a="1"/>
  <c r="AA527" i="1" s="1"/>
  <c r="AB532" i="1"/>
  <c r="AA532" i="1" s="1" a="1"/>
  <c r="AA532" i="1" s="1"/>
  <c r="AB531" i="1"/>
  <c r="AA531" i="1" s="1" a="1"/>
  <c r="AA531" i="1" s="1"/>
  <c r="AB533" i="1"/>
  <c r="AA533" i="1" s="1" a="1"/>
  <c r="AA533" i="1" s="1"/>
  <c r="AB534" i="1"/>
  <c r="AA534" i="1" s="1" a="1"/>
  <c r="AA534" i="1" s="1"/>
  <c r="AB530" i="1"/>
  <c r="AA530" i="1" s="1" a="1"/>
  <c r="AA530" i="1" s="1"/>
  <c r="AB535" i="1"/>
  <c r="AA535" i="1" s="1" a="1"/>
  <c r="AA535" i="1" s="1"/>
  <c r="AB537" i="1"/>
  <c r="AA537" i="1" s="1" a="1"/>
  <c r="AA537" i="1" s="1"/>
  <c r="AB536" i="1"/>
  <c r="AA536" i="1" s="1" a="1"/>
  <c r="AA536" i="1" s="1"/>
  <c r="AB539" i="1"/>
  <c r="AA539" i="1" s="1" a="1"/>
  <c r="AA539" i="1" s="1"/>
  <c r="AB538" i="1"/>
  <c r="AA538" i="1" s="1" a="1"/>
  <c r="AA538" i="1" s="1"/>
  <c r="AB542" i="1"/>
  <c r="AA542" i="1" s="1" a="1"/>
  <c r="AA542" i="1" s="1"/>
  <c r="AB541" i="1"/>
  <c r="AA541" i="1" s="1" a="1"/>
  <c r="AA541" i="1" s="1"/>
  <c r="AB540" i="1"/>
  <c r="AA540" i="1" s="1" a="1"/>
  <c r="AA540" i="1" s="1"/>
  <c r="AB543" i="1"/>
  <c r="AA543" i="1" s="1" a="1"/>
  <c r="AA543" i="1" s="1"/>
  <c r="AB546" i="1"/>
  <c r="AA546" i="1" s="1" a="1"/>
  <c r="AA546" i="1" s="1"/>
  <c r="AB545" i="1"/>
  <c r="AA545" i="1" s="1" a="1"/>
  <c r="AA545" i="1" s="1"/>
  <c r="AB544" i="1"/>
  <c r="AA544" i="1" s="1" a="1"/>
  <c r="AA544" i="1" s="1"/>
  <c r="AB549" i="1"/>
  <c r="AA549" i="1" s="1" a="1"/>
  <c r="AA549" i="1" s="1"/>
  <c r="AB547" i="1"/>
  <c r="AA547" i="1" s="1" a="1"/>
  <c r="AA547" i="1" s="1"/>
  <c r="AB548" i="1"/>
  <c r="AA548" i="1" s="1" a="1"/>
  <c r="AA548" i="1" s="1"/>
  <c r="AB553" i="1"/>
  <c r="AA553" i="1" s="1" a="1"/>
  <c r="AA553" i="1" s="1"/>
  <c r="AB554" i="1"/>
  <c r="AA554" i="1" s="1" a="1"/>
  <c r="AA554" i="1" s="1"/>
  <c r="AB552" i="1"/>
  <c r="AA552" i="1" s="1" a="1"/>
  <c r="AA552" i="1" s="1"/>
  <c r="AB550" i="1"/>
  <c r="AA550" i="1" s="1" a="1"/>
  <c r="AA550" i="1" s="1"/>
  <c r="AB551" i="1"/>
  <c r="AA551" i="1" s="1" a="1"/>
  <c r="AA551" i="1" s="1"/>
  <c r="AB555" i="1"/>
  <c r="AA555" i="1" s="1" a="1"/>
  <c r="AA555" i="1" s="1"/>
  <c r="AB556" i="1"/>
  <c r="AA556" i="1" s="1" a="1"/>
  <c r="AA556" i="1" s="1"/>
  <c r="AB558" i="1"/>
  <c r="AA558" i="1" s="1" a="1"/>
  <c r="AA558" i="1" s="1"/>
  <c r="AB557" i="1"/>
  <c r="AA557" i="1" s="1" a="1"/>
  <c r="AA557" i="1" s="1"/>
  <c r="AB562" i="1"/>
  <c r="AA562" i="1" s="1" a="1"/>
  <c r="AA562" i="1" s="1"/>
  <c r="AB560" i="1"/>
  <c r="AA560" i="1" s="1" a="1"/>
  <c r="AA560" i="1" s="1"/>
  <c r="AB561" i="1"/>
  <c r="AA561" i="1" s="1" a="1"/>
  <c r="AA561" i="1" s="1"/>
  <c r="AB559" i="1"/>
  <c r="AA559" i="1" s="1" a="1"/>
  <c r="AA559" i="1" s="1"/>
  <c r="AB564" i="1"/>
  <c r="AA564" i="1" s="1" a="1"/>
  <c r="AA564" i="1" s="1"/>
  <c r="AB566" i="1"/>
  <c r="AA566" i="1" s="1" a="1"/>
  <c r="AA566" i="1" s="1"/>
  <c r="AB565" i="1"/>
  <c r="AA565" i="1" s="1" a="1"/>
  <c r="AA565" i="1" s="1"/>
  <c r="AB563" i="1"/>
  <c r="AA563" i="1" s="1" a="1"/>
  <c r="AA563" i="1" s="1"/>
  <c r="AB568" i="1"/>
  <c r="AA568" i="1" s="1" a="1"/>
  <c r="AA568" i="1" s="1"/>
  <c r="AB567" i="1"/>
  <c r="AA567" i="1" s="1" a="1"/>
  <c r="AA567" i="1" s="1"/>
  <c r="AB569" i="1"/>
  <c r="AA569" i="1" s="1" a="1"/>
  <c r="AA569" i="1" s="1"/>
  <c r="AB570" i="1"/>
  <c r="AA570" i="1" s="1" a="1"/>
  <c r="AA570" i="1" s="1"/>
  <c r="AB571" i="1"/>
  <c r="AA571" i="1" s="1" a="1"/>
  <c r="AA571" i="1" s="1"/>
  <c r="AB574" i="1"/>
  <c r="AA574" i="1" s="1" a="1"/>
  <c r="AA574" i="1" s="1"/>
  <c r="AB572" i="1"/>
  <c r="AA572" i="1" s="1" a="1"/>
  <c r="AA572" i="1" s="1"/>
  <c r="AB573" i="1"/>
  <c r="AA573" i="1" s="1" a="1"/>
  <c r="AA573" i="1" s="1"/>
  <c r="AB578" i="1"/>
  <c r="AA578" i="1" s="1" a="1"/>
  <c r="AA578" i="1" s="1"/>
  <c r="AB579" i="1"/>
  <c r="AA579" i="1" s="1" a="1"/>
  <c r="AA579" i="1" s="1"/>
  <c r="AB576" i="1"/>
  <c r="AA576" i="1" s="1" a="1"/>
  <c r="AA576" i="1" s="1"/>
  <c r="AB577" i="1"/>
  <c r="AA577" i="1" s="1" a="1"/>
  <c r="AA577" i="1" s="1"/>
  <c r="AB575" i="1"/>
  <c r="AA575" i="1" s="1" a="1"/>
  <c r="AA575" i="1" s="1"/>
  <c r="AB580" i="1"/>
  <c r="AA580" i="1" s="1" a="1"/>
  <c r="AA580" i="1" s="1"/>
  <c r="AB581" i="1"/>
  <c r="AA581" i="1" s="1" a="1"/>
  <c r="AA581" i="1" s="1"/>
  <c r="AB583" i="1"/>
  <c r="AA583" i="1" s="1" a="1"/>
  <c r="AA583" i="1" s="1"/>
  <c r="AB584" i="1"/>
  <c r="AA584" i="1" s="1" a="1"/>
  <c r="AA584" i="1" s="1"/>
  <c r="AB582" i="1"/>
  <c r="AA582" i="1" s="1" a="1"/>
  <c r="AA582" i="1" s="1"/>
  <c r="AB586" i="1"/>
  <c r="AA586" i="1" s="1" a="1"/>
  <c r="AA586" i="1" s="1"/>
  <c r="AB585" i="1"/>
  <c r="AA585" i="1" s="1" a="1"/>
  <c r="AA585" i="1" s="1"/>
  <c r="AB589" i="1"/>
  <c r="AA589" i="1" s="1" a="1"/>
  <c r="AA589" i="1" s="1"/>
  <c r="AB590" i="1"/>
  <c r="AA590" i="1" s="1" a="1"/>
  <c r="AA590" i="1" s="1"/>
  <c r="AB588" i="1"/>
  <c r="AA588" i="1" s="1" a="1"/>
  <c r="AA588" i="1" s="1"/>
  <c r="AB591" i="1"/>
  <c r="AA591" i="1" s="1" a="1"/>
  <c r="AA591" i="1" s="1"/>
  <c r="AB587" i="1"/>
  <c r="AA587" i="1" s="1" a="1"/>
  <c r="AA587" i="1" s="1"/>
  <c r="AB592" i="1"/>
  <c r="AA592" i="1" s="1" a="1"/>
  <c r="AA592" i="1" s="1"/>
  <c r="AB594" i="1"/>
  <c r="AA594" i="1" s="1" a="1"/>
  <c r="AA594" i="1" s="1"/>
  <c r="AB593" i="1"/>
  <c r="AA593" i="1" s="1" a="1"/>
  <c r="AA593" i="1" s="1"/>
  <c r="AB595" i="1"/>
  <c r="AA595" i="1" s="1" a="1"/>
  <c r="AA595" i="1" s="1"/>
  <c r="AB596" i="1"/>
  <c r="AA596" i="1" s="1" a="1"/>
  <c r="AA596" i="1" s="1"/>
  <c r="AB597" i="1"/>
  <c r="AA597" i="1" s="1" a="1"/>
  <c r="AA597" i="1" s="1"/>
  <c r="AB598" i="1"/>
  <c r="AA598" i="1" s="1" a="1"/>
  <c r="AA598" i="1" s="1"/>
  <c r="AB599" i="1"/>
  <c r="AA599" i="1" s="1" a="1"/>
  <c r="AA599" i="1" s="1"/>
  <c r="AB604" i="1"/>
  <c r="AA604" i="1" s="1" a="1"/>
  <c r="AA604" i="1" s="1"/>
  <c r="AB601" i="1"/>
  <c r="AA601" i="1" s="1" a="1"/>
  <c r="AA601" i="1" s="1"/>
  <c r="AB603" i="1"/>
  <c r="AA603" i="1" s="1" a="1"/>
  <c r="AA603" i="1" s="1"/>
  <c r="AB600" i="1"/>
  <c r="AA600" i="1" s="1" a="1"/>
  <c r="AA600" i="1" s="1"/>
  <c r="AB602" i="1"/>
  <c r="AA602" i="1" s="1" a="1"/>
  <c r="AA602" i="1" s="1"/>
  <c r="AB609" i="1"/>
  <c r="AA609" i="1" s="1" a="1"/>
  <c r="AA609" i="1" s="1"/>
  <c r="AB607" i="1"/>
  <c r="AA607" i="1" s="1" a="1"/>
  <c r="AA607" i="1" s="1"/>
  <c r="AB606" i="1"/>
  <c r="AA606" i="1" s="1" a="1"/>
  <c r="AA606" i="1" s="1"/>
  <c r="AB608" i="1"/>
  <c r="AA608" i="1" s="1" a="1"/>
  <c r="AA608" i="1" s="1"/>
  <c r="AB605" i="1"/>
  <c r="AA605" i="1" s="1" a="1"/>
  <c r="AA605" i="1" s="1"/>
  <c r="AB610" i="1"/>
  <c r="AA610" i="1" s="1" a="1"/>
  <c r="AA610" i="1" s="1"/>
  <c r="AB612" i="1"/>
  <c r="AA612" i="1" s="1" a="1"/>
  <c r="AA612" i="1" s="1"/>
  <c r="AB611" i="1"/>
  <c r="AA611" i="1" s="1" a="1"/>
  <c r="AA611" i="1" s="1"/>
  <c r="AB613" i="1"/>
  <c r="AA613" i="1" s="1" a="1"/>
  <c r="AA613" i="1" s="1"/>
  <c r="AB615" i="1"/>
  <c r="AA615" i="1" s="1" a="1"/>
  <c r="AA615" i="1" s="1"/>
  <c r="AB617" i="1"/>
  <c r="AA617" i="1" s="1" a="1"/>
  <c r="AA617" i="1" s="1"/>
  <c r="AB616" i="1"/>
  <c r="AA616" i="1" s="1" a="1"/>
  <c r="AA616" i="1" s="1"/>
  <c r="AB614" i="1"/>
  <c r="AA614" i="1" s="1" a="1"/>
  <c r="AA614" i="1" s="1"/>
  <c r="AB620" i="1"/>
  <c r="AA620" i="1" s="1" a="1"/>
  <c r="AA620" i="1" s="1"/>
  <c r="AB619" i="1"/>
  <c r="AA619" i="1" s="1" a="1"/>
  <c r="AA619" i="1" s="1"/>
  <c r="AB618" i="1"/>
  <c r="AA618" i="1" s="1" a="1"/>
  <c r="AA618" i="1" s="1"/>
  <c r="AB623" i="1"/>
  <c r="AA623" i="1" s="1" a="1"/>
  <c r="AA623" i="1" s="1"/>
  <c r="AB622" i="1"/>
  <c r="AA622" i="1" s="1" a="1"/>
  <c r="AA622" i="1" s="1"/>
  <c r="AB621" i="1"/>
  <c r="AA621" i="1" s="1" a="1"/>
  <c r="AA621" i="1" s="1"/>
  <c r="AB624" i="1"/>
  <c r="AA624" i="1" s="1" a="1"/>
  <c r="AA624" i="1" s="1"/>
  <c r="AB625" i="1"/>
  <c r="AA625" i="1" s="1" a="1"/>
  <c r="AA625" i="1" s="1"/>
  <c r="AB626" i="1"/>
  <c r="AA626" i="1" s="1" a="1"/>
  <c r="AA626" i="1" s="1"/>
  <c r="AB627" i="1"/>
  <c r="AA627" i="1" s="1" a="1"/>
  <c r="AA627" i="1" s="1"/>
  <c r="AB628" i="1"/>
  <c r="AA628" i="1" s="1" a="1"/>
  <c r="AA628" i="1" s="1"/>
  <c r="AB631" i="1"/>
  <c r="AA631" i="1" s="1" a="1"/>
  <c r="AA631" i="1" s="1"/>
  <c r="AB630" i="1"/>
  <c r="AA630" i="1" s="1" a="1"/>
  <c r="AA630" i="1" s="1"/>
  <c r="AB629" i="1"/>
  <c r="AA629" i="1" s="1" a="1"/>
  <c r="AA629" i="1" s="1"/>
  <c r="AB635" i="1"/>
  <c r="AA635" i="1" s="1" a="1"/>
  <c r="AA635" i="1" s="1"/>
  <c r="AB634" i="1"/>
  <c r="AA634" i="1" s="1" a="1"/>
  <c r="AA634" i="1" s="1"/>
  <c r="AB633" i="1"/>
  <c r="AA633" i="1" s="1" a="1"/>
  <c r="AA633" i="1" s="1"/>
  <c r="AB638" i="1"/>
  <c r="AA638" i="1" s="1" a="1"/>
  <c r="AA638" i="1" s="1"/>
  <c r="AB637" i="1"/>
  <c r="AA637" i="1" s="1" a="1"/>
  <c r="AA637" i="1" s="1"/>
  <c r="AB632" i="1"/>
  <c r="AA632" i="1" s="1" a="1"/>
  <c r="AA632" i="1" s="1"/>
  <c r="AB636" i="1"/>
  <c r="AA636" i="1" s="1" a="1"/>
  <c r="AA636" i="1" s="1"/>
  <c r="AB639" i="1"/>
  <c r="AA639" i="1" s="1" a="1"/>
  <c r="AA639" i="1" s="1"/>
  <c r="AB642" i="1"/>
  <c r="AA642" i="1" s="1" a="1"/>
  <c r="AA642" i="1" s="1"/>
  <c r="AB641" i="1"/>
  <c r="AA641" i="1" s="1" a="1"/>
  <c r="AA641" i="1" s="1"/>
  <c r="AB643" i="1"/>
  <c r="AA643" i="1" s="1" a="1"/>
  <c r="AA643" i="1" s="1"/>
  <c r="AB640" i="1"/>
  <c r="AA640" i="1" s="1" a="1"/>
  <c r="AA640" i="1" s="1"/>
  <c r="AB644" i="1"/>
  <c r="AA644" i="1" s="1" a="1"/>
  <c r="AA644" i="1" s="1"/>
  <c r="AB645" i="1"/>
  <c r="AA645" i="1" s="1" a="1"/>
  <c r="AA645" i="1" s="1"/>
  <c r="AB647" i="1"/>
  <c r="AA647" i="1" s="1" a="1"/>
  <c r="AA647" i="1" s="1"/>
  <c r="AB646" i="1"/>
  <c r="AA646" i="1" s="1" a="1"/>
  <c r="AA646" i="1" s="1"/>
  <c r="AB648" i="1"/>
  <c r="AA648" i="1" s="1" a="1"/>
  <c r="AA648" i="1" s="1"/>
  <c r="AB649" i="1"/>
  <c r="AA649" i="1" s="1" a="1"/>
  <c r="AA649" i="1" s="1"/>
  <c r="AB651" i="1"/>
  <c r="AA651" i="1" s="1" a="1"/>
  <c r="AA651" i="1" s="1"/>
  <c r="AB650" i="1"/>
  <c r="AA650" i="1" s="1" a="1"/>
  <c r="AA650" i="1" s="1"/>
  <c r="AB653" i="1"/>
  <c r="AA653" i="1" s="1" a="1"/>
  <c r="AA653" i="1" s="1"/>
  <c r="AB652" i="1"/>
  <c r="AA652" i="1" s="1" a="1"/>
  <c r="AA652" i="1" s="1"/>
  <c r="AB654" i="1"/>
  <c r="AA654" i="1" s="1" a="1"/>
  <c r="AA654" i="1" s="1"/>
  <c r="AB657" i="1"/>
  <c r="AA657" i="1" s="1" a="1"/>
  <c r="AA657" i="1" s="1"/>
  <c r="AB658" i="1"/>
  <c r="AA658" i="1" s="1" a="1"/>
  <c r="AA658" i="1" s="1"/>
  <c r="AB655" i="1"/>
  <c r="AA655" i="1" s="1" a="1"/>
  <c r="AA655" i="1" s="1"/>
  <c r="AB656" i="1"/>
  <c r="AA656" i="1" s="1" a="1"/>
  <c r="AA656" i="1" s="1"/>
  <c r="AB659" i="1"/>
  <c r="AA659" i="1" s="1" a="1"/>
  <c r="AA659" i="1" s="1"/>
  <c r="AB660" i="1"/>
  <c r="AA660" i="1" s="1" a="1"/>
  <c r="AA660" i="1" s="1"/>
  <c r="AB662" i="1"/>
  <c r="AA662" i="1" s="1" a="1"/>
  <c r="AA662" i="1" s="1"/>
  <c r="AB661" i="1"/>
  <c r="AA661" i="1" s="1" a="1"/>
  <c r="AA661" i="1" s="1"/>
  <c r="AB663" i="1"/>
  <c r="AA663" i="1" s="1" a="1"/>
  <c r="AA663" i="1" s="1"/>
  <c r="AB664" i="1"/>
  <c r="AA664" i="1" s="1" a="1"/>
  <c r="AA664" i="1" s="1"/>
  <c r="AB665" i="1"/>
  <c r="AA665" i="1" s="1" a="1"/>
  <c r="AA665" i="1" s="1"/>
  <c r="AB667" i="1"/>
  <c r="AA667" i="1" s="1" a="1"/>
  <c r="AA667" i="1" s="1"/>
  <c r="AB670" i="1"/>
  <c r="AA670" i="1" s="1" a="1"/>
  <c r="AA670" i="1" s="1"/>
  <c r="AB669" i="1"/>
  <c r="AA669" i="1" s="1" a="1"/>
  <c r="AA669" i="1" s="1"/>
  <c r="AB666" i="1"/>
  <c r="AA666" i="1" s="1" a="1"/>
  <c r="AA666" i="1" s="1"/>
  <c r="AB668" i="1"/>
  <c r="AA668" i="1" s="1" a="1"/>
  <c r="AA668" i="1" s="1"/>
  <c r="AB672" i="1"/>
  <c r="AA672" i="1" s="1" a="1"/>
  <c r="AA672" i="1" s="1"/>
  <c r="AB671" i="1"/>
  <c r="AA671" i="1" s="1" a="1"/>
  <c r="AA671" i="1" s="1"/>
  <c r="AB673" i="1"/>
  <c r="AA673" i="1" s="1" a="1"/>
  <c r="AA673" i="1" s="1"/>
  <c r="AB674" i="1"/>
  <c r="AA674" i="1" s="1" a="1"/>
  <c r="AA674" i="1" s="1"/>
  <c r="AB676" i="1"/>
  <c r="AA676" i="1" s="1" a="1"/>
  <c r="AA676" i="1" s="1"/>
  <c r="AB677" i="1"/>
  <c r="AA677" i="1" s="1" a="1"/>
  <c r="AA677" i="1" s="1"/>
  <c r="AB675" i="1"/>
  <c r="AA675" i="1" s="1" a="1"/>
  <c r="AA675" i="1" s="1"/>
  <c r="AB679" i="1"/>
  <c r="AA679" i="1" s="1" a="1"/>
  <c r="AA679" i="1" s="1"/>
  <c r="AB680" i="1"/>
  <c r="AA680" i="1" s="1" a="1"/>
  <c r="AA680" i="1" s="1"/>
  <c r="AB681" i="1"/>
  <c r="AA681" i="1" s="1" a="1"/>
  <c r="AA681" i="1" s="1"/>
  <c r="AB682" i="1"/>
  <c r="AA682" i="1" s="1" a="1"/>
  <c r="AA682" i="1" s="1"/>
  <c r="AB678" i="1"/>
  <c r="AA678" i="1" s="1" a="1"/>
  <c r="AA678" i="1" s="1"/>
  <c r="AB683" i="1"/>
  <c r="AA683" i="1" s="1" a="1"/>
  <c r="AA683" i="1" s="1"/>
  <c r="AB684" i="1"/>
  <c r="AA684" i="1" s="1" a="1"/>
  <c r="AA684" i="1" s="1"/>
  <c r="AB685" i="1"/>
  <c r="AA685" i="1" s="1" a="1"/>
  <c r="AA685" i="1" s="1"/>
  <c r="AB688" i="1"/>
  <c r="AA688" i="1" s="1" a="1"/>
  <c r="AA688" i="1" s="1"/>
  <c r="AB689" i="1"/>
  <c r="AA689" i="1" s="1" a="1"/>
  <c r="AA689" i="1" s="1"/>
  <c r="AB690" i="1"/>
  <c r="AA690" i="1" s="1" a="1"/>
  <c r="AA690" i="1" s="1"/>
  <c r="AB687" i="1"/>
  <c r="AA687" i="1" s="1" a="1"/>
  <c r="AA687" i="1" s="1"/>
  <c r="AB686" i="1"/>
  <c r="AA686" i="1" s="1" a="1"/>
  <c r="AA686" i="1" s="1"/>
  <c r="AB691" i="1"/>
  <c r="AA691" i="1" s="1" a="1"/>
  <c r="AA691" i="1" s="1"/>
  <c r="AB694" i="1"/>
  <c r="AA694" i="1" s="1" a="1"/>
  <c r="AA694" i="1" s="1"/>
  <c r="AB692" i="1"/>
  <c r="AA692" i="1" s="1" a="1"/>
  <c r="AA692" i="1" s="1"/>
  <c r="AB693" i="1"/>
  <c r="AA693" i="1" s="1" a="1"/>
  <c r="AA693" i="1" s="1"/>
  <c r="AB696" i="1"/>
  <c r="AA696" i="1" s="1" a="1"/>
  <c r="AA696" i="1" s="1"/>
  <c r="AB695" i="1"/>
  <c r="AA695" i="1" s="1" a="1"/>
  <c r="AA695" i="1" s="1"/>
  <c r="AB697" i="1"/>
  <c r="AA697" i="1" s="1" a="1"/>
  <c r="AA697" i="1" s="1"/>
  <c r="AB698" i="1"/>
  <c r="AA698" i="1" s="1" a="1"/>
  <c r="AA698" i="1" s="1"/>
  <c r="AB699" i="1"/>
  <c r="AA699" i="1" s="1" a="1"/>
  <c r="AA699" i="1" s="1"/>
  <c r="AB704" i="1"/>
  <c r="AA704" i="1" s="1" a="1"/>
  <c r="AA704" i="1" s="1"/>
  <c r="AB701" i="1"/>
  <c r="AA701" i="1" s="1" a="1"/>
  <c r="AA701" i="1" s="1"/>
  <c r="AB702" i="1"/>
  <c r="AA702" i="1" s="1" a="1"/>
  <c r="AA702" i="1" s="1"/>
  <c r="AB703" i="1"/>
  <c r="AA703" i="1" s="1" a="1"/>
  <c r="AA703" i="1" s="1"/>
  <c r="AB700" i="1"/>
  <c r="AA700" i="1" s="1" a="1"/>
  <c r="AA700" i="1" s="1"/>
  <c r="AB708" i="1"/>
  <c r="AA708" i="1" s="1" a="1"/>
  <c r="AA708" i="1" s="1"/>
  <c r="AB706" i="1"/>
  <c r="AA706" i="1" s="1" a="1"/>
  <c r="AA706" i="1" s="1"/>
  <c r="AB707" i="1"/>
  <c r="AA707" i="1" s="1" a="1"/>
  <c r="AA707" i="1" s="1"/>
  <c r="AB705" i="1"/>
  <c r="AA705" i="1" s="1" a="1"/>
  <c r="AA705" i="1" s="1"/>
  <c r="AB709" i="1"/>
  <c r="AA709" i="1" s="1" a="1"/>
  <c r="AA709" i="1" s="1"/>
  <c r="AB711" i="1"/>
  <c r="AA711" i="1" s="1" a="1"/>
  <c r="AA711" i="1" s="1"/>
  <c r="AB712" i="1"/>
  <c r="AA712" i="1" s="1" a="1"/>
  <c r="AA712" i="1" s="1"/>
  <c r="AB713" i="1"/>
  <c r="AA713" i="1" s="1" a="1"/>
  <c r="AA713" i="1" s="1"/>
  <c r="AB710" i="1"/>
  <c r="AA710" i="1" s="1" a="1"/>
  <c r="AA710" i="1" s="1"/>
  <c r="AB714" i="1"/>
  <c r="AA714" i="1" s="1" a="1"/>
  <c r="AA714" i="1" s="1"/>
  <c r="AB715" i="1"/>
  <c r="AA715" i="1" s="1" a="1"/>
  <c r="AA715" i="1" s="1"/>
  <c r="AB716" i="1"/>
  <c r="AA716" i="1" s="1" a="1"/>
  <c r="AA716" i="1" s="1"/>
  <c r="AB717" i="1"/>
  <c r="AA717" i="1" s="1" a="1"/>
  <c r="AA717" i="1" s="1"/>
  <c r="AB718" i="1"/>
  <c r="AA718" i="1" s="1" a="1"/>
  <c r="AA718" i="1" s="1"/>
  <c r="AB719" i="1"/>
  <c r="AA719" i="1" s="1" a="1"/>
  <c r="AA719" i="1" s="1"/>
  <c r="AB720" i="1"/>
  <c r="AA720" i="1" s="1" a="1"/>
  <c r="AA720" i="1" s="1"/>
  <c r="AB721" i="1"/>
  <c r="AA721" i="1" s="1" a="1"/>
  <c r="AA721" i="1" s="1"/>
  <c r="AB722" i="1"/>
  <c r="AA722" i="1" s="1" a="1"/>
  <c r="AA722" i="1" s="1"/>
  <c r="AB724" i="1"/>
  <c r="AA724" i="1" s="1" a="1"/>
  <c r="AA724" i="1" s="1"/>
  <c r="AB723" i="1"/>
  <c r="AA723" i="1" s="1" a="1"/>
  <c r="AA723" i="1" s="1"/>
  <c r="AB725" i="1"/>
  <c r="AA725" i="1" s="1" a="1"/>
  <c r="AA725" i="1" s="1"/>
  <c r="AB728" i="1"/>
  <c r="AA728" i="1" s="1" a="1"/>
  <c r="AA728" i="1" s="1"/>
  <c r="AB726" i="1"/>
  <c r="AA726" i="1" s="1" a="1"/>
  <c r="AA726" i="1" s="1"/>
  <c r="AB727" i="1"/>
  <c r="AA727" i="1" s="1" a="1"/>
  <c r="AA727" i="1" s="1"/>
  <c r="AB729" i="1"/>
  <c r="AA729" i="1" s="1" a="1"/>
  <c r="AA729" i="1" s="1"/>
  <c r="AB730" i="1"/>
  <c r="AA730" i="1" s="1" a="1"/>
  <c r="AA730" i="1" s="1"/>
  <c r="AB731" i="1"/>
  <c r="AA731" i="1" s="1" a="1"/>
  <c r="AA731" i="1" s="1"/>
  <c r="AB736" i="1"/>
  <c r="AA736" i="1" s="1" a="1"/>
  <c r="AA736" i="1" s="1"/>
  <c r="AB733" i="1"/>
  <c r="AA733" i="1" s="1" a="1"/>
  <c r="AA733" i="1" s="1"/>
  <c r="AB734" i="1"/>
  <c r="AA734" i="1" s="1" a="1"/>
  <c r="AA734" i="1" s="1"/>
  <c r="AB732" i="1"/>
  <c r="AA732" i="1" s="1" a="1"/>
  <c r="AA732" i="1" s="1"/>
  <c r="AB735" i="1"/>
  <c r="AA735" i="1" s="1" a="1"/>
  <c r="AA735" i="1" s="1"/>
  <c r="AB739" i="1"/>
  <c r="AA739" i="1" s="1" a="1"/>
  <c r="AA739" i="1" s="1"/>
  <c r="AB737" i="1"/>
  <c r="AA737" i="1" s="1" a="1"/>
  <c r="AA737" i="1" s="1"/>
  <c r="AB738" i="1"/>
  <c r="AA738" i="1" s="1" a="1"/>
  <c r="AA738" i="1" s="1"/>
  <c r="AB741" i="1"/>
  <c r="AA741" i="1" s="1" a="1"/>
  <c r="AA741" i="1" s="1"/>
  <c r="AB740" i="1"/>
  <c r="AA740" i="1" s="1" a="1"/>
  <c r="AA740" i="1" s="1"/>
  <c r="AB744" i="1"/>
  <c r="AA744" i="1" s="1" a="1"/>
  <c r="AA744" i="1" s="1"/>
  <c r="AB743" i="1"/>
  <c r="AA743" i="1" s="1" a="1"/>
  <c r="AA743" i="1" s="1"/>
  <c r="AB742" i="1"/>
  <c r="AA742" i="1" s="1" a="1"/>
  <c r="AA742" i="1" s="1"/>
  <c r="AB745" i="1"/>
  <c r="AA745" i="1" s="1" a="1"/>
  <c r="AA745" i="1" s="1"/>
  <c r="AB750" i="1"/>
  <c r="AA750" i="1" s="1" a="1"/>
  <c r="AA750" i="1" s="1"/>
  <c r="AB748" i="1"/>
  <c r="AA748" i="1" s="1" a="1"/>
  <c r="AA748" i="1" s="1"/>
  <c r="AB749" i="1"/>
  <c r="AA749" i="1" s="1" a="1"/>
  <c r="AA749" i="1" s="1"/>
  <c r="AB747" i="1"/>
  <c r="AA747" i="1" s="1" a="1"/>
  <c r="AA747" i="1" s="1"/>
  <c r="AB746" i="1"/>
  <c r="AA746" i="1" s="1" a="1"/>
  <c r="AA746" i="1" s="1"/>
  <c r="AB751" i="1"/>
  <c r="AA751" i="1" s="1" a="1"/>
  <c r="AA751" i="1" s="1"/>
  <c r="AB752" i="1"/>
  <c r="AA752" i="1" s="1" a="1"/>
  <c r="AA752" i="1" s="1"/>
  <c r="AB753" i="1"/>
  <c r="AA753" i="1" s="1" a="1"/>
  <c r="AA753" i="1" s="1"/>
  <c r="AB754" i="1"/>
  <c r="AA754" i="1" s="1" a="1"/>
  <c r="AA754" i="1" s="1"/>
  <c r="AB755" i="1"/>
  <c r="AA755" i="1" s="1" a="1"/>
  <c r="AA755" i="1" s="1"/>
  <c r="AB756" i="1"/>
  <c r="AA756" i="1" s="1" a="1"/>
  <c r="AA756" i="1" s="1"/>
  <c r="AB757" i="1"/>
  <c r="AA757" i="1" s="1" a="1"/>
  <c r="AA757" i="1" s="1"/>
  <c r="AB758" i="1"/>
  <c r="AA758" i="1" s="1" a="1"/>
  <c r="AA758" i="1" s="1"/>
  <c r="AB760" i="1"/>
  <c r="AA760" i="1" s="1" a="1"/>
  <c r="AA760" i="1" s="1"/>
  <c r="AB759" i="1"/>
  <c r="AA759" i="1" s="1" a="1"/>
  <c r="AA759" i="1" s="1"/>
  <c r="AB761" i="1"/>
  <c r="AA761" i="1" s="1" a="1"/>
  <c r="AA761" i="1" s="1"/>
  <c r="AB762" i="1"/>
  <c r="AA762" i="1" s="1" a="1"/>
  <c r="AA762" i="1" s="1"/>
  <c r="AB763" i="1"/>
  <c r="AA763" i="1" s="1" a="1"/>
  <c r="AA763" i="1" s="1"/>
  <c r="AB764" i="1"/>
  <c r="AA764" i="1" s="1" a="1"/>
  <c r="AA764" i="1" s="1"/>
  <c r="AB767" i="1"/>
  <c r="AA767" i="1" s="1" a="1"/>
  <c r="AA767" i="1" s="1"/>
  <c r="AB766" i="1"/>
  <c r="AA766" i="1" s="1" a="1"/>
  <c r="AA766" i="1" s="1"/>
  <c r="AB765" i="1"/>
  <c r="AA765" i="1" s="1" a="1"/>
  <c r="AA765" i="1" s="1"/>
  <c r="AB768" i="1"/>
  <c r="AA768" i="1" s="1" a="1"/>
  <c r="AA768" i="1" s="1"/>
  <c r="AB769" i="1"/>
  <c r="AA769" i="1" s="1" a="1"/>
  <c r="AA769" i="1" s="1"/>
  <c r="AB770" i="1"/>
  <c r="AA770" i="1" s="1" a="1"/>
  <c r="AA770" i="1" s="1"/>
  <c r="AB771" i="1"/>
  <c r="AA771" i="1" s="1" a="1"/>
  <c r="AA771" i="1" s="1"/>
  <c r="AB774" i="1"/>
  <c r="AA774" i="1" s="1" a="1"/>
  <c r="AA774" i="1" s="1"/>
  <c r="AB772" i="1"/>
  <c r="AA772" i="1" s="1" a="1"/>
  <c r="AA772" i="1" s="1"/>
  <c r="AB773" i="1"/>
  <c r="AA773" i="1" s="1" a="1"/>
  <c r="AA773" i="1" s="1"/>
  <c r="AB777" i="1"/>
  <c r="AA777" i="1" s="1" a="1"/>
  <c r="AA777" i="1" s="1"/>
  <c r="AB776" i="1"/>
  <c r="AA776" i="1" s="1" a="1"/>
  <c r="AA776" i="1" s="1"/>
  <c r="AB775" i="1"/>
  <c r="AA775" i="1" s="1" a="1"/>
  <c r="AA775" i="1" s="1"/>
  <c r="AB778" i="1"/>
  <c r="AA778" i="1" s="1" a="1"/>
  <c r="AA778" i="1" s="1"/>
  <c r="AB780" i="1"/>
  <c r="AA780" i="1" s="1" a="1"/>
  <c r="AA780" i="1" s="1"/>
  <c r="AB781" i="1"/>
  <c r="AA781" i="1" s="1" a="1"/>
  <c r="AA781" i="1" s="1"/>
  <c r="AB779" i="1"/>
  <c r="AA779" i="1" s="1" a="1"/>
  <c r="AA779" i="1" s="1"/>
  <c r="AB786" i="1"/>
  <c r="AA786" i="1" s="1" a="1"/>
  <c r="AA786" i="1" s="1"/>
  <c r="AB784" i="1"/>
  <c r="AA784" i="1" s="1" a="1"/>
  <c r="AA784" i="1" s="1"/>
  <c r="AB787" i="1"/>
  <c r="AA787" i="1" s="1" a="1"/>
  <c r="AA787" i="1" s="1"/>
  <c r="AB782" i="1"/>
  <c r="AA782" i="1" s="1" a="1"/>
  <c r="AA782" i="1" s="1"/>
  <c r="AB783" i="1"/>
  <c r="AA783" i="1" s="1" a="1"/>
  <c r="AA783" i="1" s="1"/>
  <c r="AB785" i="1"/>
  <c r="AA785" i="1" s="1" a="1"/>
  <c r="AA785" i="1" s="1"/>
  <c r="AB789" i="1"/>
  <c r="AA789" i="1" s="1" a="1"/>
  <c r="AA789" i="1" s="1"/>
  <c r="AB788" i="1"/>
  <c r="AA788" i="1" s="1" a="1"/>
  <c r="AA788" i="1" s="1"/>
  <c r="AB790" i="1"/>
  <c r="AA790" i="1" s="1" a="1"/>
  <c r="AA790" i="1" s="1"/>
  <c r="AB793" i="1"/>
  <c r="AA793" i="1" s="1" a="1"/>
  <c r="AA793" i="1" s="1"/>
  <c r="AB791" i="1"/>
  <c r="AA791" i="1" s="1" a="1"/>
  <c r="AA791" i="1" s="1"/>
  <c r="AB792" i="1"/>
  <c r="AA792" i="1" s="1" a="1"/>
  <c r="AA792" i="1" s="1"/>
  <c r="AB794" i="1"/>
  <c r="AA794" i="1" s="1" a="1"/>
  <c r="AA794" i="1" s="1"/>
  <c r="AB796" i="1"/>
  <c r="AA796" i="1" s="1" a="1"/>
  <c r="AA796" i="1" s="1"/>
  <c r="AB795" i="1"/>
  <c r="AA795" i="1" s="1" a="1"/>
  <c r="AA795" i="1" s="1"/>
  <c r="AB799" i="1"/>
  <c r="AA799" i="1" s="1" a="1"/>
  <c r="AA799" i="1" s="1"/>
  <c r="AB798" i="1"/>
  <c r="AA798" i="1" s="1" a="1"/>
  <c r="AA798" i="1" s="1"/>
  <c r="AB797" i="1"/>
  <c r="AA797" i="1" s="1" a="1"/>
  <c r="AA797" i="1" s="1"/>
  <c r="AB801" i="1"/>
  <c r="AA801" i="1" s="1" a="1"/>
  <c r="AA801" i="1" s="1"/>
  <c r="AB800" i="1"/>
  <c r="AA800" i="1" s="1" a="1"/>
  <c r="AA800" i="1" s="1"/>
  <c r="AB803" i="1"/>
  <c r="AA803" i="1" s="1" a="1"/>
  <c r="AA803" i="1" s="1"/>
  <c r="AB804" i="1"/>
  <c r="AA804" i="1" s="1" a="1"/>
  <c r="AA804" i="1" s="1"/>
  <c r="AB802" i="1"/>
  <c r="AA802" i="1" s="1" a="1"/>
  <c r="AA802" i="1" s="1"/>
  <c r="AB805" i="1"/>
  <c r="AA805" i="1" s="1" a="1"/>
  <c r="AA805" i="1" s="1"/>
  <c r="AB807" i="1"/>
  <c r="AA807" i="1" s="1" a="1"/>
  <c r="AA807" i="1" s="1"/>
  <c r="AB806" i="1"/>
  <c r="AA806" i="1" s="1" a="1"/>
  <c r="AA806" i="1" s="1"/>
  <c r="AB809" i="1"/>
  <c r="AA809" i="1" s="1" a="1"/>
  <c r="AA809" i="1" s="1"/>
  <c r="AB808" i="1"/>
  <c r="AA808" i="1" s="1" a="1"/>
  <c r="AA808" i="1" s="1"/>
  <c r="AB810" i="1"/>
  <c r="AA810" i="1" s="1" a="1"/>
  <c r="AA810" i="1" s="1"/>
  <c r="AB811" i="1"/>
  <c r="AA811" i="1" s="1" a="1"/>
  <c r="AA811" i="1" s="1"/>
  <c r="AB812" i="1"/>
  <c r="AA812" i="1" s="1" a="1"/>
  <c r="AA812" i="1" s="1"/>
  <c r="AB813" i="1"/>
  <c r="AA813" i="1" s="1" a="1"/>
  <c r="AA813" i="1" s="1"/>
  <c r="AB814" i="1"/>
  <c r="AA814" i="1" s="1" a="1"/>
  <c r="AA814" i="1" s="1"/>
  <c r="AB816" i="1"/>
  <c r="AA816" i="1" s="1" a="1"/>
  <c r="AA816" i="1" s="1"/>
  <c r="AB815" i="1"/>
  <c r="AA815" i="1" s="1" a="1"/>
  <c r="AA815" i="1" s="1"/>
  <c r="AB818" i="1"/>
  <c r="AA818" i="1" s="1" a="1"/>
  <c r="AA818" i="1" s="1"/>
  <c r="AB817" i="1"/>
  <c r="AA817" i="1" s="1" a="1"/>
  <c r="AA817" i="1" s="1"/>
  <c r="AB821" i="1"/>
  <c r="AA821" i="1" s="1" a="1"/>
  <c r="AA821" i="1" s="1"/>
  <c r="AB819" i="1"/>
  <c r="AA819" i="1" s="1" a="1"/>
  <c r="AA819" i="1" s="1"/>
  <c r="AB820" i="1"/>
  <c r="AA820" i="1" s="1" a="1"/>
  <c r="AA820" i="1" s="1"/>
  <c r="AB824" i="1"/>
  <c r="AA824" i="1" s="1" a="1"/>
  <c r="AA824" i="1" s="1"/>
  <c r="AB823" i="1"/>
  <c r="AA823" i="1" s="1" a="1"/>
  <c r="AA823" i="1" s="1"/>
  <c r="AB822" i="1"/>
  <c r="AA822" i="1" s="1" a="1"/>
  <c r="AA822" i="1" s="1"/>
  <c r="AB825" i="1"/>
  <c r="AA825" i="1" s="1" a="1"/>
  <c r="AA825" i="1" s="1"/>
  <c r="AB827" i="1"/>
  <c r="AA827" i="1" s="1" a="1"/>
  <c r="AA827" i="1" s="1"/>
  <c r="AB828" i="1"/>
  <c r="AA828" i="1" s="1" a="1"/>
  <c r="AA828" i="1" s="1"/>
  <c r="AB826" i="1"/>
  <c r="AA826" i="1" s="1" a="1"/>
  <c r="AA826" i="1" s="1"/>
  <c r="AB830" i="1"/>
  <c r="AA830" i="1" s="1" a="1"/>
  <c r="AA830" i="1" s="1"/>
  <c r="AB829" i="1"/>
  <c r="AA829" i="1" s="1" a="1"/>
  <c r="AA829" i="1" s="1"/>
  <c r="AB831" i="1"/>
  <c r="AA831" i="1" s="1" a="1"/>
  <c r="AA831" i="1" s="1"/>
  <c r="AB832" i="1"/>
  <c r="AA832" i="1" s="1" a="1"/>
  <c r="AA832" i="1" s="1"/>
  <c r="AB835" i="1"/>
  <c r="AA835" i="1" s="1" a="1"/>
  <c r="AA835" i="1" s="1"/>
  <c r="AB833" i="1"/>
  <c r="AA833" i="1" s="1" a="1"/>
  <c r="AA833" i="1" s="1"/>
  <c r="AB834" i="1"/>
  <c r="AA834" i="1" s="1" a="1"/>
  <c r="AA834" i="1" s="1"/>
  <c r="AB837" i="1"/>
  <c r="AA837" i="1" s="1" a="1"/>
  <c r="AA837" i="1" s="1"/>
  <c r="AB836" i="1"/>
  <c r="AA836" i="1" s="1" a="1"/>
  <c r="AA836" i="1" s="1"/>
  <c r="AB838" i="1"/>
  <c r="AA838" i="1" s="1" a="1"/>
  <c r="AA838" i="1" s="1"/>
  <c r="AB840" i="1"/>
  <c r="AA840" i="1" s="1" a="1"/>
  <c r="AA840" i="1" s="1"/>
  <c r="AB839" i="1"/>
  <c r="AA839" i="1" s="1" a="1"/>
  <c r="AA839" i="1" s="1"/>
  <c r="AB841" i="1"/>
  <c r="AA841" i="1" s="1" a="1"/>
  <c r="AA841" i="1" s="1"/>
  <c r="AB842" i="1"/>
  <c r="AA842" i="1" s="1" a="1"/>
  <c r="AA842" i="1" s="1"/>
  <c r="AB843" i="1"/>
  <c r="AA843" i="1" s="1" a="1"/>
  <c r="AA843" i="1" s="1"/>
  <c r="AB845" i="1"/>
  <c r="AA845" i="1" s="1" a="1"/>
  <c r="AA845" i="1" s="1"/>
  <c r="AB844" i="1"/>
  <c r="AA844" i="1" s="1" a="1"/>
  <c r="AA844" i="1" s="1"/>
  <c r="AB846" i="1"/>
  <c r="AA846" i="1" s="1" a="1"/>
  <c r="AA846" i="1" s="1"/>
  <c r="AB847" i="1"/>
  <c r="AA847" i="1" s="1" a="1"/>
  <c r="AA847" i="1" s="1"/>
  <c r="AB848" i="1"/>
  <c r="AA848" i="1" s="1" a="1"/>
  <c r="AA848" i="1" s="1"/>
  <c r="AB849" i="1"/>
  <c r="AA849" i="1" s="1" a="1"/>
  <c r="AA849" i="1" s="1"/>
  <c r="AB851" i="1"/>
  <c r="AA851" i="1" s="1" a="1"/>
  <c r="AA851" i="1" s="1"/>
  <c r="AB852" i="1"/>
  <c r="AA852" i="1" s="1" a="1"/>
  <c r="AA852" i="1" s="1"/>
  <c r="AB854" i="1"/>
  <c r="AA854" i="1" s="1" a="1"/>
  <c r="AA854" i="1" s="1"/>
  <c r="AB850" i="1"/>
  <c r="AA850" i="1" s="1" a="1"/>
  <c r="AA850" i="1" s="1"/>
  <c r="AB853" i="1"/>
  <c r="AA853" i="1" s="1" a="1"/>
  <c r="AA853" i="1" s="1"/>
  <c r="AB857" i="1"/>
  <c r="AA857" i="1" s="1" a="1"/>
  <c r="AA857" i="1" s="1"/>
  <c r="AB856" i="1"/>
  <c r="AA856" i="1" s="1" a="1"/>
  <c r="AA856" i="1" s="1"/>
  <c r="AB855" i="1"/>
  <c r="AA855" i="1" s="1" a="1"/>
  <c r="AA855" i="1" s="1"/>
  <c r="AB860" i="1"/>
  <c r="AA860" i="1" s="1" a="1"/>
  <c r="AA860" i="1" s="1"/>
  <c r="AB858" i="1"/>
  <c r="AA858" i="1" s="1" a="1"/>
  <c r="AA858" i="1" s="1"/>
  <c r="AB859" i="1"/>
  <c r="AA859" i="1" s="1" a="1"/>
  <c r="AA859" i="1" s="1"/>
  <c r="AB862" i="1"/>
  <c r="AA862" i="1" s="1" a="1"/>
  <c r="AA862" i="1" s="1"/>
  <c r="AB861" i="1"/>
  <c r="AA861" i="1" s="1" a="1"/>
  <c r="AA861" i="1" s="1"/>
  <c r="AB863" i="1"/>
  <c r="AA863" i="1" s="1" a="1"/>
  <c r="AA863" i="1" s="1"/>
  <c r="AB866" i="1"/>
  <c r="AA866" i="1" s="1" a="1"/>
  <c r="AA866" i="1" s="1"/>
  <c r="AB864" i="1"/>
  <c r="AA864" i="1" s="1" a="1"/>
  <c r="AA864" i="1" s="1"/>
  <c r="AB865" i="1"/>
  <c r="AA865" i="1" s="1" a="1"/>
  <c r="AA865" i="1" s="1"/>
  <c r="AB867" i="1"/>
  <c r="AA867" i="1" s="1" a="1"/>
  <c r="AA867" i="1" s="1"/>
  <c r="AB868" i="1"/>
  <c r="AA868" i="1" s="1" a="1"/>
  <c r="AA868" i="1" s="1"/>
  <c r="AB871" i="1"/>
  <c r="AA871" i="1" s="1" a="1"/>
  <c r="AA871" i="1" s="1"/>
  <c r="AB870" i="1"/>
  <c r="AA870" i="1" s="1" a="1"/>
  <c r="AA870" i="1" s="1"/>
  <c r="AB872" i="1"/>
  <c r="AA872" i="1" s="1" a="1"/>
  <c r="AA872" i="1" s="1"/>
  <c r="AB869" i="1"/>
  <c r="AA869" i="1" s="1" a="1"/>
  <c r="AA869" i="1" s="1"/>
  <c r="AB875" i="1"/>
  <c r="AA875" i="1" s="1" a="1"/>
  <c r="AA875" i="1" s="1"/>
  <c r="AB873" i="1"/>
  <c r="AA873" i="1" s="1" a="1"/>
  <c r="AA873" i="1" s="1"/>
  <c r="AB874" i="1"/>
  <c r="AA874" i="1" s="1" a="1"/>
  <c r="AA874" i="1" s="1"/>
  <c r="AB878" i="1"/>
  <c r="AA878" i="1" s="1" a="1"/>
  <c r="AA878" i="1" s="1"/>
  <c r="AB876" i="1"/>
  <c r="AA876" i="1" s="1" a="1"/>
  <c r="AA876" i="1" s="1"/>
  <c r="AB877" i="1"/>
  <c r="AA877" i="1" s="1" a="1"/>
  <c r="AA877" i="1" s="1"/>
  <c r="AB879" i="1"/>
  <c r="AA879" i="1" s="1" a="1"/>
  <c r="AA879" i="1" s="1"/>
  <c r="AB880" i="1"/>
  <c r="AA880" i="1" s="1" a="1"/>
  <c r="AA880" i="1" s="1"/>
  <c r="AB881" i="1"/>
  <c r="AA881" i="1" s="1" a="1"/>
  <c r="AA881" i="1" s="1"/>
  <c r="AB884" i="1"/>
  <c r="AA884" i="1" s="1" a="1"/>
  <c r="AA884" i="1" s="1"/>
  <c r="AB883" i="1"/>
  <c r="AA883" i="1" s="1" a="1"/>
  <c r="AA883" i="1" s="1"/>
  <c r="AB882" i="1"/>
  <c r="AA882" i="1" s="1" a="1"/>
  <c r="AA882" i="1" s="1"/>
  <c r="AB885" i="1"/>
  <c r="AA885" i="1" s="1" a="1"/>
  <c r="AA885" i="1" s="1"/>
  <c r="AB886" i="1"/>
  <c r="AA886" i="1" s="1" a="1"/>
  <c r="AA886" i="1" s="1"/>
  <c r="AB888" i="1"/>
  <c r="AA888" i="1" s="1" a="1"/>
  <c r="AA888" i="1" s="1"/>
  <c r="AB887" i="1"/>
  <c r="AA887" i="1" s="1" a="1"/>
  <c r="AA887" i="1" s="1"/>
  <c r="AB890" i="1"/>
  <c r="AA890" i="1" s="1" a="1"/>
  <c r="AA890" i="1" s="1"/>
  <c r="AB889" i="1"/>
  <c r="AA889" i="1" s="1" a="1"/>
  <c r="AA889" i="1" s="1"/>
  <c r="AB892" i="1"/>
  <c r="AA892" i="1" s="1" a="1"/>
  <c r="AA892" i="1" s="1"/>
  <c r="AB891" i="1"/>
  <c r="AA891" i="1" s="1" a="1"/>
  <c r="AA891" i="1" s="1"/>
  <c r="AB895" i="1"/>
  <c r="AA895" i="1" s="1" a="1"/>
  <c r="AA895" i="1" s="1"/>
  <c r="AB893" i="1"/>
  <c r="AA893" i="1" s="1" a="1"/>
  <c r="AA893" i="1" s="1"/>
  <c r="AB894" i="1"/>
  <c r="AA894" i="1" s="1" a="1"/>
  <c r="AA894" i="1" s="1"/>
  <c r="AB898" i="1"/>
  <c r="AA898" i="1" s="1" a="1"/>
  <c r="AA898" i="1" s="1"/>
  <c r="AB897" i="1"/>
  <c r="AA897" i="1" s="1" a="1"/>
  <c r="AA897" i="1" s="1"/>
  <c r="AB896" i="1"/>
  <c r="AA896" i="1" s="1" a="1"/>
  <c r="AA896" i="1" s="1"/>
  <c r="AB901" i="1"/>
  <c r="AA901" i="1" s="1" a="1"/>
  <c r="AA901" i="1" s="1"/>
  <c r="AB903" i="1"/>
  <c r="AA903" i="1" s="1" a="1"/>
  <c r="AA903" i="1" s="1"/>
  <c r="AB899" i="1"/>
  <c r="AA899" i="1" s="1" a="1"/>
  <c r="AA899" i="1" s="1"/>
  <c r="AB900" i="1"/>
  <c r="AA900" i="1" s="1" a="1"/>
  <c r="AA900" i="1" s="1"/>
  <c r="AB902" i="1"/>
  <c r="AA902" i="1" s="1" a="1"/>
  <c r="AA902" i="1" s="1"/>
  <c r="AB905" i="1"/>
  <c r="AA905" i="1" s="1" a="1"/>
  <c r="AA905" i="1" s="1"/>
  <c r="AB904" i="1"/>
  <c r="AA904" i="1" s="1" a="1"/>
  <c r="AA904" i="1" s="1"/>
  <c r="AB908" i="1"/>
  <c r="AA908" i="1" s="1" a="1"/>
  <c r="AA908" i="1" s="1"/>
  <c r="AB907" i="1"/>
  <c r="AA907" i="1" s="1" a="1"/>
  <c r="AA907" i="1" s="1"/>
  <c r="AB906" i="1"/>
  <c r="AA906" i="1" s="1" a="1"/>
  <c r="AA906" i="1" s="1"/>
  <c r="AB909" i="1"/>
  <c r="AA909" i="1" s="1" a="1"/>
  <c r="AA909" i="1" s="1"/>
  <c r="AB912" i="1"/>
  <c r="AA912" i="1" s="1" a="1"/>
  <c r="AA912" i="1" s="1"/>
  <c r="AB911" i="1"/>
  <c r="AA911" i="1" s="1" a="1"/>
  <c r="AA911" i="1" s="1"/>
  <c r="AB910" i="1"/>
  <c r="AA910" i="1" s="1" a="1"/>
  <c r="AA910" i="1" s="1"/>
  <c r="AB913" i="1"/>
  <c r="AA913" i="1" s="1" a="1"/>
  <c r="AA913" i="1" s="1"/>
  <c r="AB914" i="1"/>
  <c r="AA914" i="1" s="1" a="1"/>
  <c r="AA914" i="1" s="1"/>
  <c r="AB918" i="1"/>
  <c r="AA918" i="1" s="1" a="1"/>
  <c r="AA918" i="1" s="1"/>
  <c r="AB916" i="1"/>
  <c r="AA916" i="1" s="1" a="1"/>
  <c r="AA916" i="1" s="1"/>
  <c r="AB915" i="1"/>
  <c r="AA915" i="1" s="1" a="1"/>
  <c r="AA915" i="1" s="1"/>
  <c r="AB917" i="1"/>
  <c r="AA917" i="1" s="1" a="1"/>
  <c r="AA917" i="1" s="1"/>
  <c r="AB920" i="1"/>
  <c r="AA920" i="1" s="1" a="1"/>
  <c r="AA920" i="1" s="1"/>
  <c r="AB919" i="1"/>
  <c r="AA919" i="1" s="1" a="1"/>
  <c r="AA919" i="1" s="1"/>
  <c r="AB921" i="1"/>
  <c r="AA921" i="1" s="1" a="1"/>
  <c r="AA921" i="1" s="1"/>
  <c r="AB923" i="1"/>
  <c r="AA923" i="1" s="1" a="1"/>
  <c r="AA923" i="1" s="1"/>
  <c r="AB922" i="1"/>
  <c r="AA922" i="1" s="1" a="1"/>
  <c r="AA922" i="1" s="1"/>
  <c r="AB924" i="1"/>
  <c r="AA924" i="1" s="1" a="1"/>
  <c r="AA924" i="1" s="1"/>
  <c r="AB926" i="1"/>
  <c r="AA926" i="1" s="1" a="1"/>
  <c r="AA926" i="1" s="1"/>
  <c r="AB925" i="1"/>
  <c r="AA925" i="1" s="1" a="1"/>
  <c r="AA925" i="1" s="1"/>
  <c r="AB930" i="1"/>
  <c r="AA930" i="1" s="1" a="1"/>
  <c r="AA930" i="1" s="1"/>
  <c r="AB929" i="1"/>
  <c r="AA929" i="1" s="1" a="1"/>
  <c r="AA929" i="1" s="1"/>
  <c r="AB927" i="1"/>
  <c r="AA927" i="1" s="1" a="1"/>
  <c r="AA927" i="1" s="1"/>
  <c r="AB928" i="1"/>
  <c r="AA928" i="1" s="1" a="1"/>
  <c r="AA928" i="1" s="1"/>
  <c r="AB931" i="1"/>
  <c r="AA931" i="1" s="1" a="1"/>
  <c r="AA931" i="1" s="1"/>
  <c r="AB932" i="1"/>
  <c r="AA932" i="1" s="1" a="1"/>
  <c r="AA932" i="1" s="1"/>
  <c r="AB933" i="1"/>
  <c r="AA933" i="1" s="1" a="1"/>
  <c r="AA933" i="1" s="1"/>
  <c r="AB934" i="1"/>
  <c r="AA934" i="1" s="1" a="1"/>
  <c r="AA934" i="1" s="1"/>
  <c r="AB935" i="1"/>
  <c r="AA935" i="1" s="1" a="1"/>
  <c r="AA935" i="1" s="1"/>
  <c r="AB936" i="1"/>
  <c r="AA936" i="1" s="1" a="1"/>
  <c r="AA936" i="1" s="1"/>
  <c r="AB937" i="1"/>
  <c r="AA937" i="1" s="1" a="1"/>
  <c r="AA937" i="1" s="1"/>
  <c r="AB939" i="1"/>
  <c r="AA939" i="1" s="1" a="1"/>
  <c r="AA939" i="1" s="1"/>
  <c r="AB938" i="1"/>
  <c r="AA938" i="1" s="1" a="1"/>
  <c r="AA938" i="1" s="1"/>
  <c r="AB941" i="1"/>
  <c r="AA941" i="1" s="1" a="1"/>
  <c r="AA941" i="1" s="1"/>
  <c r="AB940" i="1"/>
  <c r="AA940" i="1" s="1" a="1"/>
  <c r="AA940" i="1" s="1"/>
  <c r="AB944" i="1"/>
  <c r="AA944" i="1" s="1" a="1"/>
  <c r="AA944" i="1" s="1"/>
  <c r="AB943" i="1"/>
  <c r="AA943" i="1" s="1" a="1"/>
  <c r="AA943" i="1" s="1"/>
  <c r="AB945" i="1"/>
  <c r="AA945" i="1" s="1" a="1"/>
  <c r="AA945" i="1" s="1"/>
  <c r="AB942" i="1"/>
  <c r="AA942" i="1" s="1" a="1"/>
  <c r="AA942" i="1" s="1"/>
  <c r="AB946" i="1"/>
  <c r="AA946" i="1" s="1" a="1"/>
  <c r="AA946" i="1" s="1"/>
  <c r="AB947" i="1"/>
  <c r="AA947" i="1" s="1" a="1"/>
  <c r="AA947" i="1" s="1"/>
  <c r="AB948" i="1"/>
  <c r="AA948" i="1" s="1" a="1"/>
  <c r="AA948" i="1" s="1"/>
  <c r="AB949" i="1"/>
  <c r="AA949" i="1" s="1" a="1"/>
  <c r="AA949" i="1" s="1"/>
  <c r="AB950" i="1"/>
  <c r="AA950" i="1" s="1" a="1"/>
  <c r="AA950" i="1" s="1"/>
  <c r="AB952" i="1"/>
  <c r="AA952" i="1" s="1" a="1"/>
  <c r="AA952" i="1" s="1"/>
  <c r="AB951" i="1"/>
  <c r="AA951" i="1" s="1" a="1"/>
  <c r="AA951" i="1" s="1"/>
  <c r="AB955" i="1"/>
  <c r="AA955" i="1" s="1" a="1"/>
  <c r="AA955" i="1" s="1"/>
  <c r="AB957" i="1"/>
  <c r="AA957" i="1" s="1" a="1"/>
  <c r="AA957" i="1" s="1"/>
  <c r="AB956" i="1"/>
  <c r="AA956" i="1" s="1" a="1"/>
  <c r="AA956" i="1" s="1"/>
  <c r="AB953" i="1"/>
  <c r="AA953" i="1" s="1" a="1"/>
  <c r="AA953" i="1" s="1"/>
  <c r="AB954" i="1"/>
  <c r="AA954" i="1" s="1" a="1"/>
  <c r="AA954" i="1" s="1"/>
  <c r="AB960" i="1"/>
  <c r="AA960" i="1" s="1" a="1"/>
  <c r="AA960" i="1" s="1"/>
  <c r="AB961" i="1"/>
  <c r="AA961" i="1" s="1" a="1"/>
  <c r="AA961" i="1" s="1"/>
  <c r="AB958" i="1"/>
  <c r="AA958" i="1" s="1" a="1"/>
  <c r="AA958" i="1" s="1"/>
  <c r="AB959" i="1"/>
  <c r="AA959" i="1" s="1" a="1"/>
  <c r="AA959" i="1" s="1"/>
  <c r="AB964" i="1"/>
  <c r="AA964" i="1" s="1" a="1"/>
  <c r="AA964" i="1" s="1"/>
  <c r="AB962" i="1"/>
  <c r="AA962" i="1" s="1" a="1"/>
  <c r="AA962" i="1" s="1"/>
  <c r="AB963" i="1"/>
  <c r="AA963" i="1" s="1" a="1"/>
  <c r="AA963" i="1" s="1"/>
  <c r="AB965" i="1"/>
  <c r="AA965" i="1" s="1" a="1"/>
  <c r="AA965" i="1" s="1"/>
  <c r="AB966" i="1"/>
  <c r="AA966" i="1" s="1" a="1"/>
  <c r="AA966" i="1" s="1"/>
  <c r="AB967" i="1"/>
  <c r="AA967" i="1" s="1" a="1"/>
  <c r="AA967" i="1" s="1"/>
  <c r="AB968" i="1"/>
  <c r="AA968" i="1" s="1" a="1"/>
  <c r="AA968" i="1" s="1"/>
  <c r="AB971" i="1"/>
  <c r="AA971" i="1" s="1" a="1"/>
  <c r="AA971" i="1" s="1"/>
  <c r="AB970" i="1"/>
  <c r="AA970" i="1" s="1" a="1"/>
  <c r="AA970" i="1" s="1"/>
  <c r="AB969" i="1"/>
  <c r="AA969" i="1" s="1" a="1"/>
  <c r="AA969" i="1" s="1"/>
  <c r="AB972" i="1"/>
  <c r="AA972" i="1" s="1" a="1"/>
  <c r="AA972" i="1" s="1"/>
  <c r="AB973" i="1"/>
  <c r="AA973" i="1" s="1" a="1"/>
  <c r="AA973" i="1" s="1"/>
  <c r="AB974" i="1"/>
  <c r="AA974" i="1" s="1" a="1"/>
  <c r="AA974" i="1" s="1"/>
  <c r="AB976" i="1"/>
  <c r="AA976" i="1" s="1" a="1"/>
  <c r="AA976" i="1" s="1"/>
  <c r="AB978" i="1"/>
  <c r="AA978" i="1" s="1" a="1"/>
  <c r="AA978" i="1" s="1"/>
  <c r="AB975" i="1"/>
  <c r="AA975" i="1" s="1" a="1"/>
  <c r="AA975" i="1" s="1"/>
  <c r="AB977" i="1"/>
  <c r="AA977" i="1" s="1" a="1"/>
  <c r="AA977" i="1" s="1"/>
  <c r="AB980" i="1"/>
  <c r="AA980" i="1" s="1" a="1"/>
  <c r="AA980" i="1" s="1"/>
  <c r="AB981" i="1"/>
  <c r="AA981" i="1" s="1" a="1"/>
  <c r="AA981" i="1" s="1"/>
  <c r="AB979" i="1"/>
  <c r="AA979" i="1" s="1" a="1"/>
  <c r="AA979" i="1" s="1"/>
  <c r="AB982" i="1"/>
  <c r="AA982" i="1" s="1" a="1"/>
  <c r="AA982" i="1" s="1"/>
  <c r="AB984" i="1"/>
  <c r="AA984" i="1" s="1" a="1"/>
  <c r="AA984" i="1" s="1"/>
  <c r="AB983" i="1"/>
  <c r="AA983" i="1" s="1" a="1"/>
  <c r="AA983" i="1" s="1"/>
  <c r="AB985" i="1"/>
  <c r="AA985" i="1" s="1" a="1"/>
  <c r="AA985" i="1" s="1"/>
  <c r="AB986" i="1"/>
  <c r="AA986" i="1" s="1" a="1"/>
  <c r="AA986" i="1" s="1"/>
  <c r="AB988" i="1"/>
  <c r="AA988" i="1" s="1" a="1"/>
  <c r="AA988" i="1" s="1"/>
  <c r="AB987" i="1"/>
  <c r="AA987" i="1" s="1" a="1"/>
  <c r="AA987" i="1" s="1"/>
  <c r="AB990" i="1"/>
  <c r="AA990" i="1" s="1" a="1"/>
  <c r="AA990" i="1" s="1"/>
  <c r="AB989" i="1"/>
  <c r="AA989" i="1" s="1" a="1"/>
  <c r="AA989" i="1" s="1"/>
  <c r="AB993" i="1"/>
  <c r="AA993" i="1" s="1" a="1"/>
  <c r="AA993" i="1" s="1"/>
  <c r="AB992" i="1"/>
  <c r="AA992" i="1" s="1" a="1"/>
  <c r="AA992" i="1" s="1"/>
  <c r="AB994" i="1"/>
  <c r="AA994" i="1" s="1" a="1"/>
  <c r="AA994" i="1" s="1"/>
  <c r="AB991" i="1"/>
  <c r="AA991" i="1" s="1" a="1"/>
  <c r="AA991" i="1" s="1"/>
  <c r="AB995" i="1"/>
  <c r="AA995" i="1" s="1" a="1"/>
  <c r="AA995" i="1" s="1"/>
  <c r="AB997" i="1"/>
  <c r="AA997" i="1" s="1" a="1"/>
  <c r="AA997" i="1" s="1"/>
  <c r="AB998" i="1"/>
  <c r="AA998" i="1" s="1" a="1"/>
  <c r="AA998" i="1" s="1"/>
  <c r="AB996" i="1"/>
  <c r="AA996" i="1" s="1" a="1"/>
  <c r="AA996" i="1" s="1"/>
  <c r="AB999" i="1"/>
  <c r="AA999" i="1" s="1" a="1"/>
  <c r="AA999" i="1" s="1"/>
  <c r="AB1000" i="1"/>
  <c r="AA1000" i="1" s="1" a="1"/>
  <c r="AA1000" i="1" s="1"/>
  <c r="AB1001" i="1"/>
  <c r="AA1001" i="1" s="1" a="1"/>
  <c r="AA1001" i="1" s="1"/>
  <c r="AC2" i="1"/>
  <c r="AC5" i="1"/>
  <c r="AC3" i="1"/>
  <c r="AC4" i="1"/>
  <c r="AC6" i="1"/>
  <c r="AC7" i="1"/>
  <c r="AC10" i="1"/>
  <c r="AC8" i="1"/>
  <c r="AC11" i="1"/>
  <c r="AC9" i="1"/>
  <c r="AC12" i="1"/>
  <c r="AC13" i="1"/>
  <c r="AC15" i="1"/>
  <c r="AC14" i="1"/>
  <c r="AC16" i="1"/>
  <c r="AC17" i="1"/>
  <c r="AC18" i="1"/>
  <c r="AC19" i="1"/>
  <c r="AC21" i="1"/>
  <c r="AC22" i="1"/>
  <c r="AC20" i="1"/>
  <c r="AC23" i="1"/>
  <c r="AC24" i="1"/>
  <c r="AC25" i="1"/>
  <c r="AC28" i="1"/>
  <c r="AC27" i="1"/>
  <c r="AC26" i="1"/>
  <c r="AC31" i="1"/>
  <c r="AC29" i="1"/>
  <c r="AC30" i="1"/>
  <c r="AC34" i="1"/>
  <c r="AC32" i="1"/>
  <c r="AC33" i="1"/>
  <c r="AC35" i="1"/>
  <c r="AC36" i="1"/>
  <c r="AC38" i="1"/>
  <c r="AC37" i="1"/>
  <c r="AC39" i="1"/>
  <c r="AC40" i="1"/>
  <c r="AC41" i="1"/>
  <c r="AC43" i="1"/>
  <c r="AC44" i="1"/>
  <c r="AC42" i="1"/>
  <c r="AC45" i="1"/>
  <c r="AC46" i="1"/>
  <c r="AC47" i="1"/>
  <c r="AC48" i="1"/>
  <c r="AC51" i="1"/>
  <c r="AC50" i="1"/>
  <c r="AC49" i="1"/>
  <c r="AC52" i="1"/>
  <c r="AC53" i="1"/>
  <c r="AC54" i="1"/>
  <c r="AC56" i="1"/>
  <c r="AC55" i="1"/>
  <c r="AC58" i="1"/>
  <c r="AC60" i="1"/>
  <c r="AC59" i="1"/>
  <c r="AC61" i="1"/>
  <c r="AC57" i="1"/>
  <c r="AC62" i="1"/>
  <c r="AC63" i="1"/>
  <c r="AC64" i="1"/>
  <c r="AC66" i="1"/>
  <c r="AC65" i="1"/>
  <c r="AC69" i="1"/>
  <c r="AC68" i="1"/>
  <c r="AC67" i="1"/>
  <c r="AC71" i="1"/>
  <c r="AC72" i="1"/>
  <c r="AC74" i="1"/>
  <c r="AC73" i="1"/>
  <c r="AC75" i="1"/>
  <c r="AC76" i="1"/>
  <c r="AC77" i="1"/>
  <c r="AC79" i="1"/>
  <c r="AC78" i="1"/>
  <c r="AC80" i="1"/>
  <c r="AC82" i="1"/>
  <c r="AC81" i="1"/>
  <c r="AC84" i="1"/>
  <c r="AC83" i="1"/>
  <c r="AC87" i="1"/>
  <c r="AC86" i="1"/>
  <c r="AC85" i="1"/>
  <c r="AC88" i="1"/>
  <c r="AC90" i="1"/>
  <c r="AC89" i="1"/>
  <c r="AC91" i="1"/>
  <c r="AC96" i="1"/>
  <c r="AC94" i="1"/>
  <c r="AC93" i="1"/>
  <c r="AC92" i="1"/>
  <c r="AC95" i="1"/>
  <c r="AC98" i="1"/>
  <c r="AC99" i="1"/>
  <c r="AC97" i="1"/>
  <c r="AC100" i="1"/>
  <c r="AC101" i="1"/>
  <c r="AC105" i="1"/>
  <c r="AC103" i="1"/>
  <c r="AC104" i="1"/>
  <c r="AC102" i="1"/>
  <c r="AC106" i="1"/>
  <c r="AC108" i="1"/>
  <c r="AC109" i="1"/>
  <c r="AC107" i="1"/>
  <c r="AC110" i="1"/>
  <c r="AC111" i="1"/>
  <c r="AC113" i="1"/>
  <c r="AC112" i="1"/>
  <c r="AC114" i="1"/>
  <c r="AC115" i="1"/>
  <c r="AC117" i="1"/>
  <c r="AC116" i="1"/>
  <c r="AC119" i="1"/>
  <c r="AC118" i="1"/>
  <c r="AC120" i="1"/>
  <c r="AC122" i="1"/>
  <c r="AC123" i="1"/>
  <c r="AC121" i="1"/>
  <c r="AC124" i="1"/>
  <c r="AC127" i="1"/>
  <c r="AC128" i="1"/>
  <c r="AC125" i="1"/>
  <c r="AC126" i="1"/>
  <c r="AC130" i="1"/>
  <c r="AC129" i="1"/>
  <c r="AC131" i="1"/>
  <c r="AC132" i="1"/>
  <c r="AC133" i="1"/>
  <c r="AC136" i="1"/>
  <c r="AC135" i="1"/>
  <c r="AC134" i="1"/>
  <c r="AC138" i="1"/>
  <c r="AC137" i="1"/>
  <c r="AC139" i="1"/>
  <c r="AC141" i="1"/>
  <c r="AC143" i="1"/>
  <c r="AC140" i="1"/>
  <c r="AC144" i="1"/>
  <c r="AC142" i="1"/>
  <c r="AC145" i="1"/>
  <c r="AC146" i="1"/>
  <c r="AC149" i="1"/>
  <c r="AC147" i="1"/>
  <c r="AC150" i="1"/>
  <c r="AC148" i="1"/>
  <c r="AC158" i="1"/>
  <c r="AC157" i="1"/>
  <c r="AC153" i="1"/>
  <c r="AC152" i="1"/>
  <c r="AC156" i="1"/>
  <c r="AC155" i="1"/>
  <c r="AC154" i="1"/>
  <c r="AC151" i="1"/>
  <c r="AC162" i="1"/>
  <c r="AC159" i="1"/>
  <c r="AC161" i="1"/>
  <c r="AC160" i="1"/>
  <c r="AC165" i="1"/>
  <c r="AC163" i="1"/>
  <c r="AC164" i="1"/>
  <c r="AC166" i="1"/>
  <c r="AC167" i="1"/>
  <c r="AC168" i="1"/>
  <c r="AC169" i="1"/>
  <c r="AC170" i="1"/>
  <c r="AC171" i="1"/>
  <c r="AC175" i="1"/>
  <c r="AC176" i="1"/>
  <c r="AC174" i="1"/>
  <c r="AC173" i="1"/>
  <c r="AC172" i="1"/>
  <c r="AC177" i="1"/>
  <c r="AC178" i="1"/>
  <c r="AC181" i="1"/>
  <c r="AC179" i="1"/>
  <c r="AC180" i="1"/>
  <c r="AC183" i="1"/>
  <c r="AC182" i="1"/>
  <c r="AC186" i="1"/>
  <c r="AC184" i="1"/>
  <c r="AC185" i="1"/>
  <c r="AC187" i="1"/>
  <c r="AC188" i="1"/>
  <c r="AC189" i="1"/>
  <c r="AC191" i="1"/>
  <c r="AC190" i="1"/>
  <c r="AC192" i="1"/>
  <c r="AC193" i="1"/>
  <c r="AC194" i="1"/>
  <c r="AC195" i="1"/>
  <c r="AC198" i="1"/>
  <c r="AC200" i="1"/>
  <c r="AC197" i="1"/>
  <c r="AC196" i="1"/>
  <c r="AC199" i="1"/>
  <c r="AC201" i="1"/>
  <c r="AC202" i="1"/>
  <c r="AC204" i="1"/>
  <c r="AC203" i="1"/>
  <c r="AC206" i="1"/>
  <c r="AC208" i="1"/>
  <c r="AC207" i="1"/>
  <c r="AC205" i="1"/>
  <c r="AC210" i="1"/>
  <c r="AC209" i="1"/>
  <c r="AC211" i="1"/>
  <c r="AC212" i="1"/>
  <c r="AC213" i="1"/>
  <c r="AC214" i="1"/>
  <c r="AC217" i="1"/>
  <c r="AC218" i="1"/>
  <c r="AC215" i="1"/>
  <c r="AC216" i="1"/>
  <c r="AC219" i="1"/>
  <c r="AC220" i="1"/>
  <c r="AC222" i="1"/>
  <c r="AC223" i="1"/>
  <c r="AC221" i="1"/>
  <c r="AC227" i="1"/>
  <c r="AC226" i="1"/>
  <c r="AC225" i="1"/>
  <c r="AC228" i="1"/>
  <c r="AC224" i="1"/>
  <c r="AC231" i="1"/>
  <c r="AC229" i="1"/>
  <c r="AC230" i="1"/>
  <c r="AC232" i="1"/>
  <c r="AC235" i="1"/>
  <c r="AC234" i="1"/>
  <c r="AC233" i="1"/>
  <c r="AC237" i="1"/>
  <c r="AC236" i="1"/>
  <c r="AC240" i="1"/>
  <c r="AC238" i="1"/>
  <c r="AC239" i="1"/>
  <c r="AC241" i="1"/>
  <c r="AC242" i="1"/>
  <c r="AC243" i="1"/>
  <c r="AC244" i="1"/>
  <c r="AC245" i="1"/>
  <c r="AC246" i="1"/>
  <c r="AC247" i="1"/>
  <c r="AC250" i="1"/>
  <c r="AC248" i="1"/>
  <c r="AC252" i="1"/>
  <c r="AC251" i="1"/>
  <c r="AC249" i="1"/>
  <c r="AC253" i="1"/>
  <c r="AC254" i="1"/>
  <c r="AC255" i="1"/>
  <c r="AC256" i="1"/>
  <c r="AC258" i="1"/>
  <c r="AC259" i="1"/>
  <c r="AC257" i="1"/>
  <c r="AC261" i="1"/>
  <c r="AC262" i="1"/>
  <c r="AC263" i="1"/>
  <c r="AC260" i="1"/>
  <c r="AC264" i="1"/>
  <c r="AC265" i="1"/>
  <c r="AC267" i="1"/>
  <c r="AC266" i="1"/>
  <c r="AC271" i="1"/>
  <c r="AC270" i="1"/>
  <c r="AC269" i="1"/>
  <c r="AC268" i="1"/>
  <c r="AC272" i="1"/>
  <c r="AC273" i="1"/>
  <c r="AC276" i="1"/>
  <c r="AC274" i="1"/>
  <c r="AC275" i="1"/>
  <c r="AC279" i="1"/>
  <c r="AC277" i="1"/>
  <c r="AC280" i="1"/>
  <c r="AC278" i="1"/>
  <c r="AC284" i="1"/>
  <c r="AC283" i="1"/>
  <c r="AC282" i="1"/>
  <c r="AC281" i="1"/>
  <c r="AC286" i="1"/>
  <c r="AC287" i="1"/>
  <c r="AC285" i="1"/>
  <c r="AC289" i="1"/>
  <c r="AC290" i="1"/>
  <c r="AC288" i="1"/>
  <c r="AC291" i="1"/>
  <c r="AC296" i="1"/>
  <c r="AC297" i="1"/>
  <c r="AC295" i="1"/>
  <c r="AC293" i="1"/>
  <c r="AC294" i="1"/>
  <c r="AC292" i="1"/>
  <c r="AC301" i="1"/>
  <c r="AC300" i="1"/>
  <c r="AC299" i="1"/>
  <c r="AC298" i="1"/>
  <c r="AC303" i="1"/>
  <c r="AC302" i="1"/>
  <c r="AC304" i="1"/>
  <c r="AC307" i="1"/>
  <c r="AC308" i="1"/>
  <c r="AC305" i="1"/>
  <c r="AC306" i="1"/>
  <c r="AC309" i="1"/>
  <c r="AC311" i="1"/>
  <c r="AC312" i="1"/>
  <c r="AC310" i="1"/>
  <c r="AC313" i="1"/>
  <c r="AC315" i="1"/>
  <c r="AC314" i="1"/>
  <c r="AC317" i="1"/>
  <c r="AC316" i="1"/>
  <c r="AC318" i="1"/>
  <c r="AC319" i="1"/>
  <c r="AC320" i="1"/>
  <c r="AC322" i="1"/>
  <c r="AC321" i="1"/>
  <c r="AC323" i="1"/>
  <c r="AC325" i="1"/>
  <c r="AC324" i="1"/>
  <c r="AC327" i="1"/>
  <c r="AC326" i="1"/>
  <c r="AC330" i="1"/>
  <c r="AC331" i="1"/>
  <c r="AC329" i="1"/>
  <c r="AC328" i="1"/>
  <c r="AC332" i="1"/>
  <c r="AC334" i="1"/>
  <c r="AC335" i="1"/>
  <c r="AC337" i="1"/>
  <c r="AC336" i="1"/>
  <c r="AC333" i="1"/>
  <c r="AC338" i="1"/>
  <c r="AC339" i="1"/>
  <c r="AC340" i="1"/>
  <c r="AC341" i="1"/>
  <c r="AC342" i="1"/>
  <c r="AC346" i="1"/>
  <c r="AC345" i="1"/>
  <c r="AC344" i="1"/>
  <c r="AC343" i="1"/>
  <c r="AC347" i="1"/>
  <c r="AC351" i="1"/>
  <c r="AC350" i="1"/>
  <c r="AC349" i="1"/>
  <c r="AC348" i="1"/>
  <c r="AC354" i="1"/>
  <c r="AC353" i="1"/>
  <c r="AC352" i="1"/>
  <c r="AC355" i="1"/>
  <c r="AC358" i="1"/>
  <c r="AC357" i="1"/>
  <c r="AC356" i="1"/>
  <c r="AC360" i="1"/>
  <c r="AC359" i="1"/>
  <c r="AC361" i="1"/>
  <c r="AC363" i="1"/>
  <c r="AC362" i="1"/>
  <c r="AC364" i="1"/>
  <c r="AC365" i="1"/>
  <c r="AC366" i="1"/>
  <c r="AC367" i="1"/>
  <c r="AC370" i="1"/>
  <c r="AC368" i="1"/>
  <c r="AC371" i="1"/>
  <c r="AC369" i="1"/>
  <c r="AC372" i="1"/>
  <c r="AC376" i="1"/>
  <c r="AC374" i="1"/>
  <c r="AC375" i="1"/>
  <c r="AC373" i="1"/>
  <c r="AC377" i="1"/>
  <c r="AC379" i="1"/>
  <c r="AC378" i="1"/>
  <c r="AC381" i="1"/>
  <c r="AC380" i="1"/>
  <c r="AC386" i="1"/>
  <c r="AC384" i="1"/>
  <c r="AC383" i="1"/>
  <c r="AC382" i="1"/>
  <c r="AC385" i="1"/>
  <c r="AC389" i="1"/>
  <c r="AC388" i="1"/>
  <c r="AC387" i="1"/>
  <c r="AC390" i="1"/>
  <c r="AC391" i="1"/>
  <c r="AC393" i="1"/>
  <c r="AC394" i="1"/>
  <c r="AC392" i="1"/>
  <c r="AC395" i="1"/>
  <c r="AC397" i="1"/>
  <c r="AC398" i="1"/>
  <c r="AC400" i="1"/>
  <c r="AC399" i="1"/>
  <c r="AC396" i="1"/>
  <c r="AC402" i="1"/>
  <c r="AC401" i="1"/>
  <c r="AC403" i="1"/>
  <c r="AC405" i="1"/>
  <c r="AC406" i="1"/>
  <c r="AC407" i="1"/>
  <c r="AC404" i="1"/>
  <c r="AC408" i="1"/>
  <c r="AC409" i="1"/>
  <c r="AC410" i="1"/>
  <c r="AC411" i="1"/>
  <c r="AC413" i="1"/>
  <c r="AC412" i="1"/>
  <c r="AC415" i="1"/>
  <c r="AC414" i="1"/>
  <c r="AC420" i="1"/>
  <c r="AC416" i="1"/>
  <c r="AC422" i="1"/>
  <c r="AC417" i="1"/>
  <c r="AC421" i="1"/>
  <c r="AC419" i="1"/>
  <c r="AC418" i="1"/>
  <c r="AC424" i="1"/>
  <c r="AC425" i="1"/>
  <c r="AC423" i="1"/>
  <c r="AC426" i="1"/>
  <c r="AC428" i="1"/>
  <c r="AC427" i="1"/>
  <c r="AC429" i="1"/>
  <c r="AC430" i="1"/>
  <c r="AC431" i="1"/>
  <c r="AC432" i="1"/>
  <c r="AC434" i="1"/>
  <c r="AC435" i="1"/>
  <c r="AC433" i="1"/>
  <c r="AC436" i="1"/>
  <c r="AC437" i="1"/>
  <c r="AC439" i="1"/>
  <c r="AC440" i="1"/>
  <c r="AC438" i="1"/>
  <c r="AC442" i="1"/>
  <c r="AC443" i="1"/>
  <c r="AC441" i="1"/>
  <c r="AC444" i="1"/>
  <c r="AC446" i="1"/>
  <c r="AC445" i="1"/>
  <c r="AC447" i="1"/>
  <c r="AC450" i="1"/>
  <c r="AC448" i="1"/>
  <c r="AC449" i="1"/>
  <c r="AC452" i="1"/>
  <c r="AC454" i="1"/>
  <c r="AC455" i="1"/>
  <c r="AC451" i="1"/>
  <c r="AC453" i="1"/>
  <c r="AC457" i="1"/>
  <c r="AC460" i="1"/>
  <c r="AC459" i="1"/>
  <c r="AC456" i="1"/>
  <c r="AC458" i="1"/>
  <c r="AC465" i="1"/>
  <c r="AC462" i="1"/>
  <c r="AC464" i="1"/>
  <c r="AC463" i="1"/>
  <c r="AC461" i="1"/>
  <c r="AC466" i="1"/>
  <c r="AC467" i="1"/>
  <c r="AC469" i="1"/>
  <c r="AC470" i="1"/>
  <c r="AC468" i="1"/>
  <c r="AC471" i="1"/>
  <c r="AC473" i="1"/>
  <c r="AC475" i="1"/>
  <c r="AC472" i="1"/>
  <c r="AC476" i="1"/>
  <c r="AC474" i="1"/>
  <c r="AC480" i="1"/>
  <c r="AC479" i="1"/>
  <c r="AC478" i="1"/>
  <c r="AC477" i="1"/>
  <c r="AC483" i="1"/>
  <c r="AC482" i="1"/>
  <c r="AC481" i="1"/>
  <c r="AC484" i="1"/>
  <c r="AC485" i="1"/>
  <c r="AC486" i="1"/>
  <c r="AC488" i="1"/>
  <c r="AC487" i="1"/>
  <c r="AC489" i="1"/>
  <c r="AC490" i="1"/>
  <c r="AC492" i="1"/>
  <c r="AC493" i="1"/>
  <c r="AC491" i="1"/>
  <c r="AC498" i="1"/>
  <c r="AC494" i="1"/>
  <c r="AC497" i="1"/>
  <c r="AC496" i="1"/>
  <c r="AC495" i="1"/>
  <c r="AC502" i="1"/>
  <c r="AC500" i="1"/>
  <c r="AC499" i="1"/>
  <c r="AC501" i="1"/>
  <c r="AC506" i="1"/>
  <c r="AC503" i="1"/>
  <c r="AC507" i="1"/>
  <c r="AC505" i="1"/>
  <c r="AC504" i="1"/>
  <c r="AC508" i="1"/>
  <c r="AC509" i="1"/>
  <c r="AC512" i="1"/>
  <c r="AC511" i="1"/>
  <c r="AC510" i="1"/>
  <c r="AC513" i="1"/>
  <c r="AC517" i="1"/>
  <c r="AC515" i="1"/>
  <c r="AC514" i="1"/>
  <c r="AC516" i="1"/>
  <c r="AC520" i="1"/>
  <c r="AC519" i="1"/>
  <c r="AC518" i="1"/>
  <c r="AC523" i="1"/>
  <c r="AC525" i="1"/>
  <c r="AC524" i="1"/>
  <c r="AC526" i="1"/>
  <c r="AC522" i="1"/>
  <c r="AC521" i="1"/>
  <c r="AC528" i="1"/>
  <c r="AC529" i="1"/>
  <c r="AC527" i="1"/>
  <c r="AC532" i="1"/>
  <c r="AC531" i="1"/>
  <c r="AC533" i="1"/>
  <c r="AC534" i="1"/>
  <c r="AC530" i="1"/>
  <c r="AC535" i="1"/>
  <c r="AC537" i="1"/>
  <c r="AC536" i="1"/>
  <c r="AC539" i="1"/>
  <c r="AC538" i="1"/>
  <c r="AC542" i="1"/>
  <c r="AC541" i="1"/>
  <c r="AC540" i="1"/>
  <c r="AC543" i="1"/>
  <c r="AC546" i="1"/>
  <c r="AC545" i="1"/>
  <c r="AC544" i="1"/>
  <c r="AC549" i="1"/>
  <c r="AC547" i="1"/>
  <c r="AC548" i="1"/>
  <c r="AC553" i="1"/>
  <c r="AC554" i="1"/>
  <c r="AC552" i="1"/>
  <c r="AC550" i="1"/>
  <c r="AC551" i="1"/>
  <c r="AC555" i="1"/>
  <c r="AC556" i="1"/>
  <c r="AC558" i="1"/>
  <c r="AC557" i="1"/>
  <c r="AC562" i="1"/>
  <c r="AC560" i="1"/>
  <c r="AC561" i="1"/>
  <c r="AC559" i="1"/>
  <c r="AC564" i="1"/>
  <c r="AC566" i="1"/>
  <c r="AC565" i="1"/>
  <c r="AC563" i="1"/>
  <c r="AC568" i="1"/>
  <c r="AC567" i="1"/>
  <c r="AC569" i="1"/>
  <c r="AC570" i="1"/>
  <c r="AC571" i="1"/>
  <c r="AC574" i="1"/>
  <c r="AC572" i="1"/>
  <c r="AC573" i="1"/>
  <c r="AC578" i="1"/>
  <c r="AC579" i="1"/>
  <c r="AC576" i="1"/>
  <c r="AC577" i="1"/>
  <c r="AC575" i="1"/>
  <c r="AC580" i="1"/>
  <c r="AC581" i="1"/>
  <c r="AC583" i="1"/>
  <c r="AC584" i="1"/>
  <c r="AC582" i="1"/>
  <c r="AC586" i="1"/>
  <c r="AC585" i="1"/>
  <c r="AC589" i="1"/>
  <c r="AC590" i="1"/>
  <c r="AC588" i="1"/>
  <c r="AC591" i="1"/>
  <c r="AC587" i="1"/>
  <c r="AC592" i="1"/>
  <c r="AC594" i="1"/>
  <c r="AC593" i="1"/>
  <c r="AC595" i="1"/>
  <c r="AC596" i="1"/>
  <c r="AC597" i="1"/>
  <c r="AC598" i="1"/>
  <c r="AC599" i="1"/>
  <c r="AC604" i="1"/>
  <c r="AC601" i="1"/>
  <c r="AC603" i="1"/>
  <c r="AC600" i="1"/>
  <c r="AC602" i="1"/>
  <c r="AC609" i="1"/>
  <c r="AC607" i="1"/>
  <c r="AC606" i="1"/>
  <c r="AC608" i="1"/>
  <c r="AC605" i="1"/>
  <c r="AC610" i="1"/>
  <c r="AC612" i="1"/>
  <c r="AC611" i="1"/>
  <c r="AC613" i="1"/>
  <c r="AC615" i="1"/>
  <c r="AC617" i="1"/>
  <c r="AC616" i="1"/>
  <c r="AC614" i="1"/>
  <c r="AC620" i="1"/>
  <c r="AC619" i="1"/>
  <c r="AC618" i="1"/>
  <c r="AC623" i="1"/>
  <c r="AC622" i="1"/>
  <c r="AC621" i="1"/>
  <c r="AC624" i="1"/>
  <c r="AC625" i="1"/>
  <c r="AC626" i="1"/>
  <c r="AC627" i="1"/>
  <c r="AC628" i="1"/>
  <c r="AC631" i="1"/>
  <c r="AC630" i="1"/>
  <c r="AC629" i="1"/>
  <c r="AC635" i="1"/>
  <c r="AC634" i="1"/>
  <c r="AC633" i="1"/>
  <c r="AC638" i="1"/>
  <c r="AC637" i="1"/>
  <c r="AC632" i="1"/>
  <c r="AC636" i="1"/>
  <c r="AC639" i="1"/>
  <c r="AC642" i="1"/>
  <c r="AC641" i="1"/>
  <c r="AC643" i="1"/>
  <c r="AC640" i="1"/>
  <c r="AC644" i="1"/>
  <c r="AC645" i="1"/>
  <c r="AC647" i="1"/>
  <c r="AC646" i="1"/>
  <c r="AC648" i="1"/>
  <c r="AC649" i="1"/>
  <c r="AC651" i="1"/>
  <c r="AC650" i="1"/>
  <c r="AC653" i="1"/>
  <c r="AC652" i="1"/>
  <c r="AC654" i="1"/>
  <c r="AC657" i="1"/>
  <c r="AC658" i="1"/>
  <c r="AC655" i="1"/>
  <c r="AC656" i="1"/>
  <c r="AC659" i="1"/>
  <c r="AC660" i="1"/>
  <c r="AC662" i="1"/>
  <c r="AC661" i="1"/>
  <c r="AC663" i="1"/>
  <c r="AC664" i="1"/>
  <c r="AC665" i="1"/>
  <c r="AC667" i="1"/>
  <c r="AC670" i="1"/>
  <c r="AC669" i="1"/>
  <c r="AC666" i="1"/>
  <c r="AC668" i="1"/>
  <c r="AC672" i="1"/>
  <c r="AC671" i="1"/>
  <c r="AC673" i="1"/>
  <c r="AC674" i="1"/>
  <c r="AC676" i="1"/>
  <c r="AC677" i="1"/>
  <c r="AC675" i="1"/>
  <c r="AC679" i="1"/>
  <c r="AC680" i="1"/>
  <c r="AC681" i="1"/>
  <c r="AC682" i="1"/>
  <c r="AC678" i="1"/>
  <c r="AC683" i="1"/>
  <c r="AC684" i="1"/>
  <c r="AC685" i="1"/>
  <c r="AC688" i="1"/>
  <c r="AC689" i="1"/>
  <c r="AC690" i="1"/>
  <c r="AC687" i="1"/>
  <c r="AC686" i="1"/>
  <c r="AC691" i="1"/>
  <c r="AC694" i="1"/>
  <c r="AC692" i="1"/>
  <c r="AC693" i="1"/>
  <c r="AC696" i="1"/>
  <c r="AC695" i="1"/>
  <c r="AC697" i="1"/>
  <c r="AC698" i="1"/>
  <c r="AC699" i="1"/>
  <c r="AC704" i="1"/>
  <c r="AC701" i="1"/>
  <c r="AC702" i="1"/>
  <c r="AC703" i="1"/>
  <c r="AC700" i="1"/>
  <c r="AC708" i="1"/>
  <c r="AC706" i="1"/>
  <c r="AC707" i="1"/>
  <c r="AC705" i="1"/>
  <c r="AC709" i="1"/>
  <c r="AC711" i="1"/>
  <c r="AC712" i="1"/>
  <c r="AC713" i="1"/>
  <c r="AC710" i="1"/>
  <c r="AC714" i="1"/>
  <c r="AC715" i="1"/>
  <c r="AC716" i="1"/>
  <c r="AC717" i="1"/>
  <c r="AC718" i="1"/>
  <c r="AC719" i="1"/>
  <c r="AC720" i="1"/>
  <c r="AC721" i="1"/>
  <c r="AC722" i="1"/>
  <c r="AC724" i="1"/>
  <c r="AC723" i="1"/>
  <c r="AC725" i="1"/>
  <c r="AC728" i="1"/>
  <c r="AC726" i="1"/>
  <c r="AC727" i="1"/>
  <c r="AC729" i="1"/>
  <c r="AC730" i="1"/>
  <c r="AC731" i="1"/>
  <c r="AC736" i="1"/>
  <c r="AC733" i="1"/>
  <c r="AC734" i="1"/>
  <c r="AC732" i="1"/>
  <c r="AC735" i="1"/>
  <c r="AC739" i="1"/>
  <c r="AC737" i="1"/>
  <c r="AC738" i="1"/>
  <c r="AC741" i="1"/>
  <c r="AC740" i="1"/>
  <c r="AC744" i="1"/>
  <c r="AC743" i="1"/>
  <c r="AC742" i="1"/>
  <c r="AC745" i="1"/>
  <c r="AC750" i="1"/>
  <c r="AC748" i="1"/>
  <c r="AC749" i="1"/>
  <c r="AC747" i="1"/>
  <c r="AC746" i="1"/>
  <c r="AC751" i="1"/>
  <c r="AC752" i="1"/>
  <c r="AC753" i="1"/>
  <c r="AC754" i="1"/>
  <c r="AC755" i="1"/>
  <c r="AC756" i="1"/>
  <c r="AC757" i="1"/>
  <c r="AC758" i="1"/>
  <c r="AC760" i="1"/>
  <c r="AC759" i="1"/>
  <c r="AC761" i="1"/>
  <c r="AC762" i="1"/>
  <c r="AC763" i="1"/>
  <c r="AC764" i="1"/>
  <c r="AC767" i="1"/>
  <c r="AC766" i="1"/>
  <c r="AC765" i="1"/>
  <c r="AC768" i="1"/>
  <c r="AC769" i="1"/>
  <c r="AC770" i="1"/>
  <c r="AC771" i="1"/>
  <c r="AC774" i="1"/>
  <c r="AC772" i="1"/>
  <c r="AC773" i="1"/>
  <c r="AC777" i="1"/>
  <c r="AC776" i="1"/>
  <c r="AC775" i="1"/>
  <c r="AC778" i="1"/>
  <c r="AC780" i="1"/>
  <c r="AC781" i="1"/>
  <c r="AC779" i="1"/>
  <c r="AC786" i="1"/>
  <c r="AC784" i="1"/>
  <c r="AC787" i="1"/>
  <c r="AC782" i="1"/>
  <c r="AC783" i="1"/>
  <c r="AC785" i="1"/>
  <c r="AC789" i="1"/>
  <c r="AC788" i="1"/>
  <c r="AC790" i="1"/>
  <c r="AC793" i="1"/>
  <c r="AC791" i="1"/>
  <c r="AC792" i="1"/>
  <c r="AC794" i="1"/>
  <c r="AC796" i="1"/>
  <c r="AC795" i="1"/>
  <c r="AC799" i="1"/>
  <c r="AC798" i="1"/>
  <c r="AC797" i="1"/>
  <c r="AC801" i="1"/>
  <c r="AC800" i="1"/>
  <c r="AC803" i="1"/>
  <c r="AC804" i="1"/>
  <c r="AC802" i="1"/>
  <c r="AC805" i="1"/>
  <c r="AC807" i="1"/>
  <c r="AC806" i="1"/>
  <c r="AC809" i="1"/>
  <c r="AC808" i="1"/>
  <c r="AC810" i="1"/>
  <c r="AC811" i="1"/>
  <c r="AC812" i="1"/>
  <c r="AC813" i="1"/>
  <c r="AC814" i="1"/>
  <c r="AC816" i="1"/>
  <c r="AC815" i="1"/>
  <c r="AC818" i="1"/>
  <c r="AC817" i="1"/>
  <c r="AC821" i="1"/>
  <c r="AC819" i="1"/>
  <c r="AC820" i="1"/>
  <c r="AC824" i="1"/>
  <c r="AC823" i="1"/>
  <c r="AC822" i="1"/>
  <c r="AC825" i="1"/>
  <c r="AC827" i="1"/>
  <c r="AC828" i="1"/>
  <c r="AC826" i="1"/>
  <c r="AC830" i="1"/>
  <c r="AC829" i="1"/>
  <c r="AC831" i="1"/>
  <c r="AC832" i="1"/>
  <c r="AC835" i="1"/>
  <c r="AC833" i="1"/>
  <c r="AC834" i="1"/>
  <c r="AC837" i="1"/>
  <c r="AC836" i="1"/>
  <c r="AC838" i="1"/>
  <c r="AC840" i="1"/>
  <c r="AC839" i="1"/>
  <c r="AC841" i="1"/>
  <c r="AC842" i="1"/>
  <c r="AC843" i="1"/>
  <c r="AC845" i="1"/>
  <c r="AC844" i="1"/>
  <c r="AC846" i="1"/>
  <c r="AC847" i="1"/>
  <c r="AC848" i="1"/>
  <c r="AC849" i="1"/>
  <c r="AC851" i="1"/>
  <c r="AC852" i="1"/>
  <c r="AC854" i="1"/>
  <c r="AC850" i="1"/>
  <c r="AC853" i="1"/>
  <c r="AC857" i="1"/>
  <c r="AC856" i="1"/>
  <c r="AC855" i="1"/>
  <c r="AC860" i="1"/>
  <c r="AC858" i="1"/>
  <c r="AC859" i="1"/>
  <c r="AC862" i="1"/>
  <c r="AC861" i="1"/>
  <c r="AC863" i="1"/>
  <c r="AC866" i="1"/>
  <c r="AC864" i="1"/>
  <c r="AC865" i="1"/>
  <c r="AC867" i="1"/>
  <c r="AC868" i="1"/>
  <c r="AC871" i="1"/>
  <c r="AC870" i="1"/>
  <c r="AC872" i="1"/>
  <c r="AC869" i="1"/>
  <c r="AC875" i="1"/>
  <c r="AC873" i="1"/>
  <c r="AC874" i="1"/>
  <c r="AC878" i="1"/>
  <c r="AC876" i="1"/>
  <c r="AC877" i="1"/>
  <c r="AC879" i="1"/>
  <c r="AC880" i="1"/>
  <c r="AC881" i="1"/>
  <c r="AC884" i="1"/>
  <c r="AC883" i="1"/>
  <c r="AC882" i="1"/>
  <c r="AC885" i="1"/>
  <c r="AC886" i="1"/>
  <c r="AC888" i="1"/>
  <c r="AC887" i="1"/>
  <c r="AC890" i="1"/>
  <c r="AC889" i="1"/>
  <c r="AC892" i="1"/>
  <c r="AC891" i="1"/>
  <c r="AC895" i="1"/>
  <c r="AC893" i="1"/>
  <c r="AC894" i="1"/>
  <c r="AC898" i="1"/>
  <c r="AC897" i="1"/>
  <c r="AC896" i="1"/>
  <c r="AC901" i="1"/>
  <c r="AC903" i="1"/>
  <c r="AC899" i="1"/>
  <c r="AC900" i="1"/>
  <c r="AC902" i="1"/>
  <c r="AC905" i="1"/>
  <c r="AC904" i="1"/>
  <c r="AC908" i="1"/>
  <c r="AC907" i="1"/>
  <c r="AC906" i="1"/>
  <c r="AC909" i="1"/>
  <c r="AC912" i="1"/>
  <c r="AC911" i="1"/>
  <c r="AC910" i="1"/>
  <c r="AC913" i="1"/>
  <c r="AC914" i="1"/>
  <c r="AC918" i="1"/>
  <c r="AC916" i="1"/>
  <c r="AC915" i="1"/>
  <c r="AC917" i="1"/>
  <c r="AC920" i="1"/>
  <c r="AC919" i="1"/>
  <c r="AC921" i="1"/>
  <c r="AC923" i="1"/>
  <c r="AC922" i="1"/>
  <c r="AC924" i="1"/>
  <c r="AC926" i="1"/>
  <c r="AC925" i="1"/>
  <c r="AC930" i="1"/>
  <c r="AC929" i="1"/>
  <c r="AC927" i="1"/>
  <c r="AC928" i="1"/>
  <c r="AC931" i="1"/>
  <c r="AC932" i="1"/>
  <c r="AC933" i="1"/>
  <c r="AC934" i="1"/>
  <c r="AC935" i="1"/>
  <c r="AC936" i="1"/>
  <c r="AC937" i="1"/>
  <c r="AC939" i="1"/>
  <c r="AC938" i="1"/>
  <c r="AC941" i="1"/>
  <c r="AC940" i="1"/>
  <c r="AC944" i="1"/>
  <c r="AC943" i="1"/>
  <c r="AC945" i="1"/>
  <c r="AC942" i="1"/>
  <c r="AC946" i="1"/>
  <c r="AC947" i="1"/>
  <c r="AC948" i="1"/>
  <c r="AC949" i="1"/>
  <c r="AC950" i="1"/>
  <c r="AC952" i="1"/>
  <c r="AC951" i="1"/>
  <c r="AC955" i="1"/>
  <c r="AC957" i="1"/>
  <c r="AC956" i="1"/>
  <c r="AC953" i="1"/>
  <c r="AC954" i="1"/>
  <c r="AC960" i="1"/>
  <c r="AC961" i="1"/>
  <c r="AC958" i="1"/>
  <c r="AC959" i="1"/>
  <c r="AC964" i="1"/>
  <c r="AC962" i="1"/>
  <c r="AC963" i="1"/>
  <c r="AC965" i="1"/>
  <c r="AC966" i="1"/>
  <c r="AC967" i="1"/>
  <c r="AC968" i="1"/>
  <c r="AC971" i="1"/>
  <c r="AC970" i="1"/>
  <c r="AC969" i="1"/>
  <c r="AC972" i="1"/>
  <c r="AC973" i="1"/>
  <c r="AC974" i="1"/>
  <c r="AC976" i="1"/>
  <c r="AC978" i="1"/>
  <c r="AC975" i="1"/>
  <c r="AC977" i="1"/>
  <c r="AC980" i="1"/>
  <c r="AC981" i="1"/>
  <c r="AC979" i="1"/>
  <c r="AC982" i="1"/>
  <c r="AC984" i="1"/>
  <c r="AC983" i="1"/>
  <c r="AC985" i="1"/>
  <c r="AC986" i="1"/>
  <c r="AC988" i="1"/>
  <c r="AC987" i="1"/>
  <c r="AC990" i="1"/>
  <c r="AC989" i="1"/>
  <c r="AC993" i="1"/>
  <c r="AC992" i="1"/>
  <c r="AC994" i="1"/>
  <c r="AC991" i="1"/>
  <c r="AC995" i="1"/>
  <c r="AC997" i="1"/>
  <c r="AC998" i="1"/>
  <c r="AC996" i="1"/>
  <c r="AC999" i="1"/>
  <c r="AC1000" i="1"/>
  <c r="AC1001" i="1"/>
  <c r="L18" i="1"/>
  <c r="L512" i="1"/>
  <c r="L648" i="1"/>
  <c r="L397" i="1"/>
  <c r="L158" i="1"/>
  <c r="L1000" i="1"/>
  <c r="L405" i="1"/>
  <c r="L528" i="1"/>
  <c r="L990" i="1"/>
  <c r="L986" i="1"/>
  <c r="L43" i="1"/>
  <c r="L908" i="1"/>
  <c r="L708" i="1"/>
  <c r="L198" i="1"/>
  <c r="L186" i="1"/>
  <c r="L39" i="1"/>
  <c r="L944" i="1"/>
  <c r="L420" i="1"/>
  <c r="L434" i="1"/>
  <c r="L774" i="1"/>
  <c r="L644" i="1"/>
  <c r="L317" i="1"/>
  <c r="L301" i="1"/>
  <c r="L330" i="1"/>
  <c r="L912" i="1"/>
  <c r="L520" i="1"/>
  <c r="L535" i="1"/>
  <c r="L289" i="1"/>
  <c r="L589" i="1"/>
  <c r="L339" i="1"/>
  <c r="L578" i="1"/>
  <c r="L736" i="1"/>
  <c r="L334" i="1"/>
  <c r="L56" i="1"/>
  <c r="L884" i="1"/>
  <c r="L51" i="1"/>
  <c r="L284" i="1"/>
  <c r="L69" i="1"/>
  <c r="L247" i="1"/>
  <c r="L149" i="1"/>
  <c r="L235" i="1"/>
  <c r="L430" i="1"/>
  <c r="L110" i="1"/>
  <c r="L139" i="1"/>
  <c r="L604" i="1"/>
  <c r="L543" i="1"/>
  <c r="L803" i="1"/>
  <c r="L846" i="1"/>
  <c r="L847" i="1"/>
  <c r="L307" i="1"/>
  <c r="L212" i="1"/>
  <c r="L571" i="1"/>
  <c r="L452" i="1"/>
  <c r="L955" i="1"/>
  <c r="L175" i="1"/>
  <c r="L34" i="1"/>
  <c r="L193" i="1"/>
  <c r="L442" i="1"/>
  <c r="L393" i="1"/>
  <c r="L871" i="1"/>
  <c r="L426" i="1"/>
  <c r="L488" i="1"/>
  <c r="L162" i="1"/>
  <c r="L934" i="1"/>
  <c r="L424" i="1"/>
  <c r="L45" i="1"/>
  <c r="L722" i="1"/>
  <c r="L976" i="1"/>
  <c r="L87" i="1"/>
  <c r="L77" i="1"/>
  <c r="L583" i="1"/>
  <c r="L720" i="1"/>
  <c r="L513" i="1"/>
  <c r="L242" i="1"/>
  <c r="L131" i="1"/>
  <c r="L410" i="1"/>
  <c r="L885" i="1"/>
  <c r="L688" i="1"/>
  <c r="L483" i="1"/>
  <c r="L96" i="1"/>
  <c r="L532" i="1"/>
  <c r="L106" i="1"/>
  <c r="L428" i="1"/>
  <c r="L482" i="1"/>
  <c r="L254" i="1"/>
  <c r="L231" i="1"/>
  <c r="L157" i="1"/>
  <c r="L250" i="1"/>
  <c r="L355" i="1"/>
  <c r="L217" i="1"/>
  <c r="L132" i="1"/>
  <c r="L672" i="1"/>
  <c r="L867" i="1"/>
  <c r="L194" i="1"/>
  <c r="L248" i="1"/>
  <c r="L895" i="1"/>
  <c r="L767" i="1"/>
  <c r="L74" i="1"/>
  <c r="L931" i="1"/>
  <c r="L465" i="1"/>
  <c r="L978" i="1"/>
  <c r="L698" i="1"/>
  <c r="L812" i="1"/>
  <c r="L553" i="1"/>
  <c r="L398" i="1"/>
  <c r="L114" i="1"/>
  <c r="L325" i="1"/>
  <c r="L663" i="1"/>
  <c r="L709" i="1"/>
  <c r="L957" i="1"/>
  <c r="L389" i="1"/>
  <c r="L166" i="1"/>
  <c r="L830" i="1"/>
  <c r="L762" i="1"/>
  <c r="L555" i="1"/>
  <c r="L653" i="1"/>
  <c r="L642" i="1"/>
  <c r="L794" i="1"/>
  <c r="L271" i="1"/>
  <c r="L845" i="1"/>
  <c r="L508" i="1"/>
  <c r="L704" i="1"/>
  <c r="L711" i="1"/>
  <c r="L379" i="1"/>
  <c r="L519" i="1"/>
  <c r="L21" i="1"/>
  <c r="L745" i="1"/>
  <c r="L676" i="1"/>
  <c r="L363" i="1"/>
  <c r="L943" i="1"/>
  <c r="L664" i="1"/>
  <c r="L641" i="1"/>
  <c r="L590" i="1"/>
  <c r="L679" i="1"/>
  <c r="L667" i="1"/>
  <c r="L159" i="1"/>
  <c r="L851" i="1"/>
  <c r="L206" i="1"/>
  <c r="L471" i="1"/>
  <c r="L562" i="1"/>
  <c r="L677" i="1"/>
  <c r="L868" i="1"/>
  <c r="L286" i="1"/>
  <c r="L597" i="1"/>
  <c r="L16" i="1"/>
  <c r="L689" i="1"/>
  <c r="L457" i="1"/>
  <c r="L980" i="1"/>
  <c r="L701" i="1"/>
  <c r="L809" i="1"/>
  <c r="L654" i="1"/>
  <c r="L115" i="1"/>
  <c r="L444" i="1"/>
  <c r="L119" i="1"/>
  <c r="L208" i="1"/>
  <c r="L354" i="1"/>
  <c r="L48" i="1"/>
  <c r="L167" i="1"/>
  <c r="L431" i="1"/>
  <c r="L267" i="1"/>
  <c r="L739" i="1"/>
  <c r="L603" i="1"/>
  <c r="L147" i="1"/>
  <c r="L141" i="1"/>
  <c r="L73" i="1"/>
  <c r="L948" i="1"/>
  <c r="L680" i="1"/>
  <c r="L832" i="1"/>
  <c r="L971" i="1"/>
  <c r="L290" i="1"/>
  <c r="L984" i="1"/>
  <c r="L32" i="1"/>
  <c r="L184" i="1"/>
  <c r="L801" i="1"/>
  <c r="L890" i="1"/>
  <c r="L568" i="1"/>
  <c r="L681" i="1"/>
  <c r="L981" i="1"/>
  <c r="L889" i="1"/>
  <c r="L335" i="1"/>
  <c r="L999" i="1"/>
  <c r="L717" i="1"/>
  <c r="L848" i="1"/>
  <c r="L480" i="1"/>
  <c r="L108" i="1"/>
  <c r="L756" i="1"/>
  <c r="L601" i="1"/>
  <c r="L961" i="1"/>
  <c r="L973" i="1"/>
  <c r="L490" i="1"/>
  <c r="L620" i="1"/>
  <c r="L447" i="1"/>
  <c r="L252" i="1"/>
  <c r="L964" i="1"/>
  <c r="L475" i="1"/>
  <c r="L86" i="1"/>
  <c r="L523" i="1"/>
  <c r="L320" i="1"/>
  <c r="L574" i="1"/>
  <c r="L506" i="1"/>
  <c r="L930" i="1"/>
  <c r="L197" i="1"/>
  <c r="L165" i="1"/>
  <c r="L537" i="1"/>
  <c r="L273" i="1"/>
  <c r="L12" i="1"/>
  <c r="L777" i="1"/>
  <c r="L657" i="1"/>
  <c r="L469" i="1"/>
  <c r="L308" i="1"/>
  <c r="L351" i="1"/>
  <c r="L737" i="1"/>
  <c r="L446" i="1"/>
  <c r="L117" i="1"/>
  <c r="L207" i="1"/>
  <c r="L811" i="1"/>
  <c r="L564" i="1"/>
  <c r="L443" i="1"/>
  <c r="L367" i="1"/>
  <c r="L358" i="1"/>
  <c r="L60" i="1"/>
  <c r="L721" i="1"/>
  <c r="L691" i="1"/>
  <c r="L153" i="1"/>
  <c r="L628" i="1"/>
  <c r="L459" i="1"/>
  <c r="L579" i="1"/>
  <c r="L168" i="1"/>
  <c r="L82" i="1"/>
  <c r="L133" i="1"/>
  <c r="L498" i="1"/>
  <c r="L88" i="1"/>
  <c r="L305" i="1"/>
  <c r="L222" i="1"/>
  <c r="L176" i="1"/>
  <c r="L972" i="1"/>
  <c r="L862" i="1"/>
  <c r="L183" i="1"/>
  <c r="L185" i="1"/>
  <c r="L296" i="1"/>
  <c r="L300" i="1"/>
  <c r="L472" i="1"/>
  <c r="L196" i="1"/>
  <c r="L733" i="1"/>
  <c r="L105" i="1"/>
  <c r="L821" i="1"/>
  <c r="L624" i="1"/>
  <c r="L234" i="1"/>
  <c r="L331" i="1"/>
  <c r="L223" i="1"/>
  <c r="L600" i="1"/>
  <c r="L799" i="1"/>
  <c r="L338" i="1"/>
  <c r="L394" i="1"/>
  <c r="L554" i="1"/>
  <c r="L329" i="1"/>
  <c r="L258" i="1"/>
  <c r="L790" i="1"/>
  <c r="L635" i="1"/>
  <c r="L462" i="1"/>
  <c r="L883" i="1"/>
  <c r="L929" i="1"/>
  <c r="L694" i="1"/>
  <c r="L143" i="1"/>
  <c r="L893" i="1"/>
  <c r="L58" i="1"/>
  <c r="L724" i="1"/>
  <c r="L766" i="1"/>
  <c r="L473" i="1"/>
  <c r="L768" i="1"/>
  <c r="L623" i="1"/>
  <c r="L643" i="1"/>
  <c r="L567" i="1"/>
  <c r="L297" i="1"/>
  <c r="L218" i="1"/>
  <c r="L460" i="1"/>
  <c r="L702" i="1"/>
  <c r="L556" i="1"/>
  <c r="L609" i="1"/>
  <c r="L111" i="1"/>
  <c r="L243" i="1"/>
  <c r="L283" i="1"/>
  <c r="L109" i="1"/>
  <c r="L100" i="1"/>
  <c r="L244" i="1"/>
  <c r="L911" i="1"/>
  <c r="L886" i="1"/>
  <c r="L539" i="1"/>
  <c r="L612" i="1"/>
  <c r="L765" i="1"/>
  <c r="L79" i="1"/>
  <c r="L960" i="1"/>
  <c r="L406" i="1"/>
  <c r="L240" i="1"/>
  <c r="L456" i="1"/>
  <c r="L690" i="1"/>
  <c r="L813" i="1"/>
  <c r="L956" i="1"/>
  <c r="L706" i="1"/>
  <c r="L770" i="1"/>
  <c r="L279" i="1"/>
  <c r="L786" i="1"/>
  <c r="L313" i="1"/>
  <c r="L182" i="1"/>
  <c r="L586" i="1"/>
  <c r="L28" i="1"/>
  <c r="L728" i="1"/>
  <c r="L130" i="1"/>
  <c r="L652" i="1"/>
  <c r="L215" i="1"/>
  <c r="L921" i="1"/>
  <c r="L85" i="1"/>
  <c r="L814" i="1"/>
  <c r="L188" i="1"/>
  <c r="L750" i="1"/>
  <c r="L509" i="1"/>
  <c r="L687" i="1"/>
  <c r="L360" i="1"/>
  <c r="L769" i="1"/>
  <c r="L402" i="1"/>
  <c r="L778" i="1"/>
  <c r="L924" i="1"/>
  <c r="L983" i="1"/>
  <c r="L734" i="1"/>
  <c r="L879" i="1"/>
  <c r="L686" i="1"/>
  <c r="L53" i="1"/>
  <c r="L163" i="1"/>
  <c r="L90" i="1"/>
  <c r="L894" i="1"/>
  <c r="L824" i="1"/>
  <c r="L436" i="1"/>
  <c r="L744" i="1"/>
  <c r="L295" i="1"/>
  <c r="L98" i="1"/>
  <c r="L949" i="1"/>
  <c r="L470" i="1"/>
  <c r="L200" i="1"/>
  <c r="L94" i="1"/>
  <c r="L38" i="1"/>
  <c r="L238" i="1"/>
  <c r="L531" i="1"/>
  <c r="L210" i="1"/>
  <c r="L62" i="1"/>
  <c r="L416" i="1"/>
  <c r="L707" i="1"/>
  <c r="L714" i="1"/>
  <c r="L818" i="1"/>
  <c r="L988" i="1"/>
  <c r="L542" i="1"/>
  <c r="L122" i="1"/>
  <c r="L748" i="1"/>
  <c r="L113" i="1"/>
  <c r="L920" i="1"/>
  <c r="L10" i="1"/>
  <c r="L411" i="1"/>
  <c r="L907" i="1"/>
  <c r="L910" i="1"/>
  <c r="L749" i="1"/>
  <c r="L675" i="1"/>
  <c r="L712" i="1"/>
  <c r="L19" i="1"/>
  <c r="L866" i="1"/>
  <c r="L386" i="1"/>
  <c r="L671" i="1"/>
  <c r="L696" i="1"/>
  <c r="L927" i="1"/>
  <c r="L837" i="1"/>
  <c r="L584" i="1"/>
  <c r="L713" i="1"/>
  <c r="L464" i="1"/>
  <c r="L99" i="1"/>
  <c r="L634" i="1"/>
  <c r="L906" i="1"/>
  <c r="L466" i="1"/>
  <c r="L150" i="1"/>
  <c r="L145" i="1"/>
  <c r="L946" i="1"/>
  <c r="L840" i="1"/>
  <c r="L76" i="1"/>
  <c r="L793" i="1"/>
  <c r="L287" i="1"/>
  <c r="L633" i="1"/>
  <c r="L683" i="1"/>
  <c r="L962" i="1"/>
  <c r="L93" i="1"/>
  <c r="L347" i="1"/>
  <c r="L494" i="1"/>
  <c r="L97" i="1"/>
  <c r="L829" i="1"/>
  <c r="L174" i="1"/>
  <c r="L103" i="1"/>
  <c r="L435" i="1"/>
  <c r="L615" i="1"/>
  <c r="L311" i="1"/>
  <c r="L502" i="1"/>
  <c r="L827" i="1"/>
  <c r="L332" i="1"/>
  <c r="L913" i="1"/>
  <c r="L293" i="1"/>
  <c r="L209" i="1"/>
  <c r="L138" i="1"/>
  <c r="L8" i="1"/>
  <c r="L619" i="1"/>
  <c r="L445" i="1"/>
  <c r="L875" i="1"/>
  <c r="L146" i="1"/>
  <c r="L116" i="1"/>
  <c r="L905" i="1"/>
  <c r="L898" i="1"/>
  <c r="L303" i="1"/>
  <c r="L839" i="1"/>
  <c r="L270" i="1"/>
  <c r="L880" i="1"/>
  <c r="L511" i="1"/>
  <c r="L187" i="1"/>
  <c r="L607" i="1"/>
  <c r="L1001" i="1"/>
  <c r="L41" i="1"/>
  <c r="L974" i="1"/>
  <c r="L127" i="1"/>
  <c r="L939" i="1"/>
  <c r="L277" i="1"/>
  <c r="L213" i="1"/>
  <c r="L128" i="1"/>
  <c r="L384" i="1"/>
  <c r="L776" i="1"/>
  <c r="L723" i="1"/>
  <c r="L732" i="1"/>
  <c r="L71" i="1"/>
  <c r="L967" i="1"/>
  <c r="L227" i="1"/>
  <c r="L836" i="1"/>
  <c r="L710" i="1"/>
  <c r="L17" i="1"/>
  <c r="L178" i="1"/>
  <c r="L11" i="1"/>
  <c r="L23" i="1"/>
  <c r="L492" i="1"/>
  <c r="L572" i="1"/>
  <c r="L261" i="1"/>
  <c r="L173" i="1"/>
  <c r="L730" i="1"/>
  <c r="L306" i="1"/>
  <c r="L582" i="1"/>
  <c r="L670" i="1"/>
  <c r="L233" i="1"/>
  <c r="L517" i="1"/>
  <c r="L78" i="1"/>
  <c r="L408" i="1"/>
  <c r="L481" i="1"/>
  <c r="L758" i="1"/>
  <c r="L861" i="1"/>
  <c r="L324" i="1"/>
  <c r="L463" i="1"/>
  <c r="L525" i="1"/>
  <c r="L2" i="1"/>
  <c r="L497" i="1"/>
  <c r="L952" i="1"/>
  <c r="L381" i="1"/>
  <c r="L585" i="1"/>
  <c r="L937" i="1"/>
  <c r="L784" i="1"/>
  <c r="L775" i="1"/>
  <c r="L743" i="1"/>
  <c r="L515" i="1"/>
  <c r="L152" i="1"/>
  <c r="L950" i="1"/>
  <c r="L262" i="1"/>
  <c r="L598" i="1"/>
  <c r="L796" i="1"/>
  <c r="L177" i="1"/>
  <c r="L864" i="1"/>
  <c r="L852" i="1"/>
  <c r="L496" i="1"/>
  <c r="L645" i="1"/>
  <c r="L201" i="1"/>
  <c r="L617" i="1"/>
  <c r="L888" i="1"/>
  <c r="L172" i="1"/>
  <c r="L541" i="1"/>
  <c r="L625" i="1"/>
  <c r="L140" i="1"/>
  <c r="L144" i="1"/>
  <c r="L738" i="1"/>
  <c r="L63" i="1"/>
  <c r="L5" i="1"/>
  <c r="L346" i="1"/>
  <c r="L941" i="1"/>
  <c r="L518" i="1"/>
  <c r="L665" i="1"/>
  <c r="L322" i="1"/>
  <c r="L450" i="1"/>
  <c r="L716" i="1"/>
  <c r="L835" i="1"/>
  <c r="L365" i="1"/>
  <c r="L66" i="1"/>
  <c r="L156" i="1"/>
  <c r="L345" i="1"/>
  <c r="L882" i="1"/>
  <c r="L50" i="1"/>
  <c r="L819" i="1"/>
  <c r="L854" i="1"/>
  <c r="L341" i="1"/>
  <c r="L580" i="1"/>
  <c r="L923" i="1"/>
  <c r="L302" i="1"/>
  <c r="L253" i="1"/>
  <c r="L263" i="1"/>
  <c r="L202" i="1"/>
  <c r="L503" i="1"/>
  <c r="L427" i="1"/>
  <c r="L312" i="1"/>
  <c r="L245" i="1"/>
  <c r="L658" i="1"/>
  <c r="L831" i="1"/>
  <c r="L918" i="1"/>
  <c r="L909" i="1"/>
  <c r="L161" i="1"/>
  <c r="L137" i="1"/>
  <c r="L914" i="1"/>
  <c r="L695" i="1"/>
  <c r="L833" i="1"/>
  <c r="L873" i="1"/>
  <c r="L441" i="1"/>
  <c r="L280" i="1"/>
  <c r="L80" i="1"/>
  <c r="L576" i="1"/>
  <c r="L458" i="1"/>
  <c r="L606" i="1"/>
  <c r="L987" i="1"/>
  <c r="L216" i="1"/>
  <c r="L507" i="1"/>
  <c r="L68" i="1"/>
  <c r="L747" i="1"/>
  <c r="L415" i="1"/>
  <c r="L337" i="1"/>
  <c r="L353" i="1"/>
  <c r="L993" i="1"/>
  <c r="L340" i="1"/>
  <c r="L3" i="1"/>
  <c r="L514" i="1"/>
  <c r="L669" i="1"/>
  <c r="L804" i="1"/>
  <c r="L316" i="1"/>
  <c r="L997" i="1"/>
  <c r="L638" i="1"/>
  <c r="L926" i="1"/>
  <c r="L897" i="1"/>
  <c r="L359" i="1"/>
  <c r="L684" i="1"/>
  <c r="L780" i="1"/>
  <c r="L505" i="1"/>
  <c r="L91" i="1"/>
  <c r="L392" i="1"/>
  <c r="L221" i="1"/>
  <c r="L239" i="1"/>
  <c r="L742" i="1"/>
  <c r="L781" i="1"/>
  <c r="L935" i="1"/>
  <c r="L155" i="1"/>
  <c r="L940" i="1"/>
  <c r="L673" i="1"/>
  <c r="L479" i="1"/>
  <c r="L47" i="1"/>
  <c r="L533" i="1"/>
  <c r="L791" i="1"/>
  <c r="L409" i="1"/>
  <c r="L933" i="1"/>
  <c r="L595" i="1"/>
  <c r="L4" i="1"/>
  <c r="L951" i="1"/>
  <c r="L608" i="1"/>
  <c r="L874" i="1"/>
  <c r="L998" i="1"/>
  <c r="L439" i="1"/>
  <c r="L546" i="1"/>
  <c r="L321" i="1"/>
  <c r="L958" i="1"/>
  <c r="L370" i="1"/>
  <c r="L901" i="1"/>
  <c r="L602" i="1"/>
  <c r="L362" i="1"/>
  <c r="L892" i="1"/>
  <c r="L395" i="1"/>
  <c r="L433" i="1"/>
  <c r="L229" i="1"/>
  <c r="L315" i="1"/>
  <c r="L388" i="1"/>
  <c r="L849" i="1"/>
  <c r="L336" i="1"/>
  <c r="L916" i="1"/>
  <c r="L35" i="1"/>
  <c r="L928" i="1"/>
  <c r="L118" i="1"/>
  <c r="L802" i="1"/>
  <c r="L685" i="1"/>
  <c r="L54" i="1"/>
  <c r="L545" i="1"/>
  <c r="L649" i="1"/>
  <c r="L850" i="1"/>
  <c r="L524" i="1"/>
  <c r="L260" i="1"/>
  <c r="L599" i="1"/>
  <c r="L823" i="1"/>
  <c r="L366" i="1"/>
  <c r="L692" i="1"/>
  <c r="L489" i="1"/>
  <c r="L936" i="1"/>
  <c r="L380" i="1"/>
  <c r="L753" i="1"/>
  <c r="L211" i="1"/>
  <c r="L510" i="1"/>
  <c r="L285" i="1"/>
  <c r="L251" i="1"/>
  <c r="L282" i="1"/>
  <c r="L746" i="1"/>
  <c r="L558" i="1"/>
  <c r="L763" i="1"/>
  <c r="L136" i="1"/>
  <c r="L189" i="1"/>
  <c r="L40" i="1"/>
  <c r="L817" i="1"/>
  <c r="L104" i="1"/>
  <c r="L226" i="1"/>
  <c r="L857" i="1"/>
  <c r="L259" i="1"/>
  <c r="L264" i="1"/>
  <c r="L878" i="1"/>
  <c r="L368" i="1"/>
  <c r="L92" i="1"/>
  <c r="L309" i="1"/>
  <c r="L842" i="1"/>
  <c r="L376" i="1"/>
  <c r="L682" i="1"/>
  <c r="L350" i="1"/>
  <c r="L75" i="1"/>
  <c r="L357" i="1"/>
  <c r="L493" i="1"/>
  <c r="L651" i="1"/>
  <c r="L725" i="1"/>
  <c r="L516" i="1"/>
  <c r="L726" i="1"/>
  <c r="L500" i="1"/>
  <c r="L808" i="1"/>
  <c r="L142" i="1"/>
  <c r="L703" i="1"/>
  <c r="L529" i="1"/>
  <c r="L616" i="1"/>
  <c r="L361" i="1"/>
  <c r="L903" i="1"/>
  <c r="L225" i="1"/>
  <c r="L660" i="1"/>
  <c r="L810" i="1"/>
  <c r="L876" i="1"/>
  <c r="L327" i="1"/>
  <c r="L310" i="1"/>
  <c r="L647" i="1"/>
  <c r="L938" i="1"/>
  <c r="L372" i="1"/>
  <c r="L627" i="1"/>
  <c r="L646" i="1"/>
  <c r="L437" i="1"/>
  <c r="L566" i="1"/>
  <c r="L838" i="1"/>
  <c r="L414" i="1"/>
  <c r="L705" i="1"/>
  <c r="L549" i="1"/>
  <c r="L31" i="1"/>
  <c r="L81" i="1"/>
  <c r="L342" i="1"/>
  <c r="L966" i="1"/>
  <c r="L246" i="1"/>
  <c r="L44" i="1"/>
  <c r="L771" i="1"/>
  <c r="L448" i="1"/>
  <c r="L970" i="1"/>
  <c r="L495" i="1"/>
  <c r="L59" i="1"/>
  <c r="L526" i="1"/>
  <c r="L570" i="1"/>
  <c r="L383" i="1"/>
  <c r="L228" i="1"/>
  <c r="L843" i="1"/>
  <c r="L626" i="1"/>
  <c r="L84" i="1"/>
  <c r="L538" i="1"/>
  <c r="L422" i="1"/>
  <c r="L666" i="1"/>
  <c r="L352" i="1"/>
  <c r="L249" i="1"/>
  <c r="L870" i="1"/>
  <c r="L417" i="1"/>
  <c r="L83" i="1"/>
  <c r="L164" i="1"/>
  <c r="L400" i="1"/>
  <c r="L425" i="1"/>
  <c r="L120" i="1"/>
  <c r="L820" i="1"/>
  <c r="L932" i="1"/>
  <c r="L798" i="1"/>
  <c r="L294" i="1"/>
  <c r="L407" i="1"/>
  <c r="L637" i="1"/>
  <c r="L423" i="1"/>
  <c r="L413" i="1"/>
  <c r="L662" i="1"/>
  <c r="L697" i="1"/>
  <c r="L995" i="1"/>
  <c r="L49" i="1"/>
  <c r="L205" i="1"/>
  <c r="L536" i="1"/>
  <c r="L592" i="1"/>
  <c r="L390" i="1"/>
  <c r="L751" i="1"/>
  <c r="L552" i="1"/>
  <c r="L945" i="1"/>
  <c r="L454" i="1"/>
  <c r="L560" i="1"/>
  <c r="L953" i="1"/>
  <c r="L269" i="1"/>
  <c r="L401" i="1"/>
  <c r="L565" i="1"/>
  <c r="L214" i="1"/>
  <c r="L856" i="1"/>
  <c r="L661" i="1"/>
  <c r="L455" i="1"/>
  <c r="L605" i="1"/>
  <c r="L278" i="1"/>
  <c r="L421" i="1"/>
  <c r="L451" i="1"/>
  <c r="L461" i="1"/>
  <c r="L195" i="1"/>
  <c r="L881" i="1"/>
  <c r="L36" i="1"/>
  <c r="L640" i="1"/>
  <c r="L440" i="1"/>
  <c r="L288" i="1"/>
  <c r="L561" i="1"/>
  <c r="L387" i="1"/>
  <c r="L257" i="1"/>
  <c r="L544" i="1"/>
  <c r="L129" i="1"/>
  <c r="L527" i="1"/>
  <c r="L504" i="1"/>
  <c r="L618" i="1"/>
  <c r="L569" i="1"/>
  <c r="L792" i="1"/>
  <c r="L807" i="1"/>
  <c r="L328" i="1"/>
  <c r="L323" i="1"/>
  <c r="L256" i="1"/>
  <c r="L655" i="1"/>
  <c r="L772" i="1"/>
  <c r="L478" i="1"/>
  <c r="L534" i="1"/>
  <c r="L191" i="1"/>
  <c r="L160" i="1"/>
  <c r="L959" i="1"/>
  <c r="L326" i="1"/>
  <c r="L449" i="1"/>
  <c r="L318" i="1"/>
  <c r="L540" i="1"/>
  <c r="L237" i="1"/>
  <c r="L577" i="1"/>
  <c r="L333" i="1"/>
  <c r="L24" i="1"/>
  <c r="L181" i="1"/>
  <c r="L872" i="1"/>
  <c r="L760" i="1"/>
  <c r="L656" i="1"/>
  <c r="L46" i="1"/>
  <c r="L33" i="1"/>
  <c r="L764" i="1"/>
  <c r="L304" i="1"/>
  <c r="L319" i="1"/>
  <c r="L573" i="1"/>
  <c r="L299" i="1"/>
  <c r="L170" i="1"/>
  <c r="L7" i="1"/>
  <c r="L631" i="1"/>
  <c r="L52" i="1"/>
  <c r="L522" i="1"/>
  <c r="L741" i="1"/>
  <c r="L477" i="1"/>
  <c r="L438" i="1"/>
  <c r="L123" i="1"/>
  <c r="L268" i="1"/>
  <c r="L374" i="1"/>
  <c r="L773" i="1"/>
  <c r="L530" i="1"/>
  <c r="L806" i="1"/>
  <c r="L467" i="1"/>
  <c r="L154" i="1"/>
  <c r="L382" i="1"/>
  <c r="L800" i="1"/>
  <c r="L204" i="1"/>
  <c r="L432" i="1"/>
  <c r="L121" i="1"/>
  <c r="L547" i="1"/>
  <c r="L148" i="1"/>
  <c r="L718" i="1"/>
  <c r="L468" i="1"/>
  <c r="L412" i="1"/>
  <c r="L453" i="1"/>
  <c r="L135" i="1"/>
  <c r="L899" i="1"/>
  <c r="L112" i="1"/>
  <c r="L521" i="1"/>
  <c r="L975" i="1"/>
  <c r="L982" i="1"/>
  <c r="L860" i="1"/>
  <c r="L9" i="1"/>
  <c r="L622" i="1"/>
  <c r="L915" i="1"/>
  <c r="L977" i="1"/>
  <c r="L727" i="1"/>
  <c r="L419" i="1"/>
  <c r="L403" i="1"/>
  <c r="L281" i="1"/>
  <c r="L15" i="1"/>
  <c r="L291" i="1"/>
  <c r="L124" i="1"/>
  <c r="L985" i="1"/>
  <c r="L752" i="1"/>
  <c r="L919" i="1"/>
  <c r="L377" i="1"/>
  <c r="L476" i="1"/>
  <c r="L900" i="1"/>
  <c r="L797" i="1"/>
  <c r="L588" i="1"/>
  <c r="L787" i="1"/>
  <c r="L72" i="1"/>
  <c r="L491" i="1"/>
  <c r="L107" i="1"/>
  <c r="L484" i="1"/>
  <c r="L429" i="1"/>
  <c r="L418" i="1"/>
  <c r="L349" i="1"/>
  <c r="L22" i="1"/>
  <c r="L621" i="1"/>
  <c r="L754" i="1"/>
  <c r="L236" i="1"/>
  <c r="L241" i="1"/>
  <c r="L668" i="1"/>
  <c r="L828" i="1"/>
  <c r="L276" i="1"/>
  <c r="L230" i="1"/>
  <c r="L858" i="1"/>
  <c r="L102" i="1"/>
  <c r="L371" i="1"/>
  <c r="L678" i="1"/>
  <c r="L834" i="1"/>
  <c r="L805" i="1"/>
  <c r="L869" i="1"/>
  <c r="L364" i="1"/>
  <c r="L614" i="1"/>
  <c r="L891" i="1"/>
  <c r="L632" i="1"/>
  <c r="L13" i="1"/>
  <c r="L630" i="1"/>
  <c r="L922" i="1"/>
  <c r="L550" i="1"/>
  <c r="L942" i="1"/>
  <c r="L611" i="1"/>
  <c r="L169" i="1"/>
  <c r="L755" i="1"/>
  <c r="L232" i="1"/>
  <c r="L610" i="1"/>
  <c r="L735" i="1"/>
  <c r="L42" i="1"/>
  <c r="L255" i="1"/>
  <c r="L992" i="1"/>
  <c r="L759" i="1"/>
  <c r="L865" i="1"/>
  <c r="L979" i="1"/>
  <c r="L219" i="1"/>
  <c r="L559" i="1"/>
  <c r="L179" i="1"/>
  <c r="L485" i="1"/>
  <c r="L789" i="1"/>
  <c r="L853" i="1"/>
  <c r="L963" i="1"/>
  <c r="L199" i="1"/>
  <c r="L20" i="1"/>
  <c r="L499" i="1"/>
  <c r="L782" i="1"/>
  <c r="L591" i="1"/>
  <c r="L274" i="1"/>
  <c r="L190" i="1"/>
  <c r="L344" i="1"/>
  <c r="L636" i="1"/>
  <c r="L581" i="1"/>
  <c r="L969" i="1"/>
  <c r="L947" i="1"/>
  <c r="L501" i="1"/>
  <c r="L25" i="1"/>
  <c r="L474" i="1"/>
  <c r="L844" i="1"/>
  <c r="L740" i="1"/>
  <c r="L171" i="1"/>
  <c r="L314" i="1"/>
  <c r="L14" i="1"/>
  <c r="L399" i="1"/>
  <c r="L629" i="1"/>
  <c r="L699" i="1"/>
  <c r="L719" i="1"/>
  <c r="L788" i="1"/>
  <c r="L693" i="1"/>
  <c r="L855" i="1"/>
  <c r="L795" i="1"/>
  <c r="L863" i="1"/>
  <c r="L125" i="1"/>
  <c r="L61" i="1"/>
  <c r="L134" i="1"/>
  <c r="L203" i="1"/>
  <c r="L126" i="1"/>
  <c r="L994" i="1"/>
  <c r="L265" i="1"/>
  <c r="L575" i="1"/>
  <c r="L391" i="1"/>
  <c r="L220" i="1"/>
  <c r="L375" i="1"/>
  <c r="L356" i="1"/>
  <c r="L551" i="1"/>
  <c r="L37" i="1"/>
  <c r="L700" i="1"/>
  <c r="L343" i="1"/>
  <c r="L731" i="1"/>
  <c r="L715" i="1"/>
  <c r="L266" i="1"/>
  <c r="L396" i="1"/>
  <c r="L594" i="1"/>
  <c r="L877" i="1"/>
  <c r="L55" i="1"/>
  <c r="L816" i="1"/>
  <c r="L989" i="1"/>
  <c r="L917" i="1"/>
  <c r="L996" i="1"/>
  <c r="L887" i="1"/>
  <c r="L369" i="1"/>
  <c r="L650" i="1"/>
  <c r="L65" i="1"/>
  <c r="L557" i="1"/>
  <c r="L272" i="1"/>
  <c r="L659" i="1"/>
  <c r="L761" i="1"/>
  <c r="L27" i="1"/>
  <c r="L487" i="1"/>
  <c r="L779" i="1"/>
  <c r="L151" i="1"/>
  <c r="L224" i="1"/>
  <c r="L67" i="1"/>
  <c r="L292" i="1"/>
  <c r="L859" i="1"/>
  <c r="L822" i="1"/>
  <c r="L57" i="1"/>
  <c r="L348" i="1"/>
  <c r="L757" i="1"/>
  <c r="L587" i="1"/>
  <c r="L825" i="1"/>
  <c r="L6" i="1"/>
  <c r="L826" i="1"/>
  <c r="L29" i="1"/>
  <c r="L95" i="1"/>
  <c r="L896" i="1"/>
  <c r="L783" i="1"/>
  <c r="L64" i="1"/>
  <c r="L613" i="1"/>
  <c r="L925" i="1"/>
  <c r="L639" i="1"/>
  <c r="L298" i="1"/>
  <c r="L968" i="1"/>
  <c r="L593" i="1"/>
  <c r="L180" i="1"/>
  <c r="L101" i="1"/>
  <c r="L815" i="1"/>
  <c r="L954" i="1"/>
  <c r="L563" i="1"/>
  <c r="L902" i="1"/>
  <c r="L596" i="1"/>
  <c r="L729" i="1"/>
  <c r="L378" i="1"/>
  <c r="L785" i="1"/>
  <c r="L841" i="1"/>
  <c r="L904" i="1"/>
  <c r="L26" i="1"/>
  <c r="L486" i="1"/>
  <c r="L275" i="1"/>
  <c r="L548" i="1"/>
  <c r="L89" i="1"/>
  <c r="L385" i="1"/>
  <c r="L965" i="1"/>
  <c r="L991" i="1"/>
  <c r="L373" i="1"/>
  <c r="L674" i="1"/>
  <c r="L404" i="1"/>
  <c r="L30" i="1"/>
  <c r="L19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<sst xmlns="http://schemas.openxmlformats.org/spreadsheetml/2006/main" count="17364" uniqueCount="2119">
  <si>
    <t xml:space="preserve">                                                                                                    Consumer Behavior Analysis Dashboard</t>
  </si>
  <si>
    <t>Avg purchase amount</t>
  </si>
  <si>
    <t>Total sales in USD</t>
  </si>
  <si>
    <t>Median monthly orders per customer</t>
  </si>
  <si>
    <t>Average brand loyalty score (1-5 scale)</t>
  </si>
  <si>
    <t>Average product rating score (1-5 scale)</t>
  </si>
  <si>
    <t>Average time taken to convert (in days)</t>
  </si>
  <si>
    <t>Total number of returned products</t>
  </si>
  <si>
    <t>Average customer satisfaction score (1-10 scale)</t>
  </si>
  <si>
    <t>Total number of customers</t>
  </si>
  <si>
    <t xml:space="preserve">       General Customer Segmentation</t>
  </si>
  <si>
    <t xml:space="preserve">         High-value Customer Segmentation</t>
  </si>
  <si>
    <t xml:space="preserve">       Time-Series Analysis</t>
  </si>
  <si>
    <t xml:space="preserve">       Behavioral Analysis</t>
  </si>
  <si>
    <t xml:space="preserve">        Sales Analysis</t>
  </si>
  <si>
    <t>Customer_ID</t>
  </si>
  <si>
    <t>Age</t>
  </si>
  <si>
    <t>Age_Group</t>
  </si>
  <si>
    <t>Gender</t>
  </si>
  <si>
    <t>Income_Level</t>
  </si>
  <si>
    <t>Marital_Status</t>
  </si>
  <si>
    <t>Education_Level</t>
  </si>
  <si>
    <t>Location</t>
  </si>
  <si>
    <t>Purchase_Category</t>
  </si>
  <si>
    <t>Purchase_Amount</t>
  </si>
  <si>
    <t>Frequency_of_Purchase</t>
  </si>
  <si>
    <t>High_Value_Customer</t>
  </si>
  <si>
    <t>Purchase_Channel</t>
  </si>
  <si>
    <t>Brand_Loyalty</t>
  </si>
  <si>
    <t>Product_Rating_Level</t>
  </si>
  <si>
    <t>Product_Rating</t>
  </si>
  <si>
    <t>Time_Spent_on_Product_Research(hours)</t>
  </si>
  <si>
    <t>Social_Media_Influence</t>
  </si>
  <si>
    <t>Discount_Sensitivity</t>
  </si>
  <si>
    <t>Number_of_returned_products</t>
  </si>
  <si>
    <t>Cx_Satisfaction_Level</t>
  </si>
  <si>
    <t>Customer_Satisfaction</t>
  </si>
  <si>
    <t>Engagement_with_Ads</t>
  </si>
  <si>
    <t>Device_Used_for_Shopping</t>
  </si>
  <si>
    <t>Payment_Method</t>
  </si>
  <si>
    <t>Time_of_Purchase</t>
  </si>
  <si>
    <t>Season</t>
  </si>
  <si>
    <t>Month</t>
  </si>
  <si>
    <t>Weekday</t>
  </si>
  <si>
    <t>Discount_Used</t>
  </si>
  <si>
    <t>Customer_Loyalty_Program_Member</t>
  </si>
  <si>
    <t>Purchase_Intent</t>
  </si>
  <si>
    <t>Shipping_Preference</t>
  </si>
  <si>
    <t>Time_to_Decision</t>
  </si>
  <si>
    <t>63-217-7638</t>
  </si>
  <si>
    <t>Non-binary</t>
  </si>
  <si>
    <t>Middle</t>
  </si>
  <si>
    <t>Single</t>
  </si>
  <si>
    <t>Bachelor's</t>
  </si>
  <si>
    <t>Colima</t>
  </si>
  <si>
    <t>Arts &amp; Crafts</t>
  </si>
  <si>
    <t>Online</t>
  </si>
  <si>
    <t>None</t>
  </si>
  <si>
    <t>Not Sensitive</t>
  </si>
  <si>
    <t>Low</t>
  </si>
  <si>
    <t>Smartphone</t>
  </si>
  <si>
    <t>Cash</t>
  </si>
  <si>
    <t>True</t>
  </si>
  <si>
    <t>Need-based</t>
  </si>
  <si>
    <t>Standard</t>
  </si>
  <si>
    <t>64-090-3433</t>
  </si>
  <si>
    <t>Male</t>
  </si>
  <si>
    <t>Married</t>
  </si>
  <si>
    <t>Master's</t>
  </si>
  <si>
    <t>Bollène</t>
  </si>
  <si>
    <t>Sports &amp; Outdoors</t>
  </si>
  <si>
    <t>In-Store</t>
  </si>
  <si>
    <t>High</t>
  </si>
  <si>
    <t>Very Sensitive</t>
  </si>
  <si>
    <t>Tablet</t>
  </si>
  <si>
    <t>Debit Card</t>
  </si>
  <si>
    <t>False</t>
  </si>
  <si>
    <t>82-389-2029</t>
  </si>
  <si>
    <t>Female</t>
  </si>
  <si>
    <t>Widowed</t>
  </si>
  <si>
    <t>High School</t>
  </si>
  <si>
    <t>Sarishābāri</t>
  </si>
  <si>
    <t>Gardening &amp; Outdoors</t>
  </si>
  <si>
    <t>Mixed</t>
  </si>
  <si>
    <t>Somewhat Sensitive</t>
  </si>
  <si>
    <t>Medium</t>
  </si>
  <si>
    <t>PayPal</t>
  </si>
  <si>
    <t>Planned</t>
  </si>
  <si>
    <t>No Preference</t>
  </si>
  <si>
    <t>34-874-7357</t>
  </si>
  <si>
    <t>Fort Wayne</t>
  </si>
  <si>
    <t>Beauty &amp; Personal Care</t>
  </si>
  <si>
    <t>Impulsive</t>
  </si>
  <si>
    <t>Express</t>
  </si>
  <si>
    <t>14-025-2335</t>
  </si>
  <si>
    <t>Divorced</t>
  </si>
  <si>
    <t>Barg-e Matāl</t>
  </si>
  <si>
    <t>Luxury Goods &amp; Accessories</t>
  </si>
  <si>
    <t>38-587-1781</t>
  </si>
  <si>
    <t>Gueset</t>
  </si>
  <si>
    <t>Health Care</t>
  </si>
  <si>
    <t>Desktop</t>
  </si>
  <si>
    <t>Wants-based</t>
  </si>
  <si>
    <t>29-779-3457</t>
  </si>
  <si>
    <t>Huangni</t>
  </si>
  <si>
    <t>Office Supplies</t>
  </si>
  <si>
    <t>34-016-7909</t>
  </si>
  <si>
    <t>Osorno</t>
  </si>
  <si>
    <t>80-277-3242</t>
  </si>
  <si>
    <t>Montreuil</t>
  </si>
  <si>
    <t>Travel &amp; Leisure</t>
  </si>
  <si>
    <t>Other</t>
  </si>
  <si>
    <t>79-052-8470</t>
  </si>
  <si>
    <t>Ţawr al Bāḩah</t>
  </si>
  <si>
    <t>52-491-3386</t>
  </si>
  <si>
    <t>Kamiennik</t>
  </si>
  <si>
    <t>20-648-1010</t>
  </si>
  <si>
    <t>Zilang</t>
  </si>
  <si>
    <t>Home Appliances</t>
  </si>
  <si>
    <t>Credit Card</t>
  </si>
  <si>
    <t>22-579-3978</t>
  </si>
  <si>
    <t>Arendal</t>
  </si>
  <si>
    <t>Clothing</t>
  </si>
  <si>
    <t>82-975-8569</t>
  </si>
  <si>
    <t>Paris 15</t>
  </si>
  <si>
    <t>41-602-4042</t>
  </si>
  <si>
    <t>Oslo</t>
  </si>
  <si>
    <t>63-743-6962</t>
  </si>
  <si>
    <t>Tanushimarumachi-toyoki</t>
  </si>
  <si>
    <t>13-848-5757</t>
  </si>
  <si>
    <t>Longotea</t>
  </si>
  <si>
    <t>94-212-7169</t>
  </si>
  <si>
    <t>Yonghe</t>
  </si>
  <si>
    <t>Food &amp; Beverages</t>
  </si>
  <si>
    <t>71-959-3896</t>
  </si>
  <si>
    <t>Cipari</t>
  </si>
  <si>
    <t>05-167-0833</t>
  </si>
  <si>
    <t>Labège</t>
  </si>
  <si>
    <t>49-469-9163</t>
  </si>
  <si>
    <t>Desakolot</t>
  </si>
  <si>
    <t>22-022-9256</t>
  </si>
  <si>
    <t>Fenglu</t>
  </si>
  <si>
    <t>41-009-7879</t>
  </si>
  <si>
    <t>Anyang</t>
  </si>
  <si>
    <t>46-978-3874</t>
  </si>
  <si>
    <t>Rio Pardo</t>
  </si>
  <si>
    <t>Groceries</t>
  </si>
  <si>
    <t>25-502-1415</t>
  </si>
  <si>
    <t>Longhuashan</t>
  </si>
  <si>
    <t>02-100-4320</t>
  </si>
  <si>
    <t>Majennang</t>
  </si>
  <si>
    <t>Baby Products</t>
  </si>
  <si>
    <t>94-985-5336</t>
  </si>
  <si>
    <t>Gävle</t>
  </si>
  <si>
    <t>20-157-8631</t>
  </si>
  <si>
    <t>Rat Burana</t>
  </si>
  <si>
    <t>Electronics</t>
  </si>
  <si>
    <t>79-939-2140</t>
  </si>
  <si>
    <t>Yishui</t>
  </si>
  <si>
    <t>07-395-5818</t>
  </si>
  <si>
    <t>Agender</t>
  </si>
  <si>
    <t>Ḩabābah</t>
  </si>
  <si>
    <t>83-561-3374</t>
  </si>
  <si>
    <t>Santa Maria do Souto</t>
  </si>
  <si>
    <t>Software &amp; Apps</t>
  </si>
  <si>
    <t>87-806-4478</t>
  </si>
  <si>
    <t>Al Jīzah</t>
  </si>
  <si>
    <t>96-496-9833</t>
  </si>
  <si>
    <t>Lañgub</t>
  </si>
  <si>
    <t>Packages</t>
  </si>
  <si>
    <t>90-822-7664</t>
  </si>
  <si>
    <t>San Carlos</t>
  </si>
  <si>
    <t>Animal Feed</t>
  </si>
  <si>
    <t>39-075-3518</t>
  </si>
  <si>
    <t>Jaguaruana</t>
  </si>
  <si>
    <t>64-799-3174</t>
  </si>
  <si>
    <t>Buzen</t>
  </si>
  <si>
    <t>77-401-8183</t>
  </si>
  <si>
    <t>Phúc Thọ</t>
  </si>
  <si>
    <t>59-080-5779</t>
  </si>
  <si>
    <t>Shu</t>
  </si>
  <si>
    <t>08-297-3351</t>
  </si>
  <si>
    <t>Thị Trấn Than Uyên</t>
  </si>
  <si>
    <t>95-675-7816</t>
  </si>
  <si>
    <t>Noisy-le-Grand</t>
  </si>
  <si>
    <t>31-364-4144</t>
  </si>
  <si>
    <t>Kostrovo</t>
  </si>
  <si>
    <t>74-033-1145</t>
  </si>
  <si>
    <t>Polygender</t>
  </si>
  <si>
    <t>Mranggen</t>
  </si>
  <si>
    <t>60-005-5187</t>
  </si>
  <si>
    <t>Bailadores</t>
  </si>
  <si>
    <t>91-558-5922</t>
  </si>
  <si>
    <t>Saint-Brieuc</t>
  </si>
  <si>
    <t>Toys &amp; Games</t>
  </si>
  <si>
    <t>03-991-2098</t>
  </si>
  <si>
    <t>Bor</t>
  </si>
  <si>
    <t>38-069-8615</t>
  </si>
  <si>
    <t>Takāb</t>
  </si>
  <si>
    <t>15-663-7994</t>
  </si>
  <si>
    <t>Tanahmerah</t>
  </si>
  <si>
    <t>23-617-2637</t>
  </si>
  <si>
    <t>Hekou</t>
  </si>
  <si>
    <t>75-526-2611</t>
  </si>
  <si>
    <t>Yamaga</t>
  </si>
  <si>
    <t>08-185-6608</t>
  </si>
  <si>
    <t>Podbrdo</t>
  </si>
  <si>
    <t>99-316-9993</t>
  </si>
  <si>
    <t>Staritsa</t>
  </si>
  <si>
    <t>10-232-0685</t>
  </si>
  <si>
    <t>Yangping</t>
  </si>
  <si>
    <t>73-707-2809</t>
  </si>
  <si>
    <t>Hacienda La Calera</t>
  </si>
  <si>
    <t>94-969-6819</t>
  </si>
  <si>
    <t>Gustavsberg</t>
  </si>
  <si>
    <t>35-850-8676</t>
  </si>
  <si>
    <t>Sishilichengzi</t>
  </si>
  <si>
    <t>75-617-1460</t>
  </si>
  <si>
    <t>Wiwilí</t>
  </si>
  <si>
    <t>31-491-8457</t>
  </si>
  <si>
    <t>Tipaz</t>
  </si>
  <si>
    <t>46-452-3822</t>
  </si>
  <si>
    <t>Genting</t>
  </si>
  <si>
    <t>Furniture</t>
  </si>
  <si>
    <t>64-846-7450</t>
  </si>
  <si>
    <t>Genderqueer</t>
  </si>
  <si>
    <t>Shazi</t>
  </si>
  <si>
    <t>66-949-9895</t>
  </si>
  <si>
    <t>Vendargues</t>
  </si>
  <si>
    <t>90-888-8726</t>
  </si>
  <si>
    <t>Saint-Jouan-des-Guérets</t>
  </si>
  <si>
    <t>28-225-4286</t>
  </si>
  <si>
    <t>Genderfluid</t>
  </si>
  <si>
    <t>Paris 06</t>
  </si>
  <si>
    <t>Mobile Accessories</t>
  </si>
  <si>
    <t>40-450-4266</t>
  </si>
  <si>
    <t>Sala</t>
  </si>
  <si>
    <t>32-414-1466</t>
  </si>
  <si>
    <t>Hallsberg</t>
  </si>
  <si>
    <t>67-697-2331</t>
  </si>
  <si>
    <t>Tanudan</t>
  </si>
  <si>
    <t>34-375-8138</t>
  </si>
  <si>
    <t>Zbraslavice</t>
  </si>
  <si>
    <t>80-728-6133</t>
  </si>
  <si>
    <t>Tamorot</t>
  </si>
  <si>
    <t>83-427-3218</t>
  </si>
  <si>
    <t>White River</t>
  </si>
  <si>
    <t>86-749-6914</t>
  </si>
  <si>
    <t>San José Acatempa</t>
  </si>
  <si>
    <t>39-867-1989</t>
  </si>
  <si>
    <t>Gaopeng</t>
  </si>
  <si>
    <t>28-123-8406</t>
  </si>
  <si>
    <t>Shimen</t>
  </si>
  <si>
    <t>37-468-8133</t>
  </si>
  <si>
    <t>Cimara</t>
  </si>
  <si>
    <t>04-213-4617</t>
  </si>
  <si>
    <t>Xibër-Murrizë</t>
  </si>
  <si>
    <t>91-170-9072</t>
  </si>
  <si>
    <t>Nara</t>
  </si>
  <si>
    <t>49-476-1729</t>
  </si>
  <si>
    <t>Skórzec</t>
  </si>
  <si>
    <t>14-854-9545</t>
  </si>
  <si>
    <t>Karabash</t>
  </si>
  <si>
    <t>53-639-3774</t>
  </si>
  <si>
    <t>Qinghaihu</t>
  </si>
  <si>
    <t>23-985-3535</t>
  </si>
  <si>
    <t>Monrovia</t>
  </si>
  <si>
    <t>39-952-4459</t>
  </si>
  <si>
    <t>Tessalit</t>
  </si>
  <si>
    <t>35-418-0288</t>
  </si>
  <si>
    <t>Spasskoye</t>
  </si>
  <si>
    <t>82-133-0444</t>
  </si>
  <si>
    <t>Hägersten</t>
  </si>
  <si>
    <t>23-758-1012</t>
  </si>
  <si>
    <t>Myingyan</t>
  </si>
  <si>
    <t>Books</t>
  </si>
  <si>
    <t>37-513-5073</t>
  </si>
  <si>
    <t>Mizque</t>
  </si>
  <si>
    <t>65-036-2410</t>
  </si>
  <si>
    <t>Paris 09</t>
  </si>
  <si>
    <t>00-149-4481</t>
  </si>
  <si>
    <t>Kabale</t>
  </si>
  <si>
    <t>47-356-9730</t>
  </si>
  <si>
    <t>Seleuš</t>
  </si>
  <si>
    <t>66-085-1226</t>
  </si>
  <si>
    <t>San Pascual</t>
  </si>
  <si>
    <t>73-367-8478</t>
  </si>
  <si>
    <t>Giesteira</t>
  </si>
  <si>
    <t>92-946-7398</t>
  </si>
  <si>
    <t>Vilar</t>
  </si>
  <si>
    <t>33-200-7615</t>
  </si>
  <si>
    <t>Jiangmen</t>
  </si>
  <si>
    <t>12-699-6543</t>
  </si>
  <si>
    <t>Celso Ramos</t>
  </si>
  <si>
    <t>57-797-8139</t>
  </si>
  <si>
    <t>Sakété</t>
  </si>
  <si>
    <t>84-765-0748</t>
  </si>
  <si>
    <t>Hoolt</t>
  </si>
  <si>
    <t>26-235-6745</t>
  </si>
  <si>
    <t>Kyoto</t>
  </si>
  <si>
    <t>39-107-6852</t>
  </si>
  <si>
    <t>Xinglongchang</t>
  </si>
  <si>
    <t>01-484-8220</t>
  </si>
  <si>
    <t>Vsevolozhsk</t>
  </si>
  <si>
    <t>89-194-0596</t>
  </si>
  <si>
    <t>Marseille</t>
  </si>
  <si>
    <t>07-958-2231</t>
  </si>
  <si>
    <t>Tigaherang</t>
  </si>
  <si>
    <t>64-120-6212</t>
  </si>
  <si>
    <t>Fubin</t>
  </si>
  <si>
    <t>14-249-1256</t>
  </si>
  <si>
    <t>Marolambo</t>
  </si>
  <si>
    <t>98-585-4742</t>
  </si>
  <si>
    <t>Ágios Andréas</t>
  </si>
  <si>
    <t>04-563-9091</t>
  </si>
  <si>
    <t>Puqian</t>
  </si>
  <si>
    <t>67-438-2378</t>
  </si>
  <si>
    <t>Honolulu</t>
  </si>
  <si>
    <t>81-014-4502</t>
  </si>
  <si>
    <t>Kelīshād va Sūdarjān</t>
  </si>
  <si>
    <t>21-808-2293</t>
  </si>
  <si>
    <t>Sukumo</t>
  </si>
  <si>
    <t>76-848-9229</t>
  </si>
  <si>
    <t>Saint-Gratien</t>
  </si>
  <si>
    <t>14-118-5229</t>
  </si>
  <si>
    <t>Dayr Sharaf</t>
  </si>
  <si>
    <t>74-051-7865</t>
  </si>
  <si>
    <t>Deqing</t>
  </si>
  <si>
    <t>65-359-4645</t>
  </si>
  <si>
    <t>Xieba</t>
  </si>
  <si>
    <t>27-619-9264</t>
  </si>
  <si>
    <t>Göteborg</t>
  </si>
  <si>
    <t>56-782-9001</t>
  </si>
  <si>
    <t>Cawayan</t>
  </si>
  <si>
    <t>93-649-9356</t>
  </si>
  <si>
    <t>Cibuah</t>
  </si>
  <si>
    <t>27-347-7437</t>
  </si>
  <si>
    <t>Mineiros</t>
  </si>
  <si>
    <t>06-237-7338</t>
  </si>
  <si>
    <t>Dhahab</t>
  </si>
  <si>
    <t>92-142-9480</t>
  </si>
  <si>
    <t>Aubergenville</t>
  </si>
  <si>
    <t>95-528-2313</t>
  </si>
  <si>
    <t>Gudja</t>
  </si>
  <si>
    <t>78-826-3039</t>
  </si>
  <si>
    <t>Vidual</t>
  </si>
  <si>
    <t>79-861-6506</t>
  </si>
  <si>
    <t>Baturité</t>
  </si>
  <si>
    <t>36-214-1586</t>
  </si>
  <si>
    <t>Halinów</t>
  </si>
  <si>
    <t>81-054-5343</t>
  </si>
  <si>
    <t>Lianghu</t>
  </si>
  <si>
    <t>21-313-7424</t>
  </si>
  <si>
    <t>Zduńska Wola</t>
  </si>
  <si>
    <t>88-313-2633</t>
  </si>
  <si>
    <t>Itsandzéni</t>
  </si>
  <si>
    <t>71-975-9564</t>
  </si>
  <si>
    <t>Klonowa</t>
  </si>
  <si>
    <t>91-570-2695</t>
  </si>
  <si>
    <t>Ţahţā</t>
  </si>
  <si>
    <t>14-709-8547</t>
  </si>
  <si>
    <t>Lahan Sai</t>
  </si>
  <si>
    <t>64-166-9097</t>
  </si>
  <si>
    <t>Fullerton</t>
  </si>
  <si>
    <t>96-764-3843</t>
  </si>
  <si>
    <t>Yongfu</t>
  </si>
  <si>
    <t>82-572-9091</t>
  </si>
  <si>
    <t>Mrągowo</t>
  </si>
  <si>
    <t>33-264-2822</t>
  </si>
  <si>
    <t>Lugo</t>
  </si>
  <si>
    <t>50-000-9588</t>
  </si>
  <si>
    <t>Zhovkva</t>
  </si>
  <si>
    <t>74-478-5950</t>
  </si>
  <si>
    <t>Luxi</t>
  </si>
  <si>
    <t>49-825-3438</t>
  </si>
  <si>
    <t>Vabalninkas</t>
  </si>
  <si>
    <t>87-518-0375</t>
  </si>
  <si>
    <t>Bistrinci</t>
  </si>
  <si>
    <t>86-359-7320</t>
  </si>
  <si>
    <t>Phu Loc</t>
  </si>
  <si>
    <t>08-584-8296</t>
  </si>
  <si>
    <t>Shaxi</t>
  </si>
  <si>
    <t>28-676-0614</t>
  </si>
  <si>
    <t>La Ravoire</t>
  </si>
  <si>
    <t>17-246-6194</t>
  </si>
  <si>
    <t>Dabai</t>
  </si>
  <si>
    <t>97-738-8095</t>
  </si>
  <si>
    <t>Lonpao Dajah</t>
  </si>
  <si>
    <t>34-237-3943</t>
  </si>
  <si>
    <t>Fangshan</t>
  </si>
  <si>
    <t>51-302-9537</t>
  </si>
  <si>
    <t>Cibeusi</t>
  </si>
  <si>
    <t>80-487-2550</t>
  </si>
  <si>
    <t>Novokayakent</t>
  </si>
  <si>
    <t>37-037-1765</t>
  </si>
  <si>
    <t>‘Aşīrah ash Shamālīyah</t>
  </si>
  <si>
    <t>42-969-0735</t>
  </si>
  <si>
    <t>Jiuxian</t>
  </si>
  <si>
    <t>37-611-6911</t>
  </si>
  <si>
    <t>Évry</t>
  </si>
  <si>
    <t>77-031-4898</t>
  </si>
  <si>
    <t>Tancheng</t>
  </si>
  <si>
    <t>92-142-4328</t>
  </si>
  <si>
    <t>43-172-9431</t>
  </si>
  <si>
    <t>Lameira</t>
  </si>
  <si>
    <t>30-735-8744</t>
  </si>
  <si>
    <t>Nawu</t>
  </si>
  <si>
    <t>07-966-8728</t>
  </si>
  <si>
    <t>Franceville</t>
  </si>
  <si>
    <t>80-830-3184</t>
  </si>
  <si>
    <t>Lyon</t>
  </si>
  <si>
    <t>38-242-3251</t>
  </si>
  <si>
    <t>Majdal Banī Fāḑil</t>
  </si>
  <si>
    <t>80-607-9947</t>
  </si>
  <si>
    <t>Krajan Kidul Rojopolo</t>
  </si>
  <si>
    <t>45-776-7217</t>
  </si>
  <si>
    <t>Binagadi</t>
  </si>
  <si>
    <t>79-884-5600</t>
  </si>
  <si>
    <t>Goiatuba</t>
  </si>
  <si>
    <t>60-073-3575</t>
  </si>
  <si>
    <t>Ełk</t>
  </si>
  <si>
    <t>64-915-2968</t>
  </si>
  <si>
    <t>Týn nad Vltavou</t>
  </si>
  <si>
    <t>82-671-7236</t>
  </si>
  <si>
    <t>Ābdānān</t>
  </si>
  <si>
    <t>45-584-7333</t>
  </si>
  <si>
    <t>Tabonok</t>
  </si>
  <si>
    <t>35-644-3184</t>
  </si>
  <si>
    <t>Těšany</t>
  </si>
  <si>
    <t>35-198-9248</t>
  </si>
  <si>
    <t>Rzewnie</t>
  </si>
  <si>
    <t>05-546-5128</t>
  </si>
  <si>
    <t>Clichy</t>
  </si>
  <si>
    <t>47-460-8015</t>
  </si>
  <si>
    <t>Yaizu</t>
  </si>
  <si>
    <t>55-570-3804</t>
  </si>
  <si>
    <t>Bom Despacho</t>
  </si>
  <si>
    <t>82-014-2564</t>
  </si>
  <si>
    <t>Yelyzavethradka</t>
  </si>
  <si>
    <t>99-771-9310</t>
  </si>
  <si>
    <t>Vitoria-Gasteiz</t>
  </si>
  <si>
    <t>86-257-9581</t>
  </si>
  <si>
    <t>Wādī as Salqā</t>
  </si>
  <si>
    <t>03-874-9055</t>
  </si>
  <si>
    <t>Amparo</t>
  </si>
  <si>
    <t>18-633-9387</t>
  </si>
  <si>
    <t>San Bautista</t>
  </si>
  <si>
    <t>54-238-5459</t>
  </si>
  <si>
    <t>Xinzhou</t>
  </si>
  <si>
    <t>37-283-9076</t>
  </si>
  <si>
    <t>Valbo</t>
  </si>
  <si>
    <t>07-560-6637</t>
  </si>
  <si>
    <t>Lobuk</t>
  </si>
  <si>
    <t>38-912-1128</t>
  </si>
  <si>
    <t>Béja</t>
  </si>
  <si>
    <t>07-024-4995</t>
  </si>
  <si>
    <t>Bigender</t>
  </si>
  <si>
    <t>Holboo</t>
  </si>
  <si>
    <t>77-241-7621</t>
  </si>
  <si>
    <t>Warudoyong</t>
  </si>
  <si>
    <t>34-265-8558</t>
  </si>
  <si>
    <t>Antipolo</t>
  </si>
  <si>
    <t>80-508-9866</t>
  </si>
  <si>
    <t>Estância</t>
  </si>
  <si>
    <t>96-121-0629</t>
  </si>
  <si>
    <t>Yanshang</t>
  </si>
  <si>
    <t>84-954-2973</t>
  </si>
  <si>
    <t>Proptisht</t>
  </si>
  <si>
    <t>84-260-6464</t>
  </si>
  <si>
    <t>Tabuc Pontevedra</t>
  </si>
  <si>
    <t>03-102-0288</t>
  </si>
  <si>
    <t>San Isidro</t>
  </si>
  <si>
    <t>53-042-5685</t>
  </si>
  <si>
    <t>Sula</t>
  </si>
  <si>
    <t>40-224-1057</t>
  </si>
  <si>
    <t>Sabugo</t>
  </si>
  <si>
    <t>10-870-3357</t>
  </si>
  <si>
    <t>Boundiali</t>
  </si>
  <si>
    <t>84-649-5117</t>
  </si>
  <si>
    <t>Huzhen</t>
  </si>
  <si>
    <t>90-144-9193</t>
  </si>
  <si>
    <t>Liren</t>
  </si>
  <si>
    <t>27-843-5553</t>
  </si>
  <si>
    <t>Tío Pujio</t>
  </si>
  <si>
    <t>64-490-6975</t>
  </si>
  <si>
    <t>Ahar</t>
  </si>
  <si>
    <t>88-661-4689</t>
  </si>
  <si>
    <t>Taocheng</t>
  </si>
  <si>
    <t>95-148-1769</t>
  </si>
  <si>
    <t>Linao</t>
  </si>
  <si>
    <t>22-039-6819</t>
  </si>
  <si>
    <t>Queluz</t>
  </si>
  <si>
    <t>63-631-8261</t>
  </si>
  <si>
    <t>Alung</t>
  </si>
  <si>
    <t>18-793-9543</t>
  </si>
  <si>
    <t>Montería</t>
  </si>
  <si>
    <t>05-857-1572</t>
  </si>
  <si>
    <t>Rakszawa</t>
  </si>
  <si>
    <t>56-072-7011</t>
  </si>
  <si>
    <t>Heemstede</t>
  </si>
  <si>
    <t>03-422-8710</t>
  </si>
  <si>
    <t>Yuanguping</t>
  </si>
  <si>
    <t>68-971-6148</t>
  </si>
  <si>
    <t>Palampal</t>
  </si>
  <si>
    <t>82-561-4233</t>
  </si>
  <si>
    <t>Boro Utara</t>
  </si>
  <si>
    <t>60-618-2561</t>
  </si>
  <si>
    <t>Pedra Azul</t>
  </si>
  <si>
    <t>31-284-5722</t>
  </si>
  <si>
    <t>Jianshan</t>
  </si>
  <si>
    <t>33-405-7978</t>
  </si>
  <si>
    <t>Sigli</t>
  </si>
  <si>
    <t>47-931-2642</t>
  </si>
  <si>
    <t>Belūsovka</t>
  </si>
  <si>
    <t>53-843-5619</t>
  </si>
  <si>
    <t>Orsay</t>
  </si>
  <si>
    <t>73-139-4306</t>
  </si>
  <si>
    <t>Puerto López</t>
  </si>
  <si>
    <t>53-143-6147</t>
  </si>
  <si>
    <t>Amsterdam Nieuw West</t>
  </si>
  <si>
    <t>35-880-9374</t>
  </si>
  <si>
    <t>Karengan</t>
  </si>
  <si>
    <t>68-201-1633</t>
  </si>
  <si>
    <t>Maño</t>
  </si>
  <si>
    <t>17-364-8685</t>
  </si>
  <si>
    <t>Ebebiyin</t>
  </si>
  <si>
    <t>30-083-9565</t>
  </si>
  <si>
    <t>Bokong Timur</t>
  </si>
  <si>
    <t>88-428-8409</t>
  </si>
  <si>
    <t>Ziniaré</t>
  </si>
  <si>
    <t>53-240-2040</t>
  </si>
  <si>
    <t>Itaguaí</t>
  </si>
  <si>
    <t>60-838-4334</t>
  </si>
  <si>
    <t>Hongshanzui</t>
  </si>
  <si>
    <t>87-290-8263</t>
  </si>
  <si>
    <t>Metchosin</t>
  </si>
  <si>
    <t>70-014-6406</t>
  </si>
  <si>
    <t>Kobe</t>
  </si>
  <si>
    <t>79-960-1714</t>
  </si>
  <si>
    <t>Nyköping</t>
  </si>
  <si>
    <t>62-687-5354</t>
  </si>
  <si>
    <t>Abaetetuba</t>
  </si>
  <si>
    <t>09-775-4058</t>
  </si>
  <si>
    <t>Perzów</t>
  </si>
  <si>
    <t>35-853-2222</t>
  </si>
  <si>
    <t>Valongo</t>
  </si>
  <si>
    <t>82-726-1255</t>
  </si>
  <si>
    <t>Xinjiang</t>
  </si>
  <si>
    <t>44-938-7475</t>
  </si>
  <si>
    <t>Tochio-honchō</t>
  </si>
  <si>
    <t>09-513-4923</t>
  </si>
  <si>
    <t>Kadugadung</t>
  </si>
  <si>
    <t>79-711-6779</t>
  </si>
  <si>
    <t>99-080-9462</t>
  </si>
  <si>
    <t>Saraburi</t>
  </si>
  <si>
    <t>41-366-4205</t>
  </si>
  <si>
    <t>Paquera</t>
  </si>
  <si>
    <t>84-637-9188</t>
  </si>
  <si>
    <t>Wuyang</t>
  </si>
  <si>
    <t>67-639-5838</t>
  </si>
  <si>
    <t>Shimorskoye</t>
  </si>
  <si>
    <t>19-311-9149</t>
  </si>
  <si>
    <t>Gereshk</t>
  </si>
  <si>
    <t>30-520-8656</t>
  </si>
  <si>
    <t>San Patricio</t>
  </si>
  <si>
    <t>94-495-3402</t>
  </si>
  <si>
    <t>Mojogajeh</t>
  </si>
  <si>
    <t>74-353-6312</t>
  </si>
  <si>
    <t>Pameungpeuk</t>
  </si>
  <si>
    <t>50-637-1630</t>
  </si>
  <si>
    <t>Inderka</t>
  </si>
  <si>
    <t>53-091-2176</t>
  </si>
  <si>
    <t>Béziers</t>
  </si>
  <si>
    <t>46-662-1571</t>
  </si>
  <si>
    <t>La Laja</t>
  </si>
  <si>
    <t>31-927-7787</t>
  </si>
  <si>
    <t>Esmeralda</t>
  </si>
  <si>
    <t>29-438-8126</t>
  </si>
  <si>
    <t>Pasirmadang</t>
  </si>
  <si>
    <t>05-710-6109</t>
  </si>
  <si>
    <t>Malveira</t>
  </si>
  <si>
    <t>61-286-0069</t>
  </si>
  <si>
    <t>Kosh-Agach</t>
  </si>
  <si>
    <t>84-934-2483</t>
  </si>
  <si>
    <t>Betong</t>
  </si>
  <si>
    <t>20-460-9796</t>
  </si>
  <si>
    <t>Liuzuo</t>
  </si>
  <si>
    <t>82-990-0504</t>
  </si>
  <si>
    <t>Pélla</t>
  </si>
  <si>
    <t>31-088-6950</t>
  </si>
  <si>
    <t>Hengshi</t>
  </si>
  <si>
    <t>83-003-2165</t>
  </si>
  <si>
    <t>Magdalena</t>
  </si>
  <si>
    <t>29-779-7209</t>
  </si>
  <si>
    <t>Pilaya</t>
  </si>
  <si>
    <t>11-975-9054</t>
  </si>
  <si>
    <t>Cunha</t>
  </si>
  <si>
    <t>55-620-7906</t>
  </si>
  <si>
    <t>Kiambu</t>
  </si>
  <si>
    <t>90-569-7391</t>
  </si>
  <si>
    <t>Skoútari</t>
  </si>
  <si>
    <t>22-352-0576</t>
  </si>
  <si>
    <t>Nabīnagar</t>
  </si>
  <si>
    <t>32-457-2982</t>
  </si>
  <si>
    <t>Proletarsk</t>
  </si>
  <si>
    <t>02-676-9312</t>
  </si>
  <si>
    <t>Araci</t>
  </si>
  <si>
    <t>53-380-3968</t>
  </si>
  <si>
    <t>Qingyun</t>
  </si>
  <si>
    <t>17-551-9779</t>
  </si>
  <si>
    <t>Marabahan</t>
  </si>
  <si>
    <t>52-908-9971</t>
  </si>
  <si>
    <t>Gulou</t>
  </si>
  <si>
    <t>79-592-5396</t>
  </si>
  <si>
    <t>Binalbagan</t>
  </si>
  <si>
    <t>64-769-5737</t>
  </si>
  <si>
    <t>Acheng</t>
  </si>
  <si>
    <t>30-975-0306</t>
  </si>
  <si>
    <t>Gaowu</t>
  </si>
  <si>
    <t>19-383-9741</t>
  </si>
  <si>
    <t>Zarechnyy</t>
  </si>
  <si>
    <t>67-599-9267</t>
  </si>
  <si>
    <t>Lomintsevskiy</t>
  </si>
  <si>
    <t>53-437-2629</t>
  </si>
  <si>
    <t>Chenguang</t>
  </si>
  <si>
    <t>31-218-0024</t>
  </si>
  <si>
    <t>Lewotola</t>
  </si>
  <si>
    <t>08-652-2085</t>
  </si>
  <si>
    <t>Postřekov</t>
  </si>
  <si>
    <t>97-463-0048</t>
  </si>
  <si>
    <t>Mangge</t>
  </si>
  <si>
    <t>01-925-4021</t>
  </si>
  <si>
    <t>Tambaksari</t>
  </si>
  <si>
    <t>23-794-8196</t>
  </si>
  <si>
    <t>Xinchengzi</t>
  </si>
  <si>
    <t>12-440-5464</t>
  </si>
  <si>
    <t>Ndungu</t>
  </si>
  <si>
    <t>66-557-1474</t>
  </si>
  <si>
    <t>Līkak</t>
  </si>
  <si>
    <t>47-720-9520</t>
  </si>
  <si>
    <t>Chełmiec</t>
  </si>
  <si>
    <t>85-467-6564</t>
  </si>
  <si>
    <t>San Nicolas</t>
  </si>
  <si>
    <t>72-728-4406</t>
  </si>
  <si>
    <t>Liutan</t>
  </si>
  <si>
    <t>34-094-1923</t>
  </si>
  <si>
    <t>San Ramon</t>
  </si>
  <si>
    <t>24-591-4327</t>
  </si>
  <si>
    <t>Nowe Brzesko</t>
  </si>
  <si>
    <t>58-233-5963</t>
  </si>
  <si>
    <t>Gualeguay</t>
  </si>
  <si>
    <t>63-964-6954</t>
  </si>
  <si>
    <t>Prince Albert</t>
  </si>
  <si>
    <t>19-560-0717</t>
  </si>
  <si>
    <t>Pombas</t>
  </si>
  <si>
    <t>74-281-3421</t>
  </si>
  <si>
    <t>Panyam</t>
  </si>
  <si>
    <t>53-013-1026</t>
  </si>
  <si>
    <t>Duyure</t>
  </si>
  <si>
    <t>06-647-3248</t>
  </si>
  <si>
    <t>Yuannan</t>
  </si>
  <si>
    <t>10-079-8237</t>
  </si>
  <si>
    <t>Hejiang</t>
  </si>
  <si>
    <t>56-592-0089</t>
  </si>
  <si>
    <t>Hengshui</t>
  </si>
  <si>
    <t>54-439-4748</t>
  </si>
  <si>
    <t>Borova</t>
  </si>
  <si>
    <t>55-279-3045</t>
  </si>
  <si>
    <t>Pasadena</t>
  </si>
  <si>
    <t>10-330-6387</t>
  </si>
  <si>
    <t>Yeniköy</t>
  </si>
  <si>
    <t>19-667-0201</t>
  </si>
  <si>
    <t>Ormstown</t>
  </si>
  <si>
    <t>22-483-3115</t>
  </si>
  <si>
    <t>Rukem</t>
  </si>
  <si>
    <t>86-044-1071</t>
  </si>
  <si>
    <t>Ngawi</t>
  </si>
  <si>
    <t>29-392-9296</t>
  </si>
  <si>
    <t>Huocheng</t>
  </si>
  <si>
    <t>30-038-8752</t>
  </si>
  <si>
    <t>Antrukan</t>
  </si>
  <si>
    <t>09-369-0588</t>
  </si>
  <si>
    <t>Dalumangcob</t>
  </si>
  <si>
    <t>53-459-7870</t>
  </si>
  <si>
    <t>Autun</t>
  </si>
  <si>
    <t>94-408-2581</t>
  </si>
  <si>
    <t>Bordeaux</t>
  </si>
  <si>
    <t>56-810-2066</t>
  </si>
  <si>
    <t>00-264-3797</t>
  </si>
  <si>
    <t>Chavarría</t>
  </si>
  <si>
    <t>24-662-2119</t>
  </si>
  <si>
    <t>Adani</t>
  </si>
  <si>
    <t>78-822-9328</t>
  </si>
  <si>
    <t>Bugarama</t>
  </si>
  <si>
    <t>33-467-2534</t>
  </si>
  <si>
    <t>Emiliano Zapata</t>
  </si>
  <si>
    <t>04-465-1819</t>
  </si>
  <si>
    <t>Karpogory</t>
  </si>
  <si>
    <t>22-382-9636</t>
  </si>
  <si>
    <t>Kamal</t>
  </si>
  <si>
    <t>14-784-5606</t>
  </si>
  <si>
    <t>Maní</t>
  </si>
  <si>
    <t>78-214-5658</t>
  </si>
  <si>
    <t>Villavicencio</t>
  </si>
  <si>
    <t>43-671-9834</t>
  </si>
  <si>
    <t>Ranot</t>
  </si>
  <si>
    <t>40-347-2903</t>
  </si>
  <si>
    <t>Kefar Yona</t>
  </si>
  <si>
    <t>06-061-0023</t>
  </si>
  <si>
    <t>Kembé</t>
  </si>
  <si>
    <t>43-595-0966</t>
  </si>
  <si>
    <t>Sabon Gari-Nangere</t>
  </si>
  <si>
    <t>78-163-4800</t>
  </si>
  <si>
    <t>Regimin</t>
  </si>
  <si>
    <t>71-354-5174</t>
  </si>
  <si>
    <t>Tsuen Wan</t>
  </si>
  <si>
    <t>72-393-6893</t>
  </si>
  <si>
    <t>Villa Concepción del Tío</t>
  </si>
  <si>
    <t>95-112-6724</t>
  </si>
  <si>
    <t>Xuedian</t>
  </si>
  <si>
    <t>76-382-7162</t>
  </si>
  <si>
    <t>Mahanoro</t>
  </si>
  <si>
    <t>41-501-9276</t>
  </si>
  <si>
    <t>Monchegorsk</t>
  </si>
  <si>
    <t>69-692-0614</t>
  </si>
  <si>
    <t>Shāhzādpur</t>
  </si>
  <si>
    <t>57-000-8646</t>
  </si>
  <si>
    <t>Purwa</t>
  </si>
  <si>
    <t>52-240-3825</t>
  </si>
  <si>
    <t>Jolo</t>
  </si>
  <si>
    <t>33-787-2143</t>
  </si>
  <si>
    <t>Gierłoż</t>
  </si>
  <si>
    <t>72-336-1992</t>
  </si>
  <si>
    <t>Jubaoshan</t>
  </si>
  <si>
    <t>17-648-0171</t>
  </si>
  <si>
    <t>João Câmara</t>
  </si>
  <si>
    <t>86-068-2133</t>
  </si>
  <si>
    <t>Faraulep</t>
  </si>
  <si>
    <t>43-612-8079</t>
  </si>
  <si>
    <t>03-023-9932</t>
  </si>
  <si>
    <t>Xiaruyue</t>
  </si>
  <si>
    <t>73-359-1998</t>
  </si>
  <si>
    <t>Dicamay</t>
  </si>
  <si>
    <t>48-315-0196</t>
  </si>
  <si>
    <t>Balboa</t>
  </si>
  <si>
    <t>04-545-9162</t>
  </si>
  <si>
    <t>Tiang</t>
  </si>
  <si>
    <t>71-436-6908</t>
  </si>
  <si>
    <t>Arnprior</t>
  </si>
  <si>
    <t>55-569-9247</t>
  </si>
  <si>
    <t>24-272-6205</t>
  </si>
  <si>
    <t>Cigadog</t>
  </si>
  <si>
    <t>71-197-8227</t>
  </si>
  <si>
    <t>Tocoa</t>
  </si>
  <si>
    <t>48-918-4473</t>
  </si>
  <si>
    <t>Pingtian</t>
  </si>
  <si>
    <t>02-055-8248</t>
  </si>
  <si>
    <t>Martanesh</t>
  </si>
  <si>
    <t>76-501-6422</t>
  </si>
  <si>
    <t>Houston</t>
  </si>
  <si>
    <t>88-167-7129</t>
  </si>
  <si>
    <t>Il’inskiy</t>
  </si>
  <si>
    <t>46-098-9737</t>
  </si>
  <si>
    <t>Chivilcoy</t>
  </si>
  <si>
    <t>02-911-0447</t>
  </si>
  <si>
    <t>Zaječov</t>
  </si>
  <si>
    <t>06-764-5496</t>
  </si>
  <si>
    <t>Tišina</t>
  </si>
  <si>
    <t>18-614-2070</t>
  </si>
  <si>
    <t>Ugra</t>
  </si>
  <si>
    <t>36-593-2907</t>
  </si>
  <si>
    <t>Karafao</t>
  </si>
  <si>
    <t>22-053-4627</t>
  </si>
  <si>
    <t>Kamárai</t>
  </si>
  <si>
    <t>01-023-2094</t>
  </si>
  <si>
    <t>Ngrejo</t>
  </si>
  <si>
    <t>89-438-5310</t>
  </si>
  <si>
    <t>99-945-7193</t>
  </si>
  <si>
    <t>Lemery</t>
  </si>
  <si>
    <t>73-991-0066</t>
  </si>
  <si>
    <t>San Marcos de Colón</t>
  </si>
  <si>
    <t>66-894-5431</t>
  </si>
  <si>
    <t>Zarasai</t>
  </si>
  <si>
    <t>43-386-2489</t>
  </si>
  <si>
    <t>Naghalin</t>
  </si>
  <si>
    <t>89-625-5542</t>
  </si>
  <si>
    <t>Mirów</t>
  </si>
  <si>
    <t>76-561-2427</t>
  </si>
  <si>
    <t>Cane</t>
  </si>
  <si>
    <t>39-274-2175</t>
  </si>
  <si>
    <t>Hengdian</t>
  </si>
  <si>
    <t>89-730-1134</t>
  </si>
  <si>
    <t>Jixian</t>
  </si>
  <si>
    <t>13-588-2488</t>
  </si>
  <si>
    <t>Huanggang</t>
  </si>
  <si>
    <t>55-955-9889</t>
  </si>
  <si>
    <t>Wailang</t>
  </si>
  <si>
    <t>63-684-4073</t>
  </si>
  <si>
    <t>Blokdesa Situgede</t>
  </si>
  <si>
    <t>28-395-9872</t>
  </si>
  <si>
    <t>Blantyre</t>
  </si>
  <si>
    <t>17-328-4678</t>
  </si>
  <si>
    <t>Quimbaya</t>
  </si>
  <si>
    <t>71-780-8195</t>
  </si>
  <si>
    <t>Selasari</t>
  </si>
  <si>
    <t>53-595-7635</t>
  </si>
  <si>
    <t>Pingtang</t>
  </si>
  <si>
    <t>75-915-9803</t>
  </si>
  <si>
    <t>Sancha</t>
  </si>
  <si>
    <t>41-215-6092</t>
  </si>
  <si>
    <t>Zubūbah</t>
  </si>
  <si>
    <t>60-470-3563</t>
  </si>
  <si>
    <t>Malasin</t>
  </si>
  <si>
    <t>58-788-8938</t>
  </si>
  <si>
    <t>Hachiōji</t>
  </si>
  <si>
    <t>22-311-5460</t>
  </si>
  <si>
    <t>Bronnitsy</t>
  </si>
  <si>
    <t>25-866-7286</t>
  </si>
  <si>
    <t>Carrefour</t>
  </si>
  <si>
    <t>42-674-3987</t>
  </si>
  <si>
    <t>Dafeng</t>
  </si>
  <si>
    <t>23-246-5927</t>
  </si>
  <si>
    <t>Rawa Mazowiecka</t>
  </si>
  <si>
    <t>19-116-4723</t>
  </si>
  <si>
    <t>Voznesenskoye</t>
  </si>
  <si>
    <t>87-079-0237</t>
  </si>
  <si>
    <t>Guolemude</t>
  </si>
  <si>
    <t>50-447-5171</t>
  </si>
  <si>
    <t>Napoli</t>
  </si>
  <si>
    <t>36-323-3504</t>
  </si>
  <si>
    <t>Fengtai</t>
  </si>
  <si>
    <t>37-783-6086</t>
  </si>
  <si>
    <t>Mértola</t>
  </si>
  <si>
    <t>51-917-0766</t>
  </si>
  <si>
    <t>65-431-1264</t>
  </si>
  <si>
    <t>Dhalie</t>
  </si>
  <si>
    <t>28-855-1639</t>
  </si>
  <si>
    <t>Jiaozuo</t>
  </si>
  <si>
    <t>23-039-9347</t>
  </si>
  <si>
    <t>Yatsuomachi-higashikumisaka</t>
  </si>
  <si>
    <t>29-341-6463</t>
  </si>
  <si>
    <t>Newton</t>
  </si>
  <si>
    <t>58-502-7490</t>
  </si>
  <si>
    <t>Sinchao</t>
  </si>
  <si>
    <t>53-667-0793</t>
  </si>
  <si>
    <t>La Tour-du-Pin</t>
  </si>
  <si>
    <t>51-116-5937</t>
  </si>
  <si>
    <t>Lazarat</t>
  </si>
  <si>
    <t>02-711-1034</t>
  </si>
  <si>
    <t>Likhoy</t>
  </si>
  <si>
    <t>03-180-9200</t>
  </si>
  <si>
    <t>Curumaní</t>
  </si>
  <si>
    <t>11-802-5604</t>
  </si>
  <si>
    <t>Zengfu</t>
  </si>
  <si>
    <t>98-130-8811</t>
  </si>
  <si>
    <t>Tilburg</t>
  </si>
  <si>
    <t>55-237-7991</t>
  </si>
  <si>
    <t>Huangtang</t>
  </si>
  <si>
    <t>84-208-7045</t>
  </si>
  <si>
    <t>Kazimierz Dolny</t>
  </si>
  <si>
    <t>41-750-4105</t>
  </si>
  <si>
    <t>Tingsryd</t>
  </si>
  <si>
    <t>13-015-8097</t>
  </si>
  <si>
    <t>Adelaide</t>
  </si>
  <si>
    <t>14-364-4904</t>
  </si>
  <si>
    <t>Guéret</t>
  </si>
  <si>
    <t>89-724-2536</t>
  </si>
  <si>
    <t>Kouvola</t>
  </si>
  <si>
    <t>25-085-7917</t>
  </si>
  <si>
    <t>Pallisa</t>
  </si>
  <si>
    <t>48-271-1908</t>
  </si>
  <si>
    <t>Oke Ila</t>
  </si>
  <si>
    <t>17-198-5155</t>
  </si>
  <si>
    <t>Qianjin</t>
  </si>
  <si>
    <t>70-699-5799</t>
  </si>
  <si>
    <t>Jackson</t>
  </si>
  <si>
    <t>52-779-8972</t>
  </si>
  <si>
    <t>Florida</t>
  </si>
  <si>
    <t>78-796-5651</t>
  </si>
  <si>
    <t>Dłutów</t>
  </si>
  <si>
    <t>68-488-7343</t>
  </si>
  <si>
    <t>Xiamayu</t>
  </si>
  <si>
    <t>73-846-1423</t>
  </si>
  <si>
    <t>Saint Joseph</t>
  </si>
  <si>
    <t>54-193-3526</t>
  </si>
  <si>
    <t>Masaran</t>
  </si>
  <si>
    <t>21-048-8669</t>
  </si>
  <si>
    <t>Pantenan</t>
  </si>
  <si>
    <t>30-133-5120</t>
  </si>
  <si>
    <t>Brikcha</t>
  </si>
  <si>
    <t>53-409-1176</t>
  </si>
  <si>
    <t>Caruaru</t>
  </si>
  <si>
    <t>28-832-2885</t>
  </si>
  <si>
    <t>Mosal’sk</t>
  </si>
  <si>
    <t>27-571-9402</t>
  </si>
  <si>
    <t>São Torcato</t>
  </si>
  <si>
    <t>59-261-4453</t>
  </si>
  <si>
    <t>Oguma</t>
  </si>
  <si>
    <t>19-873-9468</t>
  </si>
  <si>
    <t>Đạ Tẻh</t>
  </si>
  <si>
    <t>04-832-3559</t>
  </si>
  <si>
    <t>Narol</t>
  </si>
  <si>
    <t>63-304-1852</t>
  </si>
  <si>
    <t>Iñapari</t>
  </si>
  <si>
    <t>09-737-8354</t>
  </si>
  <si>
    <t>Tandahimba</t>
  </si>
  <si>
    <t>66-772-9922</t>
  </si>
  <si>
    <t>Kazo</t>
  </si>
  <si>
    <t>76-213-5806</t>
  </si>
  <si>
    <t>Rende</t>
  </si>
  <si>
    <t>79-384-7469</t>
  </si>
  <si>
    <t>Xudat</t>
  </si>
  <si>
    <t>00-285-9607</t>
  </si>
  <si>
    <t>Sobinka</t>
  </si>
  <si>
    <t>91-810-3612</t>
  </si>
  <si>
    <t>Dashkawka</t>
  </si>
  <si>
    <t>24-241-7171</t>
  </si>
  <si>
    <t>Huaqiu</t>
  </si>
  <si>
    <t>84-315-7189</t>
  </si>
  <si>
    <t>Ţāqchah Khānah</t>
  </si>
  <si>
    <t>52-726-9328</t>
  </si>
  <si>
    <t>Pingzhuang</t>
  </si>
  <si>
    <t>86-390-9555</t>
  </si>
  <si>
    <t>Pegões</t>
  </si>
  <si>
    <t>87-934-6762</t>
  </si>
  <si>
    <t>Sollefteå</t>
  </si>
  <si>
    <t>21-755-8745</t>
  </si>
  <si>
    <t>Montpellier</t>
  </si>
  <si>
    <t>93-413-4758</t>
  </si>
  <si>
    <t>Samamiya</t>
  </si>
  <si>
    <t>64-906-4475</t>
  </si>
  <si>
    <t>Nantang</t>
  </si>
  <si>
    <t>57-410-7415</t>
  </si>
  <si>
    <t>85-885-6579</t>
  </si>
  <si>
    <t>Tirana</t>
  </si>
  <si>
    <t>97-237-3483</t>
  </si>
  <si>
    <t>Moju</t>
  </si>
  <si>
    <t>81-225-6647</t>
  </si>
  <si>
    <t>Changbai</t>
  </si>
  <si>
    <t>03-827-4021</t>
  </si>
  <si>
    <t>Moate</t>
  </si>
  <si>
    <t>34-788-8387</t>
  </si>
  <si>
    <t>Qingqu</t>
  </si>
  <si>
    <t>41-854-0707</t>
  </si>
  <si>
    <t>Cibaregbeg</t>
  </si>
  <si>
    <t>29-987-3969</t>
  </si>
  <si>
    <t>Orlando</t>
  </si>
  <si>
    <t>23-752-2213</t>
  </si>
  <si>
    <t>Níkaia</t>
  </si>
  <si>
    <t>29-374-1297</t>
  </si>
  <si>
    <t>Nantes</t>
  </si>
  <si>
    <t>50-303-1693</t>
  </si>
  <si>
    <t>Chatturat</t>
  </si>
  <si>
    <t>72-006-3769</t>
  </si>
  <si>
    <t>São Mateus do Maranhão</t>
  </si>
  <si>
    <t>56-453-8263</t>
  </si>
  <si>
    <t>San Antonio Aguas Calientes</t>
  </si>
  <si>
    <t>27-613-5005</t>
  </si>
  <si>
    <t>Fresno</t>
  </si>
  <si>
    <t>78-824-1887</t>
  </si>
  <si>
    <t>Junshan</t>
  </si>
  <si>
    <t>25-286-8786</t>
  </si>
  <si>
    <t>Berlin</t>
  </si>
  <si>
    <t>72-830-1211</t>
  </si>
  <si>
    <t>Cipolletti</t>
  </si>
  <si>
    <t>85-738-6864</t>
  </si>
  <si>
    <t>Inayauan</t>
  </si>
  <si>
    <t>78-905-2660</t>
  </si>
  <si>
    <t>Damnoen Saduak</t>
  </si>
  <si>
    <t>43-616-8365</t>
  </si>
  <si>
    <t>Kandangan</t>
  </si>
  <si>
    <t>90-272-5701</t>
  </si>
  <si>
    <t>Semiletka</t>
  </si>
  <si>
    <t>82-692-9306</t>
  </si>
  <si>
    <t>Ropa</t>
  </si>
  <si>
    <t>37-065-3182</t>
  </si>
  <si>
    <t>Gråbo</t>
  </si>
  <si>
    <t>04-052-5592</t>
  </si>
  <si>
    <t>Xiaqiao</t>
  </si>
  <si>
    <t>91-695-8237</t>
  </si>
  <si>
    <t>Kryva Hora</t>
  </si>
  <si>
    <t>39-499-3854</t>
  </si>
  <si>
    <t>Huaidao</t>
  </si>
  <si>
    <t>19-643-1879</t>
  </si>
  <si>
    <t>Kawangkoan</t>
  </si>
  <si>
    <t>18-655-3670</t>
  </si>
  <si>
    <t>Prostřední Bečva</t>
  </si>
  <si>
    <t>67-676-5945</t>
  </si>
  <si>
    <t>Legaspi</t>
  </si>
  <si>
    <t>07-402-7433</t>
  </si>
  <si>
    <t>Dagup</t>
  </si>
  <si>
    <t>13-618-9438</t>
  </si>
  <si>
    <t>Chuquitira</t>
  </si>
  <si>
    <t>70-895-5298</t>
  </si>
  <si>
    <t>Pomar</t>
  </si>
  <si>
    <t>81-820-4735</t>
  </si>
  <si>
    <t>Banjar Medura</t>
  </si>
  <si>
    <t>31-395-1286</t>
  </si>
  <si>
    <t>Ostashkov</t>
  </si>
  <si>
    <t>22-692-3470</t>
  </si>
  <si>
    <t>São Cristóvão</t>
  </si>
  <si>
    <t>68-507-4747</t>
  </si>
  <si>
    <t>Kubangwaru</t>
  </si>
  <si>
    <t>16-730-2056</t>
  </si>
  <si>
    <t>Vinkkilä</t>
  </si>
  <si>
    <t>14-305-8712</t>
  </si>
  <si>
    <t>46-503-5589</t>
  </si>
  <si>
    <t>Sancang</t>
  </si>
  <si>
    <t>39-731-8532</t>
  </si>
  <si>
    <t>Colón</t>
  </si>
  <si>
    <t>29-319-4519</t>
  </si>
  <si>
    <t>Örebro</t>
  </si>
  <si>
    <t>81-111-7832</t>
  </si>
  <si>
    <t>Pelasgía</t>
  </si>
  <si>
    <t>64-180-2404</t>
  </si>
  <si>
    <t>Cendagah</t>
  </si>
  <si>
    <t>62-493-5282</t>
  </si>
  <si>
    <t>Shuigou</t>
  </si>
  <si>
    <t>93-455-0576</t>
  </si>
  <si>
    <t>Novoorsk</t>
  </si>
  <si>
    <t>45-795-1873</t>
  </si>
  <si>
    <t>Jagistay</t>
  </si>
  <si>
    <t>20-817-9584</t>
  </si>
  <si>
    <t>Alfeizerão</t>
  </si>
  <si>
    <t>26-828-2720</t>
  </si>
  <si>
    <t>Dashuipo</t>
  </si>
  <si>
    <t>99-509-4653</t>
  </si>
  <si>
    <t>Olavarría</t>
  </si>
  <si>
    <t>33-609-0598</t>
  </si>
  <si>
    <t>Xinzha</t>
  </si>
  <si>
    <t>85-391-1888</t>
  </si>
  <si>
    <t>Zhongdong</t>
  </si>
  <si>
    <t>22-106-8347</t>
  </si>
  <si>
    <t>Bigaa</t>
  </si>
  <si>
    <t>74-882-6648</t>
  </si>
  <si>
    <t>Nakhchivan</t>
  </si>
  <si>
    <t>28-969-7540</t>
  </si>
  <si>
    <t>Kuçovë</t>
  </si>
  <si>
    <t>23-949-1954</t>
  </si>
  <si>
    <t>Kariya</t>
  </si>
  <si>
    <t>05-506-7216</t>
  </si>
  <si>
    <t>Don Carlos</t>
  </si>
  <si>
    <t>12-409-5166</t>
  </si>
  <si>
    <t>Camp Ithier</t>
  </si>
  <si>
    <t>98-238-6733</t>
  </si>
  <si>
    <t>Liuzhou</t>
  </si>
  <si>
    <t>83-752-5439</t>
  </si>
  <si>
    <t>Mulhouse</t>
  </si>
  <si>
    <t>96-229-1698</t>
  </si>
  <si>
    <t>Jinping</t>
  </si>
  <si>
    <t>89-249-8369</t>
  </si>
  <si>
    <t>Julayjilah</t>
  </si>
  <si>
    <t>11-820-5039</t>
  </si>
  <si>
    <t>Galán</t>
  </si>
  <si>
    <t>78-613-1546</t>
  </si>
  <si>
    <t>Torsby</t>
  </si>
  <si>
    <t>04-609-7885</t>
  </si>
  <si>
    <t>62-720-2922</t>
  </si>
  <si>
    <t>Cabanas</t>
  </si>
  <si>
    <t>61-663-9008</t>
  </si>
  <si>
    <t>Taishihe</t>
  </si>
  <si>
    <t>88-395-8741</t>
  </si>
  <si>
    <t>Jelat</t>
  </si>
  <si>
    <t>65-167-9819</t>
  </si>
  <si>
    <t>Punta Gorda</t>
  </si>
  <si>
    <t>08-806-0588</t>
  </si>
  <si>
    <t>Al Qarārah</t>
  </si>
  <si>
    <t>53-784-1855</t>
  </si>
  <si>
    <t>Loket</t>
  </si>
  <si>
    <t>83-792-5141</t>
  </si>
  <si>
    <t>Chengguan</t>
  </si>
  <si>
    <t>27-463-5671</t>
  </si>
  <si>
    <t>Gorzyce</t>
  </si>
  <si>
    <t>67-593-9579</t>
  </si>
  <si>
    <t>Rozhdestveno</t>
  </si>
  <si>
    <t>61-627-1822</t>
  </si>
  <si>
    <t>Huquan</t>
  </si>
  <si>
    <t>47-501-3435</t>
  </si>
  <si>
    <t>Gimcheon</t>
  </si>
  <si>
    <t>20-419-0341</t>
  </si>
  <si>
    <t>Pergan</t>
  </si>
  <si>
    <t>47-225-8686</t>
  </si>
  <si>
    <t>Wrząsowice</t>
  </si>
  <si>
    <t>00-275-9990</t>
  </si>
  <si>
    <t>Tempuran</t>
  </si>
  <si>
    <t>74-509-4985</t>
  </si>
  <si>
    <t>Forshaga</t>
  </si>
  <si>
    <t>77-796-5786</t>
  </si>
  <si>
    <t>Beiyuan</t>
  </si>
  <si>
    <t>53-690-5759</t>
  </si>
  <si>
    <t>Medicine Hat</t>
  </si>
  <si>
    <t>62-797-9254</t>
  </si>
  <si>
    <t>At-Bashi</t>
  </si>
  <si>
    <t>85-192-9218</t>
  </si>
  <si>
    <t>Kisovec</t>
  </si>
  <si>
    <t>55-163-1389</t>
  </si>
  <si>
    <t>Nasielsk</t>
  </si>
  <si>
    <t>18-047-5540</t>
  </si>
  <si>
    <t>Kuala Lumpur</t>
  </si>
  <si>
    <t>03-669-7519</t>
  </si>
  <si>
    <t>Yinying</t>
  </si>
  <si>
    <t>86-097-9642</t>
  </si>
  <si>
    <t>Leon Postigo</t>
  </si>
  <si>
    <t>47-947-4888</t>
  </si>
  <si>
    <t>Baisha</t>
  </si>
  <si>
    <t>28-874-8938</t>
  </si>
  <si>
    <t>Phong Điền</t>
  </si>
  <si>
    <t>84-188-6577</t>
  </si>
  <si>
    <t>Katav-Ivanovsk</t>
  </si>
  <si>
    <t>08-733-0300</t>
  </si>
  <si>
    <t>12-417-5609</t>
  </si>
  <si>
    <t>Iwade</t>
  </si>
  <si>
    <t>67-939-2463</t>
  </si>
  <si>
    <t>Kristinehamn</t>
  </si>
  <si>
    <t>44-674-4037</t>
  </si>
  <si>
    <t>13-571-6506</t>
  </si>
  <si>
    <t>Muslyumovo</t>
  </si>
  <si>
    <t>63-808-3641</t>
  </si>
  <si>
    <t>Pointe Michel</t>
  </si>
  <si>
    <t>07-314-2945</t>
  </si>
  <si>
    <t>Tiwi</t>
  </si>
  <si>
    <t>15-421-1255</t>
  </si>
  <si>
    <t>Nanqiao</t>
  </si>
  <si>
    <t>48-630-6410</t>
  </si>
  <si>
    <t>Dom Pedrito</t>
  </si>
  <si>
    <t>73-698-2326</t>
  </si>
  <si>
    <t>Daying</t>
  </si>
  <si>
    <t>87-418-1400</t>
  </si>
  <si>
    <t>Taoyuan</t>
  </si>
  <si>
    <t>86-182-9556</t>
  </si>
  <si>
    <t>Port Elizabeth</t>
  </si>
  <si>
    <t>38-881-0766</t>
  </si>
  <si>
    <t>Centenario</t>
  </si>
  <si>
    <t>33-484-6674</t>
  </si>
  <si>
    <t>Porangatu</t>
  </si>
  <si>
    <t>25-839-8670</t>
  </si>
  <si>
    <t>Tála</t>
  </si>
  <si>
    <t>51-387-9144</t>
  </si>
  <si>
    <t>Thị Trấn Cẩm Thủy</t>
  </si>
  <si>
    <t>61-794-8438</t>
  </si>
  <si>
    <t>Rakhiv</t>
  </si>
  <si>
    <t>91-724-4633</t>
  </si>
  <si>
    <t>La Unión</t>
  </si>
  <si>
    <t>20-562-2569</t>
  </si>
  <si>
    <t>Aramayuan</t>
  </si>
  <si>
    <t>29-067-4901</t>
  </si>
  <si>
    <t>Arhust</t>
  </si>
  <si>
    <t>07-751-9620</t>
  </si>
  <si>
    <t>Ferreira do Alentejo</t>
  </si>
  <si>
    <t>71-817-5422</t>
  </si>
  <si>
    <t>Vetluga</t>
  </si>
  <si>
    <t>33-243-8793</t>
  </si>
  <si>
    <t>Semenivka</t>
  </si>
  <si>
    <t>67-159-7366</t>
  </si>
  <si>
    <t>Monastyrshchina</t>
  </si>
  <si>
    <t>58-059-8187</t>
  </si>
  <si>
    <t>Ozubulu</t>
  </si>
  <si>
    <t>21-821-6398</t>
  </si>
  <si>
    <t>Xinquan</t>
  </si>
  <si>
    <t>71-667-2334</t>
  </si>
  <si>
    <t>Isla Verde</t>
  </si>
  <si>
    <t>60-834-3348</t>
  </si>
  <si>
    <t>Gafargaon</t>
  </si>
  <si>
    <t>27-017-7173</t>
  </si>
  <si>
    <t>São Miguel do Araguaia</t>
  </si>
  <si>
    <t>38-935-1865</t>
  </si>
  <si>
    <t>Novoukrainskiy</t>
  </si>
  <si>
    <t>91-440-0011</t>
  </si>
  <si>
    <t>Shiree</t>
  </si>
  <si>
    <t>77-642-7686</t>
  </si>
  <si>
    <t>Liangshuihe</t>
  </si>
  <si>
    <t>95-478-2650</t>
  </si>
  <si>
    <t>São Roque</t>
  </si>
  <si>
    <t>58-487-8848</t>
  </si>
  <si>
    <t>Konārak</t>
  </si>
  <si>
    <t>53-951-2529</t>
  </si>
  <si>
    <t>Burgastai</t>
  </si>
  <si>
    <t>86-268-2904</t>
  </si>
  <si>
    <t>Pindiga</t>
  </si>
  <si>
    <t>20-830-4758</t>
  </si>
  <si>
    <t>Strezhevoy</t>
  </si>
  <si>
    <t>95-876-9757</t>
  </si>
  <si>
    <t>Emar</t>
  </si>
  <si>
    <t>53-070-2625</t>
  </si>
  <si>
    <t>Embu Guaçu</t>
  </si>
  <si>
    <t>02-653-5884</t>
  </si>
  <si>
    <t>Zalţan</t>
  </si>
  <si>
    <t>22-981-6595</t>
  </si>
  <si>
    <t>Wasagu</t>
  </si>
  <si>
    <t>98-559-6096</t>
  </si>
  <si>
    <t>Totora</t>
  </si>
  <si>
    <t>58-528-6262</t>
  </si>
  <si>
    <t>Sobue</t>
  </si>
  <si>
    <t>67-073-5578</t>
  </si>
  <si>
    <t>76-397-3294</t>
  </si>
  <si>
    <t>Pirané</t>
  </si>
  <si>
    <t>46-167-7999</t>
  </si>
  <si>
    <t>Poá</t>
  </si>
  <si>
    <t>80-684-5072</t>
  </si>
  <si>
    <t>Rokytne</t>
  </si>
  <si>
    <t>09-216-1957</t>
  </si>
  <si>
    <t>Leśnica</t>
  </si>
  <si>
    <t>14-415-2802</t>
  </si>
  <si>
    <t>Sauri</t>
  </si>
  <si>
    <t>75-083-3608</t>
  </si>
  <si>
    <t>Hongguang</t>
  </si>
  <si>
    <t>84-724-8407</t>
  </si>
  <si>
    <t>Veiga</t>
  </si>
  <si>
    <t>64-031-2046</t>
  </si>
  <si>
    <t>Luci</t>
  </si>
  <si>
    <t>87-727-6434</t>
  </si>
  <si>
    <t>Cravo Norte</t>
  </si>
  <si>
    <t>31-783-9785</t>
  </si>
  <si>
    <t>Jambuwerkrajan</t>
  </si>
  <si>
    <t>85-738-8909</t>
  </si>
  <si>
    <t>Juyuan</t>
  </si>
  <si>
    <t>63-625-5757</t>
  </si>
  <si>
    <t>Mikun’</t>
  </si>
  <si>
    <t>51-220-3072</t>
  </si>
  <si>
    <t>Shuntian</t>
  </si>
  <si>
    <t>59-891-2990</t>
  </si>
  <si>
    <t>Portela</t>
  </si>
  <si>
    <t>36-835-7445</t>
  </si>
  <si>
    <t>Văn Giang</t>
  </si>
  <si>
    <t>68-391-7279</t>
  </si>
  <si>
    <t>Pingshi</t>
  </si>
  <si>
    <t>93-989-8649</t>
  </si>
  <si>
    <t>Shibushi</t>
  </si>
  <si>
    <t>23-537-0742</t>
  </si>
  <si>
    <t>Anding</t>
  </si>
  <si>
    <t>73-145-5784</t>
  </si>
  <si>
    <t>Donglu</t>
  </si>
  <si>
    <t>27-941-4995</t>
  </si>
  <si>
    <t>Sankeyushu</t>
  </si>
  <si>
    <t>19-925-2376</t>
  </si>
  <si>
    <t>Segodim</t>
  </si>
  <si>
    <t>01-089-2223</t>
  </si>
  <si>
    <t>Philadelphia</t>
  </si>
  <si>
    <t>00-477-9449</t>
  </si>
  <si>
    <t>White Rock</t>
  </si>
  <si>
    <t>80-360-6324</t>
  </si>
  <si>
    <t>Foso</t>
  </si>
  <si>
    <t>41-816-7753</t>
  </si>
  <si>
    <t>Götene</t>
  </si>
  <si>
    <t>85-691-4293</t>
  </si>
  <si>
    <t>Pangkalanbunut</t>
  </si>
  <si>
    <t>58-623-8404</t>
  </si>
  <si>
    <t>Pasirhuni</t>
  </si>
  <si>
    <t>70-761-3550</t>
  </si>
  <si>
    <t>Kovářov</t>
  </si>
  <si>
    <t>81-877-9170</t>
  </si>
  <si>
    <t>Gegernoong</t>
  </si>
  <si>
    <t>27-262-6874</t>
  </si>
  <si>
    <t>Yuyapichis</t>
  </si>
  <si>
    <t>32-314-2958</t>
  </si>
  <si>
    <t>Nanhuang</t>
  </si>
  <si>
    <t>75-210-7391</t>
  </si>
  <si>
    <t>Kokstad</t>
  </si>
  <si>
    <t>79-902-8144</t>
  </si>
  <si>
    <t>Rates</t>
  </si>
  <si>
    <t>13-297-9777</t>
  </si>
  <si>
    <t>Myshkin</t>
  </si>
  <si>
    <t>75-847-7630</t>
  </si>
  <si>
    <t>Adela</t>
  </si>
  <si>
    <t>45-337-1798</t>
  </si>
  <si>
    <t>Al Qārah</t>
  </si>
  <si>
    <t>06-357-6548</t>
  </si>
  <si>
    <t>Ishikawa</t>
  </si>
  <si>
    <t>67-209-0990</t>
  </si>
  <si>
    <t>Stoczek Łukowski</t>
  </si>
  <si>
    <t>01-799-2615</t>
  </si>
  <si>
    <t>Limoges</t>
  </si>
  <si>
    <t>04-352-1558</t>
  </si>
  <si>
    <t>Wang Yang</t>
  </si>
  <si>
    <t>42-518-2602</t>
  </si>
  <si>
    <t>Navoiy</t>
  </si>
  <si>
    <t>08-977-4418</t>
  </si>
  <si>
    <t>Reuleuet</t>
  </si>
  <si>
    <t>82-474-5074</t>
  </si>
  <si>
    <t>Ambatolaona</t>
  </si>
  <si>
    <t>81-515-5823</t>
  </si>
  <si>
    <t>Qiankeng</t>
  </si>
  <si>
    <t>98-817-6731</t>
  </si>
  <si>
    <t>Manwakh</t>
  </si>
  <si>
    <t>97-715-3606</t>
  </si>
  <si>
    <t>Tayabamba</t>
  </si>
  <si>
    <t>16-070-0138</t>
  </si>
  <si>
    <t>Njeru</t>
  </si>
  <si>
    <t>56-085-0464</t>
  </si>
  <si>
    <t>Lederaba</t>
  </si>
  <si>
    <t>30-987-7421</t>
  </si>
  <si>
    <t>Estacion</t>
  </si>
  <si>
    <t>18-097-5707</t>
  </si>
  <si>
    <t>Dhībīn</t>
  </si>
  <si>
    <t>83-714-9649</t>
  </si>
  <si>
    <t>Harstad</t>
  </si>
  <si>
    <t>61-212-1117</t>
  </si>
  <si>
    <t>Pader Palwo</t>
  </si>
  <si>
    <t>68-512-0568</t>
  </si>
  <si>
    <t>Wolfsberg</t>
  </si>
  <si>
    <t>83-455-7266</t>
  </si>
  <si>
    <t>Créteil</t>
  </si>
  <si>
    <t>75-953-8663</t>
  </si>
  <si>
    <t>Acobambilla</t>
  </si>
  <si>
    <t>23-253-2565</t>
  </si>
  <si>
    <t>Hinlayagan Ilaud</t>
  </si>
  <si>
    <t>26-596-5461</t>
  </si>
  <si>
    <t>Payapa</t>
  </si>
  <si>
    <t>71-568-0867</t>
  </si>
  <si>
    <t>Margasari</t>
  </si>
  <si>
    <t>90-322-7329</t>
  </si>
  <si>
    <t>Buensuseso</t>
  </si>
  <si>
    <t>19-885-2597</t>
  </si>
  <si>
    <t>La Montañita</t>
  </si>
  <si>
    <t>37-128-5425</t>
  </si>
  <si>
    <t>Manchester</t>
  </si>
  <si>
    <t>42-898-6421</t>
  </si>
  <si>
    <t>Cervantes</t>
  </si>
  <si>
    <t>27-543-7069</t>
  </si>
  <si>
    <t>Cockburn Town</t>
  </si>
  <si>
    <t>70-207-6999</t>
  </si>
  <si>
    <t>Dakingari</t>
  </si>
  <si>
    <t>19-933-8095</t>
  </si>
  <si>
    <t>Gaosheng</t>
  </si>
  <si>
    <t>76-148-9413</t>
  </si>
  <si>
    <t>Benevides</t>
  </si>
  <si>
    <t>24-878-4507</t>
  </si>
  <si>
    <t>Lenart v Slov. Goricah</t>
  </si>
  <si>
    <t>52-005-9914</t>
  </si>
  <si>
    <t>Kanoni</t>
  </si>
  <si>
    <t>38-943-5744</t>
  </si>
  <si>
    <t>Carregueira</t>
  </si>
  <si>
    <t>78-272-6417</t>
  </si>
  <si>
    <t>50-510-5119</t>
  </si>
  <si>
    <t>Montecristi</t>
  </si>
  <si>
    <t>27-806-4972</t>
  </si>
  <si>
    <t>Obong</t>
  </si>
  <si>
    <t>37-100-8709</t>
  </si>
  <si>
    <t>Turinsk</t>
  </si>
  <si>
    <t>36-632-2460</t>
  </si>
  <si>
    <t>Gweedore</t>
  </si>
  <si>
    <t>65-539-9955</t>
  </si>
  <si>
    <t>Sertolovo</t>
  </si>
  <si>
    <t>18-938-9896</t>
  </si>
  <si>
    <t>Łeba</t>
  </si>
  <si>
    <t>90-602-3583</t>
  </si>
  <si>
    <t>Mocho</t>
  </si>
  <si>
    <t>81-926-9297</t>
  </si>
  <si>
    <t>93-675-1619</t>
  </si>
  <si>
    <t>Vília</t>
  </si>
  <si>
    <t>87-499-6916</t>
  </si>
  <si>
    <t>Ndewel</t>
  </si>
  <si>
    <t>15-711-4107</t>
  </si>
  <si>
    <t>Laocheng</t>
  </si>
  <si>
    <t>90-069-8934</t>
  </si>
  <si>
    <t>Dhankutā</t>
  </si>
  <si>
    <t>96-079-9597</t>
  </si>
  <si>
    <t>Maslog</t>
  </si>
  <si>
    <t>06-767-5206</t>
  </si>
  <si>
    <t>Mount Darwin</t>
  </si>
  <si>
    <t>56-719-7145</t>
  </si>
  <si>
    <t>Jinqiao</t>
  </si>
  <si>
    <t>48-343-1220</t>
  </si>
  <si>
    <t>Kolsko</t>
  </si>
  <si>
    <t>00-335-5034</t>
  </si>
  <si>
    <t>Sanxing</t>
  </si>
  <si>
    <t>66-033-0540</t>
  </si>
  <si>
    <t>Stěbořice</t>
  </si>
  <si>
    <t>54-936-4361</t>
  </si>
  <si>
    <t>Paris 17</t>
  </si>
  <si>
    <t>12-029-9344</t>
  </si>
  <si>
    <t>Kihurio</t>
  </si>
  <si>
    <t>27-010-9462</t>
  </si>
  <si>
    <t>Imielin</t>
  </si>
  <si>
    <t>67-937-6624</t>
  </si>
  <si>
    <t>Huambo</t>
  </si>
  <si>
    <t>88-051-0567</t>
  </si>
  <si>
    <t>Trondheim</t>
  </si>
  <si>
    <t>88-000-9227</t>
  </si>
  <si>
    <t>Shreveport</t>
  </si>
  <si>
    <t>69-157-9577</t>
  </si>
  <si>
    <t>Paisha</t>
  </si>
  <si>
    <t>64-641-7874</t>
  </si>
  <si>
    <t>Providence</t>
  </si>
  <si>
    <t>22-157-2494</t>
  </si>
  <si>
    <t>Revolucion Verde</t>
  </si>
  <si>
    <t>25-096-6830</t>
  </si>
  <si>
    <t>La Guata</t>
  </si>
  <si>
    <t>90-170-1951</t>
  </si>
  <si>
    <t>Caitang</t>
  </si>
  <si>
    <t>69-394-1424</t>
  </si>
  <si>
    <t>Muff</t>
  </si>
  <si>
    <t>37-126-7954</t>
  </si>
  <si>
    <t>Sośno</t>
  </si>
  <si>
    <t>39-090-0124</t>
  </si>
  <si>
    <t>Tafo</t>
  </si>
  <si>
    <t>04-468-5487</t>
  </si>
  <si>
    <t>93-356-8589</t>
  </si>
  <si>
    <t>Besko</t>
  </si>
  <si>
    <t>35-192-9050</t>
  </si>
  <si>
    <t>Hunkuyi</t>
  </si>
  <si>
    <t>86-668-1045</t>
  </si>
  <si>
    <t>86-917-7481</t>
  </si>
  <si>
    <t>Shanghu</t>
  </si>
  <si>
    <t>30-417-6981</t>
  </si>
  <si>
    <t>Jianmin</t>
  </si>
  <si>
    <t>41-934-7739</t>
  </si>
  <si>
    <t>Campo Maior</t>
  </si>
  <si>
    <t>30-839-5589</t>
  </si>
  <si>
    <t>Yaodu</t>
  </si>
  <si>
    <t>92-908-5062</t>
  </si>
  <si>
    <t>Shiroishi</t>
  </si>
  <si>
    <t>27-100-0661</t>
  </si>
  <si>
    <t>Las Lomas</t>
  </si>
  <si>
    <t>05-975-6985</t>
  </si>
  <si>
    <t>Banjar Batanpoh</t>
  </si>
  <si>
    <t>79-939-5393</t>
  </si>
  <si>
    <t>Camalote</t>
  </si>
  <si>
    <t>28-862-5550</t>
  </si>
  <si>
    <t>General Lavalle</t>
  </si>
  <si>
    <t>17-213-2834</t>
  </si>
  <si>
    <t>Marshintsy</t>
  </si>
  <si>
    <t>10-247-0192</t>
  </si>
  <si>
    <t>Cali</t>
  </si>
  <si>
    <t>62-701-1037</t>
  </si>
  <si>
    <t>Lazarevac</t>
  </si>
  <si>
    <t>45-631-4619</t>
  </si>
  <si>
    <t>Bayḩān</t>
  </si>
  <si>
    <t>46-681-0764</t>
  </si>
  <si>
    <t>Muara</t>
  </si>
  <si>
    <t>47-528-3961</t>
  </si>
  <si>
    <t>Faīẕābād</t>
  </si>
  <si>
    <t>42-101-8525</t>
  </si>
  <si>
    <t>Curahkalak Tengah</t>
  </si>
  <si>
    <t>85-666-7449</t>
  </si>
  <si>
    <t>Zhongzhang</t>
  </si>
  <si>
    <t>21-734-0212</t>
  </si>
  <si>
    <t>Namur</t>
  </si>
  <si>
    <t>36-340-8494</t>
  </si>
  <si>
    <t>Perugia</t>
  </si>
  <si>
    <t>27-439-9545</t>
  </si>
  <si>
    <t>Norrköping</t>
  </si>
  <si>
    <t>70-774-7728</t>
  </si>
  <si>
    <t>Dualing</t>
  </si>
  <si>
    <t>59-355-5251</t>
  </si>
  <si>
    <t>Messina</t>
  </si>
  <si>
    <t>81-479-0790</t>
  </si>
  <si>
    <t>Guadalupe</t>
  </si>
  <si>
    <t>87-590-8963</t>
  </si>
  <si>
    <t>Peer</t>
  </si>
  <si>
    <t>47-992-7446</t>
  </si>
  <si>
    <t>Vitali</t>
  </si>
  <si>
    <t>21-300-2001</t>
  </si>
  <si>
    <t>Ḩabīl al Jabr</t>
  </si>
  <si>
    <t>81-814-3498</t>
  </si>
  <si>
    <t>Pīrgaaj</t>
  </si>
  <si>
    <t>02-677-6735</t>
  </si>
  <si>
    <t>Cianorte</t>
  </si>
  <si>
    <t>41-130-2570</t>
  </si>
  <si>
    <t>Oekero</t>
  </si>
  <si>
    <t>00-496-3067</t>
  </si>
  <si>
    <t>57-587-4005</t>
  </si>
  <si>
    <t>55-301-9368</t>
  </si>
  <si>
    <t>Zamora</t>
  </si>
  <si>
    <t>70-108-1493</t>
  </si>
  <si>
    <t>Dobrica</t>
  </si>
  <si>
    <t>91-857-0797</t>
  </si>
  <si>
    <t>Pinagsibaan</t>
  </si>
  <si>
    <t>72-339-1854</t>
  </si>
  <si>
    <t>Sacramento</t>
  </si>
  <si>
    <t>69-157-6752</t>
  </si>
  <si>
    <t>Ebu</t>
  </si>
  <si>
    <t>46-779-7065</t>
  </si>
  <si>
    <t>Visaginas</t>
  </si>
  <si>
    <t>61-176-8712</t>
  </si>
  <si>
    <t>Cerro</t>
  </si>
  <si>
    <t>78-503-0416</t>
  </si>
  <si>
    <t>Villa Dolores</t>
  </si>
  <si>
    <t>75-964-5589</t>
  </si>
  <si>
    <t>Lipovci</t>
  </si>
  <si>
    <t>67-036-4295</t>
  </si>
  <si>
    <t>Montceau-les-Mines</t>
  </si>
  <si>
    <t>15-354-9904</t>
  </si>
  <si>
    <t>Bagahanlad</t>
  </si>
  <si>
    <t>07-834-3350</t>
  </si>
  <si>
    <t>San Luis</t>
  </si>
  <si>
    <t>11-121-0709</t>
  </si>
  <si>
    <t>Kara Suu</t>
  </si>
  <si>
    <t>38-830-6976</t>
  </si>
  <si>
    <t>Puqi</t>
  </si>
  <si>
    <t>06-638-0433</t>
  </si>
  <si>
    <t>Doibang</t>
  </si>
  <si>
    <t>89-997-9041</t>
  </si>
  <si>
    <t>Kudanding</t>
  </si>
  <si>
    <t>71-473-2656</t>
  </si>
  <si>
    <t>Gordon Town</t>
  </si>
  <si>
    <t>44-715-9594</t>
  </si>
  <si>
    <t>Yakovlevo</t>
  </si>
  <si>
    <t>73-434-2308</t>
  </si>
  <si>
    <t>Guanzhou</t>
  </si>
  <si>
    <t>47-710-5471</t>
  </si>
  <si>
    <t>Huangtan</t>
  </si>
  <si>
    <t>55-846-2579</t>
  </si>
  <si>
    <t>Kiev</t>
  </si>
  <si>
    <t>11-719-8800</t>
  </si>
  <si>
    <t>Trélazé</t>
  </si>
  <si>
    <t>29-625-7057</t>
  </si>
  <si>
    <t>Nesovice</t>
  </si>
  <si>
    <t>32-799-7704</t>
  </si>
  <si>
    <t>Przelewice</t>
  </si>
  <si>
    <t>73-827-2774</t>
  </si>
  <si>
    <t>Gandapura</t>
  </si>
  <si>
    <t>91-761-9492</t>
  </si>
  <si>
    <t>Luoting</t>
  </si>
  <si>
    <t>03-992-3728</t>
  </si>
  <si>
    <t>‘Arad</t>
  </si>
  <si>
    <t>40-149-8247</t>
  </si>
  <si>
    <t>Qiman</t>
  </si>
  <si>
    <t>23-085-0811</t>
  </si>
  <si>
    <t>Da’an</t>
  </si>
  <si>
    <t>25-285-7453</t>
  </si>
  <si>
    <t>Cluses</t>
  </si>
  <si>
    <t>93-957-6269</t>
  </si>
  <si>
    <t>Thaton</t>
  </si>
  <si>
    <t>59-971-0799</t>
  </si>
  <si>
    <t>Vichuga</t>
  </si>
  <si>
    <t>99-643-9845</t>
  </si>
  <si>
    <t>Banturkrajan</t>
  </si>
  <si>
    <t>77-626-7240</t>
  </si>
  <si>
    <t>Liushun</t>
  </si>
  <si>
    <t>43-990-6454</t>
  </si>
  <si>
    <t>Qorveh</t>
  </si>
  <si>
    <t>31-060-2716</t>
  </si>
  <si>
    <t>High Point</t>
  </si>
  <si>
    <t>57-372-5969</t>
  </si>
  <si>
    <t>Bogovarovo</t>
  </si>
  <si>
    <t>33-519-4214</t>
  </si>
  <si>
    <t>Hengfeng</t>
  </si>
  <si>
    <t>36-649-0081</t>
  </si>
  <si>
    <t>Beigucheng</t>
  </si>
  <si>
    <t>18-452-1635</t>
  </si>
  <si>
    <t>Pasto</t>
  </si>
  <si>
    <t>57-623-5362</t>
  </si>
  <si>
    <t>Jilin</t>
  </si>
  <si>
    <t>20-939-3906</t>
  </si>
  <si>
    <t>Nanchangshan</t>
  </si>
  <si>
    <t>03-950-6074</t>
  </si>
  <si>
    <t>Strabychovo</t>
  </si>
  <si>
    <t>94-692-4313</t>
  </si>
  <si>
    <t>Péfki</t>
  </si>
  <si>
    <t>88-445-9235</t>
  </si>
  <si>
    <t>Demuk</t>
  </si>
  <si>
    <t>81-580-3810</t>
  </si>
  <si>
    <t>99-089-1930</t>
  </si>
  <si>
    <t>Freiburg im Breisgau</t>
  </si>
  <si>
    <t>93-473-7248</t>
  </si>
  <si>
    <t>Zgornje Pirniče</t>
  </si>
  <si>
    <t>84-458-6432</t>
  </si>
  <si>
    <t>Mawu</t>
  </si>
  <si>
    <t>98-535-8497</t>
  </si>
  <si>
    <t>Lincheng</t>
  </si>
  <si>
    <t>26-672-1285</t>
  </si>
  <si>
    <t>Moutnice</t>
  </si>
  <si>
    <t>93-093-0556</t>
  </si>
  <si>
    <t>Pan-an</t>
  </si>
  <si>
    <t>61-453-3503</t>
  </si>
  <si>
    <t>Qingshandi</t>
  </si>
  <si>
    <t>72-590-6161</t>
  </si>
  <si>
    <t>Saltpond</t>
  </si>
  <si>
    <t>25-485-2023</t>
  </si>
  <si>
    <t>Tangkilsari</t>
  </si>
  <si>
    <t>52-150-4629</t>
  </si>
  <si>
    <t>Maomiaoji</t>
  </si>
  <si>
    <t>27-672-6081</t>
  </si>
  <si>
    <t>Bangbayang</t>
  </si>
  <si>
    <t>11-850-1953</t>
  </si>
  <si>
    <t>Beizhakou</t>
  </si>
  <si>
    <t>23-066-1915</t>
  </si>
  <si>
    <t>Jiangcun</t>
  </si>
  <si>
    <t>72-694-4159</t>
  </si>
  <si>
    <t>Tewulike</t>
  </si>
  <si>
    <t>68-296-5978</t>
  </si>
  <si>
    <t>Kadumelati</t>
  </si>
  <si>
    <t>25-560-4506</t>
  </si>
  <si>
    <t>Paya Dapur</t>
  </si>
  <si>
    <t>99-477-8256</t>
  </si>
  <si>
    <t>Kāshmar</t>
  </si>
  <si>
    <t>54-877-5699</t>
  </si>
  <si>
    <t>Madan</t>
  </si>
  <si>
    <t>66-515-3648</t>
  </si>
  <si>
    <t>00-107-4749</t>
  </si>
  <si>
    <t>Merlo</t>
  </si>
  <si>
    <t>13-588-5783</t>
  </si>
  <si>
    <t>09-346-4992</t>
  </si>
  <si>
    <t>Jesús Menéndez</t>
  </si>
  <si>
    <t>16-364-8096</t>
  </si>
  <si>
    <t>Horní Suchá</t>
  </si>
  <si>
    <t>75-518-2831</t>
  </si>
  <si>
    <t>Fengyi</t>
  </si>
  <si>
    <t>82-864-1154</t>
  </si>
  <si>
    <t>Pedraza</t>
  </si>
  <si>
    <t>72-324-1243</t>
  </si>
  <si>
    <t>Bairan</t>
  </si>
  <si>
    <t>53-102-9949</t>
  </si>
  <si>
    <t>Libei</t>
  </si>
  <si>
    <t>50-395-1941</t>
  </si>
  <si>
    <t>Särkisalo</t>
  </si>
  <si>
    <t>63-680-7694</t>
  </si>
  <si>
    <t>Mbala</t>
  </si>
  <si>
    <t>27-742-2776</t>
  </si>
  <si>
    <t>Fteliá</t>
  </si>
  <si>
    <t>62-989-8214</t>
  </si>
  <si>
    <t>Kaum Kaler</t>
  </si>
  <si>
    <t>33-203-4230</t>
  </si>
  <si>
    <t>Perbaungan</t>
  </si>
  <si>
    <t>79-759-6726</t>
  </si>
  <si>
    <t>Kłoczew</t>
  </si>
  <si>
    <t>49-891-9711</t>
  </si>
  <si>
    <t>12-839-8066</t>
  </si>
  <si>
    <t>Muaratiga</t>
  </si>
  <si>
    <t>65-533-1660</t>
  </si>
  <si>
    <t>Palma De Mallorca</t>
  </si>
  <si>
    <t>96-915-4091</t>
  </si>
  <si>
    <t>Ḩawallī</t>
  </si>
  <si>
    <t>43-920-9499</t>
  </si>
  <si>
    <t>Tarata</t>
  </si>
  <si>
    <t>77-742-5663</t>
  </si>
  <si>
    <t>Qingban</t>
  </si>
  <si>
    <t>67-323-7406</t>
  </si>
  <si>
    <t>Yuyangguan</t>
  </si>
  <si>
    <t>89-754-7244</t>
  </si>
  <si>
    <t>El Caño</t>
  </si>
  <si>
    <t>21-783-9242</t>
  </si>
  <si>
    <t>Voskhod</t>
  </si>
  <si>
    <t>76-620-2994</t>
  </si>
  <si>
    <t>Na Muen</t>
  </si>
  <si>
    <t>19-184-7665</t>
  </si>
  <si>
    <t>Stepnogorsk</t>
  </si>
  <si>
    <t>62-198-2511</t>
  </si>
  <si>
    <t>Macau</t>
  </si>
  <si>
    <t>82-304-6495</t>
  </si>
  <si>
    <t>Labo</t>
  </si>
  <si>
    <t>24-371-5870</t>
  </si>
  <si>
    <t>Masuda</t>
  </si>
  <si>
    <t>04-829-7037</t>
  </si>
  <si>
    <t>Yaguaraparo</t>
  </si>
  <si>
    <t>27-111-2242</t>
  </si>
  <si>
    <t>Jembangan</t>
  </si>
  <si>
    <t>89-189-3295</t>
  </si>
  <si>
    <t>Vereshchagino</t>
  </si>
  <si>
    <t>00-520-4376</t>
  </si>
  <si>
    <t>Harembo</t>
  </si>
  <si>
    <t>81-604-7906</t>
  </si>
  <si>
    <t>02-725-7664</t>
  </si>
  <si>
    <t>Klishkivtsi</t>
  </si>
  <si>
    <t>44-786-7696</t>
  </si>
  <si>
    <t>Zhongying</t>
  </si>
  <si>
    <t>37-560-7247</t>
  </si>
  <si>
    <t>Gryfów Śląski</t>
  </si>
  <si>
    <t>51-320-2801</t>
  </si>
  <si>
    <t>Mouquim</t>
  </si>
  <si>
    <t>76-982-8107</t>
  </si>
  <si>
    <t>La Mohammedia</t>
  </si>
  <si>
    <t>48-980-6078</t>
  </si>
  <si>
    <t>08-117-9893</t>
  </si>
  <si>
    <t>Colombo</t>
  </si>
  <si>
    <t>53-865-9342</t>
  </si>
  <si>
    <t>Poste de Flacq</t>
  </si>
  <si>
    <t>13-792-4356</t>
  </si>
  <si>
    <t>Tianbao</t>
  </si>
  <si>
    <t>84-337-1016</t>
  </si>
  <si>
    <t>Longxing</t>
  </si>
  <si>
    <t>57-345-3921</t>
  </si>
  <si>
    <t>Mondorf-les-Bains</t>
  </si>
  <si>
    <t>62-273-8089</t>
  </si>
  <si>
    <t>Pokrovka</t>
  </si>
  <si>
    <t>36-274-5269</t>
  </si>
  <si>
    <t>Ponte</t>
  </si>
  <si>
    <t>12-851-1771</t>
  </si>
  <si>
    <t>Zhukovo</t>
  </si>
  <si>
    <t>09-443-7536</t>
  </si>
  <si>
    <t>Maurisu</t>
  </si>
  <si>
    <t>84-894-9222</t>
  </si>
  <si>
    <t>Pryamitsyno</t>
  </si>
  <si>
    <t>18-263-0366</t>
  </si>
  <si>
    <t>Abiko</t>
  </si>
  <si>
    <t>47-073-6440</t>
  </si>
  <si>
    <t>Taiyuan</t>
  </si>
  <si>
    <t>66-974-6707</t>
  </si>
  <si>
    <t>Mi’ersi</t>
  </si>
  <si>
    <t>19-344-0102</t>
  </si>
  <si>
    <t>Jardin</t>
  </si>
  <si>
    <t>64-803-7087</t>
  </si>
  <si>
    <t>São João dos Inhamuns</t>
  </si>
  <si>
    <t>76-672-1193</t>
  </si>
  <si>
    <t>Guacarí</t>
  </si>
  <si>
    <t>78-091-8662</t>
  </si>
  <si>
    <t>Prengtale</t>
  </si>
  <si>
    <t>61-926-1691</t>
  </si>
  <si>
    <t>Waiwukak</t>
  </si>
  <si>
    <t>89-833-7175</t>
  </si>
  <si>
    <t>Kęsowo</t>
  </si>
  <si>
    <t>20-699-9217</t>
  </si>
  <si>
    <t>San Juan del Cesar</t>
  </si>
  <si>
    <t>85-922-0190</t>
  </si>
  <si>
    <t>Nanfeng</t>
  </si>
  <si>
    <t>07-323-0255</t>
  </si>
  <si>
    <t>Sakura</t>
  </si>
  <si>
    <t>18-841-7253</t>
  </si>
  <si>
    <t>Xingxi</t>
  </si>
  <si>
    <t>26-521-8328</t>
  </si>
  <si>
    <t>Fengjiang</t>
  </si>
  <si>
    <t>91-572-6135</t>
  </si>
  <si>
    <t>Chabařovice</t>
  </si>
  <si>
    <t>62-974-7965</t>
  </si>
  <si>
    <t>Újezd</t>
  </si>
  <si>
    <t>90-858-0453</t>
  </si>
  <si>
    <t>Pandean</t>
  </si>
  <si>
    <t>47-178-9529</t>
  </si>
  <si>
    <t>Bida</t>
  </si>
  <si>
    <t>74-022-7557</t>
  </si>
  <si>
    <t>Wŏnsan</t>
  </si>
  <si>
    <t>48-642-5768</t>
  </si>
  <si>
    <t>Shchëkino</t>
  </si>
  <si>
    <t>20-421-2544</t>
  </si>
  <si>
    <t>Kyŏngsŏng</t>
  </si>
  <si>
    <t>99-581-5577</t>
  </si>
  <si>
    <t>Yläne</t>
  </si>
  <si>
    <t>08-755-1170</t>
  </si>
  <si>
    <t>Sinarwangi</t>
  </si>
  <si>
    <t>31-788-0864</t>
  </si>
  <si>
    <t>Karlstad</t>
  </si>
  <si>
    <t>45-073-7243</t>
  </si>
  <si>
    <t>Jindong</t>
  </si>
  <si>
    <t>66-050-6391</t>
  </si>
  <si>
    <t>Tecpán Guatemala</t>
  </si>
  <si>
    <t>46-578-1425</t>
  </si>
  <si>
    <t>Praia</t>
  </si>
  <si>
    <t>28-947-4295</t>
  </si>
  <si>
    <t>Mozdok</t>
  </si>
  <si>
    <t>06-160-8063</t>
  </si>
  <si>
    <t>Latacunga</t>
  </si>
  <si>
    <t>57-989-1487</t>
  </si>
  <si>
    <t>Oeoh</t>
  </si>
  <si>
    <t>42-859-2475</t>
  </si>
  <si>
    <t>Yenakiyeve</t>
  </si>
  <si>
    <t>91-602-0761</t>
  </si>
  <si>
    <t>Espírito Santo do Pinhal</t>
  </si>
  <si>
    <t>62-644-8183</t>
  </si>
  <si>
    <t>Haradok</t>
  </si>
  <si>
    <t>72-454-2741</t>
  </si>
  <si>
    <t>Belene</t>
  </si>
  <si>
    <t>73-942-8440</t>
  </si>
  <si>
    <t>Марино</t>
  </si>
  <si>
    <t>49-037-2300</t>
  </si>
  <si>
    <t>Eslāmābād</t>
  </si>
  <si>
    <t>34-095-3364</t>
  </si>
  <si>
    <t>Daszewice</t>
  </si>
  <si>
    <t>18-925-1867</t>
  </si>
  <si>
    <t>Garça</t>
  </si>
  <si>
    <t>93-867-8303</t>
  </si>
  <si>
    <t>Liangnong</t>
  </si>
  <si>
    <t>54-680-5344</t>
  </si>
  <si>
    <t>Langkou</t>
  </si>
  <si>
    <t>03-977-8103</t>
  </si>
  <si>
    <t>Quebrada Canoa</t>
  </si>
  <si>
    <t>65-249-5416</t>
  </si>
  <si>
    <t>Shalkar</t>
  </si>
  <si>
    <t>35-907-0586</t>
  </si>
  <si>
    <t>Kuafeu</t>
  </si>
  <si>
    <t>09-783-7921</t>
  </si>
  <si>
    <t>Aristóbulo del Valle</t>
  </si>
  <si>
    <t>07-211-9364</t>
  </si>
  <si>
    <t>Dostoyevka</t>
  </si>
  <si>
    <t>18-605-0795</t>
  </si>
  <si>
    <t>Rudnogorsk</t>
  </si>
  <si>
    <t>47-266-2261</t>
  </si>
  <si>
    <t>Brändö</t>
  </si>
  <si>
    <t>17-763-9416</t>
  </si>
  <si>
    <t>Tsibulev</t>
  </si>
  <si>
    <t>16-583-2801</t>
  </si>
  <si>
    <t>Anchorage</t>
  </si>
  <si>
    <t>50-471-0212</t>
  </si>
  <si>
    <t>San Sebastián de Yalí</t>
  </si>
  <si>
    <t>40-232-5631</t>
  </si>
  <si>
    <t>Suvorov</t>
  </si>
  <si>
    <t>01-404-3425</t>
  </si>
  <si>
    <t>Talshand</t>
  </si>
  <si>
    <t>89-302-8461</t>
  </si>
  <si>
    <t>Nymburk</t>
  </si>
  <si>
    <t>74-483-2893</t>
  </si>
  <si>
    <t>Yueyang</t>
  </si>
  <si>
    <t>73-097-0986</t>
  </si>
  <si>
    <t>Fīrūzābād</t>
  </si>
  <si>
    <t>98-376-8787</t>
  </si>
  <si>
    <t>Pho Duc</t>
  </si>
  <si>
    <t>07-479-3919</t>
  </si>
  <si>
    <t>Kýthnos</t>
  </si>
  <si>
    <t>82-467-3300</t>
  </si>
  <si>
    <t>Podhum</t>
  </si>
  <si>
    <t>32-338-5967</t>
  </si>
  <si>
    <t>Lebak</t>
  </si>
  <si>
    <t>00-265-0556</t>
  </si>
  <si>
    <t>Qiryat Yam</t>
  </si>
  <si>
    <t>68-458-0904</t>
  </si>
  <si>
    <t>Pyra</t>
  </si>
  <si>
    <t>54-164-2243</t>
  </si>
  <si>
    <t>Benito Juarez</t>
  </si>
  <si>
    <t>48-609-7715</t>
  </si>
  <si>
    <t>Aguilares</t>
  </si>
  <si>
    <t>51-431-7150</t>
  </si>
  <si>
    <t>Shiqiao</t>
  </si>
  <si>
    <t>10-300-8072</t>
  </si>
  <si>
    <t>Argenteuil</t>
  </si>
  <si>
    <t>37-748-4988</t>
  </si>
  <si>
    <t>Radā‘</t>
  </si>
  <si>
    <t>15-152-9751</t>
  </si>
  <si>
    <t>Turkestan</t>
  </si>
  <si>
    <t>03-623-6767</t>
  </si>
  <si>
    <t>Huancabamba</t>
  </si>
  <si>
    <t>46-678-4172</t>
  </si>
  <si>
    <t>Na Chaluai</t>
  </si>
  <si>
    <t>15-530-3861</t>
  </si>
  <si>
    <t>Bayan Tuohai</t>
  </si>
  <si>
    <t>21-232-1397</t>
  </si>
  <si>
    <t>Bhadrapur</t>
  </si>
  <si>
    <t>44-949-9040</t>
  </si>
  <si>
    <t>Garibaldi</t>
  </si>
  <si>
    <t>18-593-8611</t>
  </si>
  <si>
    <t>San Diego</t>
  </si>
  <si>
    <t>96-484-1000</t>
  </si>
  <si>
    <t>Xiangshan</t>
  </si>
  <si>
    <t>04-809-8989</t>
  </si>
  <si>
    <t>Zhongcun</t>
  </si>
  <si>
    <t>64-706-7841</t>
  </si>
  <si>
    <t>Kragan</t>
  </si>
  <si>
    <t>67-935-7964</t>
  </si>
  <si>
    <t>Nikolayevsk</t>
  </si>
  <si>
    <t>10-961-9336</t>
  </si>
  <si>
    <t>Dayapan</t>
  </si>
  <si>
    <t>10-430-5821</t>
  </si>
  <si>
    <t>Kapan</t>
  </si>
  <si>
    <t>22-234-9315</t>
  </si>
  <si>
    <t>Miyazu</t>
  </si>
  <si>
    <t>73-259-8940</t>
  </si>
  <si>
    <t>Masoyila</t>
  </si>
  <si>
    <t>02-004-0620</t>
  </si>
  <si>
    <t>Lagoa Seca</t>
  </si>
  <si>
    <t>36-444-5336</t>
  </si>
  <si>
    <t>Jianggang</t>
  </si>
  <si>
    <t>48-825-0400</t>
  </si>
  <si>
    <t>Sävedalen</t>
  </si>
  <si>
    <t>22-860-9860</t>
  </si>
  <si>
    <t>Pasinan Barat</t>
  </si>
  <si>
    <t>91-053-3261</t>
  </si>
  <si>
    <t>Youcheng</t>
  </si>
  <si>
    <t>84-162-8799</t>
  </si>
  <si>
    <t>Khilok</t>
  </si>
  <si>
    <t>54-634-0814</t>
  </si>
  <si>
    <t>Pasirjaya</t>
  </si>
  <si>
    <t>89-392-5002</t>
  </si>
  <si>
    <t>Xinqiao</t>
  </si>
  <si>
    <t>91-603-1565</t>
  </si>
  <si>
    <t>Shostka</t>
  </si>
  <si>
    <t>46-230-8307</t>
  </si>
  <si>
    <t>La Roche-sur-Yon</t>
  </si>
  <si>
    <t>95-525-0842</t>
  </si>
  <si>
    <t>Delta del Tigre</t>
  </si>
  <si>
    <t>40-520-3271</t>
  </si>
  <si>
    <t>Zhongcheng</t>
  </si>
  <si>
    <t>26-028-2671</t>
  </si>
  <si>
    <t>Cigedang</t>
  </si>
  <si>
    <t>94-120-9525</t>
  </si>
  <si>
    <t>Tamana</t>
  </si>
  <si>
    <t>71-876-9118</t>
  </si>
  <si>
    <t>Naranjal</t>
  </si>
  <si>
    <t>79-297-1061</t>
  </si>
  <si>
    <t>Kozel’shchyna</t>
  </si>
  <si>
    <t>55-944-9669</t>
  </si>
  <si>
    <t>Sobeok</t>
  </si>
  <si>
    <t>17-344-8603</t>
  </si>
  <si>
    <t>56-506-4709</t>
  </si>
  <si>
    <t>Glendale</t>
  </si>
  <si>
    <t>21-297-1223</t>
  </si>
  <si>
    <t>Pancas</t>
  </si>
  <si>
    <t>51-313-7293</t>
  </si>
  <si>
    <t>Malakhovka</t>
  </si>
  <si>
    <t>36-240-3240</t>
  </si>
  <si>
    <t>Shilin</t>
  </si>
  <si>
    <t>05-067-9686</t>
  </si>
  <si>
    <t>Xilu</t>
  </si>
  <si>
    <t>07-816-2673</t>
  </si>
  <si>
    <t>Topol’noye</t>
  </si>
  <si>
    <t>97-505-8416</t>
  </si>
  <si>
    <t>Chamical</t>
  </si>
  <si>
    <t>14-603-9698</t>
  </si>
  <si>
    <t>Hultsfred</t>
  </si>
  <si>
    <t>96-772-7220</t>
  </si>
  <si>
    <t>Tanjungbalai</t>
  </si>
  <si>
    <t>94-746-2001</t>
  </si>
  <si>
    <t>Fandriana</t>
  </si>
  <si>
    <t>43-884-2577</t>
  </si>
  <si>
    <t>Prince Rupert</t>
  </si>
  <si>
    <t>91-199-9097</t>
  </si>
  <si>
    <t>Trhové Sviny</t>
  </si>
  <si>
    <t>24-109-2173</t>
  </si>
  <si>
    <t>Messíni</t>
  </si>
  <si>
    <t>43-715-8777</t>
  </si>
  <si>
    <t>Minneapolis</t>
  </si>
  <si>
    <t>84-459-7736</t>
  </si>
  <si>
    <t>Xiluodu</t>
  </si>
  <si>
    <t>71-486-8561</t>
  </si>
  <si>
    <t>Macayug</t>
  </si>
  <si>
    <t>27-018-2262</t>
  </si>
  <si>
    <t>Bom Jesus do Itabapoana</t>
  </si>
  <si>
    <t>91-789-3191</t>
  </si>
  <si>
    <t>Dake</t>
  </si>
  <si>
    <t>23-451-9920</t>
  </si>
  <si>
    <t>Rzeczenica</t>
  </si>
  <si>
    <t>54-002-5845</t>
  </si>
  <si>
    <t>Wangsi</t>
  </si>
  <si>
    <t>34-846-7805</t>
  </si>
  <si>
    <t>Gromadka</t>
  </si>
  <si>
    <t>22-414-4955</t>
  </si>
  <si>
    <t>Dragash</t>
  </si>
  <si>
    <t>62-892-2088</t>
  </si>
  <si>
    <t>Huakoulongtan</t>
  </si>
  <si>
    <t>93-810-4051</t>
  </si>
  <si>
    <t>Ḑawrān ad Daydah</t>
  </si>
  <si>
    <t>31-147-6197</t>
  </si>
  <si>
    <t>39-636-5871</t>
  </si>
  <si>
    <t>Bilice</t>
  </si>
  <si>
    <t>18-832-6916</t>
  </si>
  <si>
    <t>Czarna Dąbrówka</t>
  </si>
  <si>
    <t>66-086-2306</t>
  </si>
  <si>
    <t>Brandsen</t>
  </si>
  <si>
    <t>18-518-0140</t>
  </si>
  <si>
    <t>Coro</t>
  </si>
  <si>
    <t>04-660-2742</t>
  </si>
  <si>
    <t>Meijiang</t>
  </si>
  <si>
    <t>09-258-0424</t>
  </si>
  <si>
    <t>Ettelbruck</t>
  </si>
  <si>
    <t>06-008-2805</t>
  </si>
  <si>
    <t>Shādegān</t>
  </si>
  <si>
    <t>09-948-3150</t>
  </si>
  <si>
    <t>Boshkengash</t>
  </si>
  <si>
    <t>15-640-6493</t>
  </si>
  <si>
    <t>Dālbandīn</t>
  </si>
  <si>
    <t>94-682-4886</t>
  </si>
  <si>
    <t>Gawul</t>
  </si>
  <si>
    <t>90-093-0469</t>
  </si>
  <si>
    <t>Ōkuchi</t>
  </si>
  <si>
    <t>55-580-7707</t>
  </si>
  <si>
    <t>Čáslav</t>
  </si>
  <si>
    <t>85-366-1482</t>
  </si>
  <si>
    <t>Badajoz</t>
  </si>
  <si>
    <t>43-664-4451</t>
  </si>
  <si>
    <t>San Pablo</t>
  </si>
  <si>
    <t>77-761-7475</t>
  </si>
  <si>
    <t>Berezna</t>
  </si>
  <si>
    <t>83-982-5300</t>
  </si>
  <si>
    <t>Chum Phae</t>
  </si>
  <si>
    <t>83-670-9273</t>
  </si>
  <si>
    <t>Al Khānkah</t>
  </si>
  <si>
    <t>60-198-5417</t>
  </si>
  <si>
    <t>35-879-0014</t>
  </si>
  <si>
    <t>Zwedru</t>
  </si>
  <si>
    <t>30-567-4471</t>
  </si>
  <si>
    <t>Parumasan</t>
  </si>
  <si>
    <t>67-037-2087</t>
  </si>
  <si>
    <t>Gobojango</t>
  </si>
  <si>
    <t>38-478-2681</t>
  </si>
  <si>
    <t>Kyonju</t>
  </si>
  <si>
    <t>54-207-8349</t>
  </si>
  <si>
    <t>76-910-2337</t>
  </si>
  <si>
    <t>Krajan Baru</t>
  </si>
  <si>
    <t>42-207-5005</t>
  </si>
  <si>
    <t>Santa Marta</t>
  </si>
  <si>
    <t>19-999-0134</t>
  </si>
  <si>
    <t>Hongqi</t>
  </si>
  <si>
    <t>65-457-2840</t>
  </si>
  <si>
    <t>Maralal</t>
  </si>
  <si>
    <t>17-032-6274</t>
  </si>
  <si>
    <t>Rizal</t>
  </si>
  <si>
    <t>91-532-5399</t>
  </si>
  <si>
    <t>Bucaramanga</t>
  </si>
  <si>
    <t>28-764-3337</t>
  </si>
  <si>
    <t>Renshan</t>
  </si>
  <si>
    <t>00-733-8770</t>
  </si>
  <si>
    <t>Narok</t>
  </si>
  <si>
    <t>61-951-7929</t>
  </si>
  <si>
    <t>Bamut</t>
  </si>
  <si>
    <t>48-203-9118</t>
  </si>
  <si>
    <t>Dongzhou</t>
  </si>
  <si>
    <t>86-771-9082</t>
  </si>
  <si>
    <t>Ugljevik</t>
  </si>
  <si>
    <t>89-883-2101</t>
  </si>
  <si>
    <t>Ngeru</t>
  </si>
  <si>
    <t>95-999-0984</t>
  </si>
  <si>
    <t>Nanyaojie</t>
  </si>
  <si>
    <t>05-465-8765</t>
  </si>
  <si>
    <t>Gjegjan</t>
  </si>
  <si>
    <t>24-853-1635</t>
  </si>
  <si>
    <t>Huangjin</t>
  </si>
  <si>
    <t>77-178-6086</t>
  </si>
  <si>
    <t>Gueltat Zemmour</t>
  </si>
  <si>
    <t>08-614-6177</t>
  </si>
  <si>
    <t>Sungai Raya</t>
  </si>
  <si>
    <t>84-538-0238</t>
  </si>
  <si>
    <t>Harhorin</t>
  </si>
  <si>
    <t>78-361-5100</t>
  </si>
  <si>
    <t>As Sawdā</t>
  </si>
  <si>
    <t>30-528-9105</t>
  </si>
  <si>
    <t>Aksha</t>
  </si>
  <si>
    <t>59-997-3903</t>
  </si>
  <si>
    <t>Barishāl</t>
  </si>
  <si>
    <t>23-302-7502</t>
  </si>
  <si>
    <t>Alameda</t>
  </si>
  <si>
    <t>68-129-1060</t>
  </si>
  <si>
    <t>Abaeté</t>
  </si>
  <si>
    <t>21-959-5766</t>
  </si>
  <si>
    <t>Ma'an</t>
  </si>
  <si>
    <t>38-940-4942</t>
  </si>
  <si>
    <t>Faqqū‘ah</t>
  </si>
  <si>
    <t>72-431-5021</t>
  </si>
  <si>
    <t>Oeiras</t>
  </si>
  <si>
    <t>19-689-4556</t>
  </si>
  <si>
    <t>Przeworsk</t>
  </si>
  <si>
    <t>94-288-4423</t>
  </si>
  <si>
    <t>Qal‘eh-ye Khvājeh</t>
  </si>
  <si>
    <t>90-918-2833</t>
  </si>
  <si>
    <t>Soroti</t>
  </si>
  <si>
    <t>55-876-7407</t>
  </si>
  <si>
    <t>Muaralabuh</t>
  </si>
  <si>
    <t>15-625-4047</t>
  </si>
  <si>
    <t>19-386-9088</t>
  </si>
  <si>
    <t>Tallahassee</t>
  </si>
  <si>
    <t>35-122-5020</t>
  </si>
  <si>
    <t>Pukekohe East</t>
  </si>
  <si>
    <t>36-948-6994</t>
  </si>
  <si>
    <t>Mgachi</t>
  </si>
  <si>
    <t>90-363-8040</t>
  </si>
  <si>
    <t>Hospitalet De Llobregat, L'</t>
  </si>
  <si>
    <t>71-573-6085</t>
  </si>
  <si>
    <t>Trzemeszno</t>
  </si>
  <si>
    <t>40-199-1803</t>
  </si>
  <si>
    <t>Ku‘aydinah</t>
  </si>
  <si>
    <t>15-146-4456</t>
  </si>
  <si>
    <t>Hexiangqiao</t>
  </si>
  <si>
    <t>30-522-1574</t>
  </si>
  <si>
    <t>Xincheng</t>
  </si>
  <si>
    <t>37-361-8691</t>
  </si>
  <si>
    <t>Maguwon</t>
  </si>
  <si>
    <t>29-827-8515</t>
  </si>
  <si>
    <t>Xidianzi</t>
  </si>
  <si>
    <t>06-594-3417</t>
  </si>
  <si>
    <t>Panagyurishte</t>
  </si>
  <si>
    <t>37-101-4922</t>
  </si>
  <si>
    <t>Santa Cruz La Laguna</t>
  </si>
  <si>
    <t>75-845-3143</t>
  </si>
  <si>
    <t>Rumbek</t>
  </si>
  <si>
    <t>09-332-0236</t>
  </si>
  <si>
    <t>San Marcos</t>
  </si>
  <si>
    <t>79-973-7862</t>
  </si>
  <si>
    <t>Mount Ayliff</t>
  </si>
  <si>
    <t>04-349-6759</t>
  </si>
  <si>
    <t>Banī Khaddāsh</t>
  </si>
  <si>
    <t>26-150-0209</t>
  </si>
  <si>
    <t>Taiyigong</t>
  </si>
  <si>
    <t>51-546-9992</t>
  </si>
  <si>
    <t>51-415-1931</t>
  </si>
  <si>
    <t>Kościelec</t>
  </si>
  <si>
    <t>74-431-0242</t>
  </si>
  <si>
    <t>Point Pedro</t>
  </si>
  <si>
    <t>78-116-8349</t>
  </si>
  <si>
    <t>Győr</t>
  </si>
  <si>
    <t>96-140-1936</t>
  </si>
  <si>
    <t>Baihe</t>
  </si>
  <si>
    <t>87-056-8987</t>
  </si>
  <si>
    <t>Negeriagung</t>
  </si>
  <si>
    <t>10-328-5732</t>
  </si>
  <si>
    <t>Kliteh</t>
  </si>
  <si>
    <t>Count of Customer_ID</t>
  </si>
  <si>
    <t>Grand Total</t>
  </si>
  <si>
    <t>45-54</t>
  </si>
  <si>
    <t>36-44</t>
  </si>
  <si>
    <t>26-35</t>
  </si>
  <si>
    <t>18-25</t>
  </si>
  <si>
    <t>Average of Purchase_Amount</t>
  </si>
  <si>
    <t>Average purchase amount</t>
  </si>
  <si>
    <t>Average general purchase amount:</t>
  </si>
  <si>
    <t>Autumn</t>
  </si>
  <si>
    <t>January</t>
  </si>
  <si>
    <t>Spring</t>
  </si>
  <si>
    <t>February</t>
  </si>
  <si>
    <t>Summer</t>
  </si>
  <si>
    <t>March</t>
  </si>
  <si>
    <t>Winter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</si>
  <si>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</si>
  <si>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</si>
  <si>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</si>
  <si>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</si>
  <si>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</si>
  <si>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</si>
  <si>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</si>
  <si>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</si>
  <si>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</si>
  <si>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Monday</t>
  </si>
  <si>
    <t>Wednesday</t>
  </si>
  <si>
    <t>Tuesday</t>
  </si>
  <si>
    <t>Thursday</t>
  </si>
  <si>
    <t>Sunday</t>
  </si>
  <si>
    <t>Saturday</t>
  </si>
  <si>
    <t>Friday</t>
  </si>
  <si>
    <t>True Total</t>
  </si>
  <si>
    <t>18-25 Total</t>
  </si>
  <si>
    <t>26-35 Total</t>
  </si>
  <si>
    <t>36-44 Total</t>
  </si>
  <si>
    <t>45-54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</si>
</sst>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[$-409]mmmmm;@"/>
  </numFmts>
  <fonts count="2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36"/>
      <color rgb="FF000000"/>
      <name val="Calibri"/>
      <scheme val="minor"/>
    </font>
    <font>
      <b/>
      <sz val="20"/>
      <color rgb="FF000000"/>
      <name val="Calibri"/>
      <scheme val="minor"/>
    </font>
    <font>
      <b/>
      <sz val="24"/>
      <color rgb="FF000000"/>
      <name val="Calibri"/>
      <scheme val="minor"/>
    </font>
    <font>
      <b/>
      <sz val="2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6"/>
      <color rgb="FF000000"/>
      <name val="Calibri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3">
    <xf numFmtId="0" fontId="0" fillId="0" borderId="0" xfId="0"/>
    <xf numFmtId="14" fontId="0" fillId="0" borderId="0" xfId="0" applyNumberFormat="1"/>
    <xf numFmtId="2" fontId="0" fillId="0" borderId="0" xfId="0" applyNumberFormat="1"/>
    <xf numFmtId="1" fontId="0" fillId="0" borderId="0" xfId="0" applyNumberFormat="1"/>
    <xf numFmtId="49" fontId="0" fillId="0" borderId="0" xfId="0" applyNumberFormat="1"/>
    <xf numFmtId="164" fontId="0" fillId="0" borderId="0" xfId="0" applyNumberFormat="1"/>
    <xf numFmtId="49" fontId="0" fillId="0" borderId="0" xfId="0" applyNumberFormat="1" applyAlignment="1">
      <alignment wrapText="1"/>
    </xf>
    <xf numFmtId="165" fontId="0" fillId="0" borderId="0" xfId="0" applyNumberFormat="1"/>
    <xf numFmtId="0" fontId="0" fillId="0" borderId="0" xfId="0" pivotButton="1"/>
    <xf numFmtId="0" fontId="0" fillId="0" borderId="0" xfId="0" applyNumberFormat="1"/>
    <xf numFmtId="0" fontId="0" fillId="0" borderId="0" xfId="0" applyNumberFormat="1" applyAlignment="1">
      <alignment wrapText="1"/>
    </xf>
    <xf numFmtId="10" fontId="0" fillId="0" borderId="0" xfId="0" applyNumberFormat="1"/>
    <xf numFmtId="0" fontId="0" fillId="0" borderId="0" xfId="0" applyBorder="1"/>
    <xf numFmtId="0" fontId="0" fillId="33" borderId="0" xfId="0" applyFill="1"/>
    <xf numFmtId="0" fontId="19" fillId="0" borderId="0" xfId="0" applyFont="1" applyAlignment="1">
      <alignment horizontal="center"/>
    </xf>
    <xf numFmtId="0" fontId="19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 wrapText="1"/>
    </xf>
    <xf numFmtId="0" fontId="22" fillId="34" borderId="0" xfId="0" applyFont="1" applyFill="1" applyAlignment="1">
      <alignment horizontal="center"/>
    </xf>
    <xf numFmtId="1" fontId="22" fillId="34" borderId="0" xfId="0" applyNumberFormat="1" applyFont="1" applyFill="1" applyAlignment="1">
      <alignment horizontal="center"/>
    </xf>
    <xf numFmtId="164" fontId="22" fillId="34" borderId="0" xfId="0" applyNumberFormat="1" applyFont="1" applyFill="1" applyAlignment="1">
      <alignment horizontal="center"/>
    </xf>
    <xf numFmtId="0" fontId="19" fillId="0" borderId="0" xfId="0" applyFont="1" applyBorder="1" applyAlignment="1">
      <alignment horizontal="center"/>
    </xf>
    <xf numFmtId="0" fontId="0" fillId="33" borderId="0" xfId="0" applyFill="1" applyBorder="1"/>
    <xf numFmtId="0" fontId="0" fillId="35" borderId="0" xfId="0" applyFill="1"/>
    <xf numFmtId="0" fontId="20" fillId="35" borderId="0" xfId="0" applyFont="1" applyFill="1" applyAlignment="1">
      <alignment vertical="center" wrapText="1"/>
    </xf>
    <xf numFmtId="0" fontId="18" fillId="35" borderId="0" xfId="0" applyFont="1" applyFill="1" applyAlignment="1">
      <alignment vertical="center" wrapText="1"/>
    </xf>
    <xf numFmtId="0" fontId="21" fillId="35" borderId="0" xfId="0" applyFont="1" applyFill="1" applyAlignment="1">
      <alignment vertical="center"/>
    </xf>
    <xf numFmtId="0" fontId="20" fillId="35" borderId="0" xfId="0" applyFont="1" applyFill="1" applyAlignment="1">
      <alignment vertical="center"/>
    </xf>
    <xf numFmtId="0" fontId="0" fillId="0" borderId="0" xfId="0" applyBorder="1" applyAlignment="1"/>
    <xf numFmtId="0" fontId="23" fillId="33" borderId="0" xfId="0" applyFont="1" applyFill="1" applyAlignment="1">
      <alignment vertical="center" wrapText="1"/>
    </xf>
    <xf numFmtId="0" fontId="20" fillId="33" borderId="0" xfId="0" applyFont="1" applyFill="1" applyAlignment="1">
      <alignment vertical="center" wrapText="1"/>
    </xf>
    <xf numFmtId="0" fontId="18" fillId="33" borderId="0" xfId="0" applyFont="1" applyFill="1" applyAlignment="1">
      <alignment vertical="center" wrapText="1"/>
    </xf>
    <xf numFmtId="0" fontId="23" fillId="33" borderId="0" xfId="0" applyFont="1" applyFill="1" applyAlignment="1">
      <alignment vertical="center"/>
    </xf>
    <xf numFmtId="0" fontId="0" fillId="33" borderId="0" xfId="0" applyFill="1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4">
    <dxf>
      <numFmt numFmtId="1" formatCode="0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19" formatCode="m/d/yyyy"/>
    </dxf>
    <dxf>
      <numFmt numFmtId="165" formatCode="[$-409]mmmmm;@"/>
    </dxf>
    <dxf>
      <numFmt numFmtId="30" formatCode="@"/>
    </dxf>
    <dxf>
      <numFmt numFmtId="19" formatCode="m/d/yyyy"/>
    </dxf>
    <dxf>
      <numFmt numFmtId="30" formatCode="@"/>
    </dxf>
    <dxf>
      <numFmt numFmtId="30" formatCode="@"/>
    </dxf>
    <dxf>
      <numFmt numFmtId="30" formatCode="@"/>
    </dxf>
    <dxf>
      <numFmt numFmtId="1" formatCode="0"/>
    </dxf>
    <dxf>
      <numFmt numFmtId="30" formatCode="@"/>
    </dxf>
    <dxf>
      <numFmt numFmtId="1" formatCode="0"/>
    </dxf>
    <dxf>
      <numFmt numFmtId="30" formatCode="@"/>
    </dxf>
    <dxf>
      <numFmt numFmtId="30" formatCode="@"/>
    </dxf>
    <dxf>
      <numFmt numFmtId="2" formatCode="0.00"/>
    </dxf>
    <dxf>
      <numFmt numFmtId="1" formatCode="0"/>
    </dxf>
    <dxf>
      <numFmt numFmtId="30" formatCode="@"/>
    </dxf>
    <dxf>
      <numFmt numFmtId="1" formatCode="0"/>
    </dxf>
    <dxf>
      <numFmt numFmtId="30" formatCode="@"/>
    </dxf>
    <dxf>
      <numFmt numFmtId="30" formatCode="@"/>
    </dxf>
    <dxf>
      <numFmt numFmtId="1" formatCode="0"/>
    </dxf>
    <dxf>
      <numFmt numFmtId="164" formatCode="&quot;$&quot;#,##0.00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0" formatCode="General"/>
    </dxf>
    <dxf>
      <numFmt numFmtId="1" formatCode="0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_rels/chart41.xml.rels><?xml version="1.0" encoding="UTF-8" standalone="yes"?>
<Relationships xmlns="http://schemas.openxmlformats.org/package/2006/relationships"><Relationship Id="rId2" Type="http://schemas.microsoft.com/office/2011/relationships/chartColorStyle" Target="colors41.xml"/><Relationship Id="rId1" Type="http://schemas.microsoft.com/office/2011/relationships/chartStyle" Target="style41.xml"/></Relationships>
</file>

<file path=xl/charts/_rels/chart42.xml.rels><?xml version="1.0" encoding="UTF-8" standalone="yes"?>
<Relationships xmlns="http://schemas.openxmlformats.org/package/2006/relationships"><Relationship Id="rId2" Type="http://schemas.microsoft.com/office/2011/relationships/chartColorStyle" Target="colors42.xml"/><Relationship Id="rId1" Type="http://schemas.microsoft.com/office/2011/relationships/chartStyle" Target="style4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[The Excel project dataset - Copy.xlsx]income by gender!PivotTable3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Income Level Distribution by Gender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rgbClr val="FFFFFF"/>
            </a:solidFill>
            <a:ln>
              <a:solidFill>
                <a:srgbClr val="FFFFFF"/>
              </a:solidFill>
              <a:prstDash val="solid"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rgbClr val="FFFFFF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'income by gender'!$B$3:$B$4</c:f>
              <c:strCache>
                <c:ptCount val="1"/>
                <c:pt idx="0">
                  <c:v>High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solidFill>
                <a:srgbClr val="FFFFFF"/>
              </a:solidFill>
              <a:ln>
                <a:solidFill>
                  <a:srgbClr val="FFFFFF"/>
                </a:solidFill>
                <a:prstDash val="solid"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'income by gender'!$A$5:$A$8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Non-binary</c:v>
                </c:pt>
              </c:strCache>
            </c:strRef>
          </c:cat>
          <c:val>
            <c:numRef>
              <c:f>'income by gender'!$B$5:$B$8</c:f>
              <c:numCache>
                <c:formatCode>0.00%</c:formatCode>
                <c:ptCount val="3"/>
                <c:pt idx="0">
                  <c:v>0.25954198473282442</c:v>
                </c:pt>
                <c:pt idx="1">
                  <c:v>0.23882224645583425</c:v>
                </c:pt>
                <c:pt idx="2">
                  <c:v>8.7241003271537627E-3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5A-4515-BFDC-896B15D76119}"/>
            </c:ext>
          </c:extLst>
        </c:ser>
        <c:ser>
          <c:idx val="1"/>
          <c:order val="1"/>
          <c:tx>
            <c:strRef>
              <c:f>'income by gender'!$C$3:$C$4</c:f>
              <c:strCache>
                <c:ptCount val="1"/>
                <c:pt idx="0">
                  <c:v>Middle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solidFill>
                <a:srgbClr val="FFFFFF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'income by gender'!$A$5:$A$8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Non-binary</c:v>
                </c:pt>
              </c:strCache>
            </c:strRef>
          </c:cat>
          <c:val>
            <c:numRef>
              <c:f>'income by gender'!$C$5:$C$8</c:f>
              <c:numCache>
                <c:formatCode>0.00%</c:formatCode>
                <c:ptCount val="3"/>
                <c:pt idx="0">
                  <c:v>0.23336968375136313</c:v>
                </c:pt>
                <c:pt idx="1">
                  <c:v>0.25081788440567065</c:v>
                </c:pt>
                <c:pt idx="2">
                  <c:v>8.7241003271537627E-3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C5A-4515-BFDC-896B15D76119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702705159"/>
        <c:axId val="1702766599"/>
      </c:barChart>
      <c:catAx>
        <c:axId val="17027051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2766599"/>
        <c:crosses val="autoZero"/>
        <c:auto val="1"/>
        <c:lblAlgn val="ctr"/>
        <c:lblOffset val="100"/>
        <c:noMultiLvlLbl val="0"/>
      </c:catAx>
      <c:valAx>
        <c:axId val="1702766599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crossAx val="17027051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rgbClr val="375623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[The Excel project dataset - Copy.xlsx]behavior analysis!PivotTable11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Social Media Influence by Age and Gender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rgbClr val="FFFFFF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rgbClr val="FFFFFF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rgbClr val="FFFFFF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rgbClr val="FFFFFF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'behavior analysis'!$C$3:$C$4</c:f>
              <c:strCache>
                <c:ptCount val="1"/>
                <c:pt idx="0">
                  <c:v>High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solidFill>
                <a:srgbClr val="FFFFFF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'behavior analysis'!$A$5:$B$21</c:f>
              <c:multiLvlStrCache>
                <c:ptCount val="12"/>
                <c:lvl>
                  <c:pt idx="0">
                    <c:v>Female</c:v>
                  </c:pt>
                  <c:pt idx="1">
                    <c:v>Male</c:v>
                  </c:pt>
                  <c:pt idx="2">
                    <c:v>Non-binary</c:v>
                  </c:pt>
                  <c:pt idx="3">
                    <c:v>Female</c:v>
                  </c:pt>
                  <c:pt idx="4">
                    <c:v>Male</c:v>
                  </c:pt>
                  <c:pt idx="5">
                    <c:v>Non-binary</c:v>
                  </c:pt>
                  <c:pt idx="6">
                    <c:v>Female</c:v>
                  </c:pt>
                  <c:pt idx="7">
                    <c:v>Male</c:v>
                  </c:pt>
                  <c:pt idx="8">
                    <c:v>Non-binary</c:v>
                  </c:pt>
                  <c:pt idx="9">
                    <c:v>Female</c:v>
                  </c:pt>
                  <c:pt idx="10">
                    <c:v>Male</c:v>
                  </c:pt>
                  <c:pt idx="11">
                    <c:v>Non-binary</c:v>
                  </c:pt>
                </c:lvl>
                <c:lvl>
                  <c:pt idx="0">
                    <c:v>26-35</c:v>
                  </c:pt>
                  <c:pt idx="3">
                    <c:v>36-44</c:v>
                  </c:pt>
                  <c:pt idx="6">
                    <c:v>18-25</c:v>
                  </c:pt>
                  <c:pt idx="9">
                    <c:v>45-54</c:v>
                  </c:pt>
                </c:lvl>
              </c:multiLvlStrCache>
            </c:multiLvlStrRef>
          </c:cat>
          <c:val>
            <c:numRef>
              <c:f>'behavior analysis'!$C$5:$C$21</c:f>
              <c:numCache>
                <c:formatCode>0.00%</c:formatCode>
                <c:ptCount val="12"/>
                <c:pt idx="0">
                  <c:v>4.7982551799345692E-2</c:v>
                </c:pt>
                <c:pt idx="1">
                  <c:v>4.5801526717557252E-2</c:v>
                </c:pt>
                <c:pt idx="2">
                  <c:v>1.0905125408942203E-3</c:v>
                </c:pt>
                <c:pt idx="3">
                  <c:v>3.5986913849509271E-2</c:v>
                </c:pt>
                <c:pt idx="4">
                  <c:v>3.4896401308615051E-2</c:v>
                </c:pt>
                <c:pt idx="5">
                  <c:v>1.0905125408942203E-3</c:v>
                </c:pt>
                <c:pt idx="6">
                  <c:v>2.0719738276990186E-2</c:v>
                </c:pt>
                <c:pt idx="7">
                  <c:v>3.0534351145038167E-2</c:v>
                </c:pt>
                <c:pt idx="8">
                  <c:v>0</c:v>
                </c:pt>
                <c:pt idx="9">
                  <c:v>1.9629225736095966E-2</c:v>
                </c:pt>
                <c:pt idx="10">
                  <c:v>2.8353326063249727E-2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F8-47BC-A33B-CAED3BAFA16B}"/>
            </c:ext>
          </c:extLst>
        </c:ser>
        <c:ser>
          <c:idx val="1"/>
          <c:order val="1"/>
          <c:tx>
            <c:strRef>
              <c:f>'behavior analysis'!$D$3:$D$4</c:f>
              <c:strCache>
                <c:ptCount val="1"/>
                <c:pt idx="0">
                  <c:v>Low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solidFill>
                <a:srgbClr val="FFFFFF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'behavior analysis'!$A$5:$B$21</c:f>
              <c:multiLvlStrCache>
                <c:ptCount val="12"/>
                <c:lvl>
                  <c:pt idx="0">
                    <c:v>Female</c:v>
                  </c:pt>
                  <c:pt idx="1">
                    <c:v>Male</c:v>
                  </c:pt>
                  <c:pt idx="2">
                    <c:v>Non-binary</c:v>
                  </c:pt>
                  <c:pt idx="3">
                    <c:v>Female</c:v>
                  </c:pt>
                  <c:pt idx="4">
                    <c:v>Male</c:v>
                  </c:pt>
                  <c:pt idx="5">
                    <c:v>Non-binary</c:v>
                  </c:pt>
                  <c:pt idx="6">
                    <c:v>Female</c:v>
                  </c:pt>
                  <c:pt idx="7">
                    <c:v>Male</c:v>
                  </c:pt>
                  <c:pt idx="8">
                    <c:v>Non-binary</c:v>
                  </c:pt>
                  <c:pt idx="9">
                    <c:v>Female</c:v>
                  </c:pt>
                  <c:pt idx="10">
                    <c:v>Male</c:v>
                  </c:pt>
                  <c:pt idx="11">
                    <c:v>Non-binary</c:v>
                  </c:pt>
                </c:lvl>
                <c:lvl>
                  <c:pt idx="0">
                    <c:v>26-35</c:v>
                  </c:pt>
                  <c:pt idx="3">
                    <c:v>36-44</c:v>
                  </c:pt>
                  <c:pt idx="6">
                    <c:v>18-25</c:v>
                  </c:pt>
                  <c:pt idx="9">
                    <c:v>45-54</c:v>
                  </c:pt>
                </c:lvl>
              </c:multiLvlStrCache>
            </c:multiLvlStrRef>
          </c:cat>
          <c:val>
            <c:numRef>
              <c:f>'behavior analysis'!$D$5:$D$21</c:f>
              <c:numCache>
                <c:formatCode>0.00%</c:formatCode>
                <c:ptCount val="12"/>
                <c:pt idx="0">
                  <c:v>3.0534351145038167E-2</c:v>
                </c:pt>
                <c:pt idx="1">
                  <c:v>3.9258451472191931E-2</c:v>
                </c:pt>
                <c:pt idx="2">
                  <c:v>1.0905125408942203E-3</c:v>
                </c:pt>
                <c:pt idx="3">
                  <c:v>3.3805888767720831E-2</c:v>
                </c:pt>
                <c:pt idx="4">
                  <c:v>4.0348964013086151E-2</c:v>
                </c:pt>
                <c:pt idx="5">
                  <c:v>1.0905125408942203E-3</c:v>
                </c:pt>
                <c:pt idx="6">
                  <c:v>3.7077426390403491E-2</c:v>
                </c:pt>
                <c:pt idx="7">
                  <c:v>2.7262813522355506E-2</c:v>
                </c:pt>
                <c:pt idx="8">
                  <c:v>1.0905125408942203E-3</c:v>
                </c:pt>
                <c:pt idx="9">
                  <c:v>1.5267175572519083E-2</c:v>
                </c:pt>
                <c:pt idx="10">
                  <c:v>2.6172300981461286E-2</c:v>
                </c:pt>
                <c:pt idx="11">
                  <c:v>1.0905125408942203E-3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AF8-47BC-A33B-CAED3BAFA16B}"/>
            </c:ext>
          </c:extLst>
        </c:ser>
        <c:ser>
          <c:idx val="2"/>
          <c:order val="2"/>
          <c:tx>
            <c:strRef>
              <c:f>'behavior analysis'!$E$3:$E$4</c:f>
              <c:strCache>
                <c:ptCount val="1"/>
                <c:pt idx="0">
                  <c:v>Medium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solidFill>
                <a:srgbClr val="FFFFFF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'behavior analysis'!$A$5:$B$21</c:f>
              <c:multiLvlStrCache>
                <c:ptCount val="12"/>
                <c:lvl>
                  <c:pt idx="0">
                    <c:v>Female</c:v>
                  </c:pt>
                  <c:pt idx="1">
                    <c:v>Male</c:v>
                  </c:pt>
                  <c:pt idx="2">
                    <c:v>Non-binary</c:v>
                  </c:pt>
                  <c:pt idx="3">
                    <c:v>Female</c:v>
                  </c:pt>
                  <c:pt idx="4">
                    <c:v>Male</c:v>
                  </c:pt>
                  <c:pt idx="5">
                    <c:v>Non-binary</c:v>
                  </c:pt>
                  <c:pt idx="6">
                    <c:v>Female</c:v>
                  </c:pt>
                  <c:pt idx="7">
                    <c:v>Male</c:v>
                  </c:pt>
                  <c:pt idx="8">
                    <c:v>Non-binary</c:v>
                  </c:pt>
                  <c:pt idx="9">
                    <c:v>Female</c:v>
                  </c:pt>
                  <c:pt idx="10">
                    <c:v>Male</c:v>
                  </c:pt>
                  <c:pt idx="11">
                    <c:v>Non-binary</c:v>
                  </c:pt>
                </c:lvl>
                <c:lvl>
                  <c:pt idx="0">
                    <c:v>26-35</c:v>
                  </c:pt>
                  <c:pt idx="3">
                    <c:v>36-44</c:v>
                  </c:pt>
                  <c:pt idx="6">
                    <c:v>18-25</c:v>
                  </c:pt>
                  <c:pt idx="9">
                    <c:v>45-54</c:v>
                  </c:pt>
                </c:lvl>
              </c:multiLvlStrCache>
            </c:multiLvlStrRef>
          </c:cat>
          <c:val>
            <c:numRef>
              <c:f>'behavior analysis'!$E$5:$E$21</c:f>
              <c:numCache>
                <c:formatCode>0.00%</c:formatCode>
                <c:ptCount val="12"/>
                <c:pt idx="0">
                  <c:v>4.0348964013086151E-2</c:v>
                </c:pt>
                <c:pt idx="1">
                  <c:v>4.0348964013086151E-2</c:v>
                </c:pt>
                <c:pt idx="2">
                  <c:v>2.1810250817884407E-3</c:v>
                </c:pt>
                <c:pt idx="3">
                  <c:v>3.4896401308615051E-2</c:v>
                </c:pt>
                <c:pt idx="4">
                  <c:v>2.8353326063249727E-2</c:v>
                </c:pt>
                <c:pt idx="5">
                  <c:v>1.0905125408942203E-3</c:v>
                </c:pt>
                <c:pt idx="6">
                  <c:v>2.7262813522355506E-2</c:v>
                </c:pt>
                <c:pt idx="7">
                  <c:v>1.4176663031624863E-2</c:v>
                </c:pt>
                <c:pt idx="8">
                  <c:v>2.1810250817884407E-3</c:v>
                </c:pt>
                <c:pt idx="9">
                  <c:v>1.8538713195201745E-2</c:v>
                </c:pt>
                <c:pt idx="10">
                  <c:v>2.3991275899672846E-2</c:v>
                </c:pt>
                <c:pt idx="11">
                  <c:v>2.1810250817884407E-3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AF8-47BC-A33B-CAED3BAFA16B}"/>
            </c:ext>
          </c:extLst>
        </c:ser>
        <c:ser>
          <c:idx val="3"/>
          <c:order val="3"/>
          <c:tx>
            <c:strRef>
              <c:f>'behavior analysis'!$F$3:$F$4</c:f>
              <c:strCache>
                <c:ptCount val="1"/>
                <c:pt idx="0">
                  <c:v>None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solidFill>
                <a:srgbClr val="FFFFFF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'behavior analysis'!$A$5:$B$21</c:f>
              <c:multiLvlStrCache>
                <c:ptCount val="12"/>
                <c:lvl>
                  <c:pt idx="0">
                    <c:v>Female</c:v>
                  </c:pt>
                  <c:pt idx="1">
                    <c:v>Male</c:v>
                  </c:pt>
                  <c:pt idx="2">
                    <c:v>Non-binary</c:v>
                  </c:pt>
                  <c:pt idx="3">
                    <c:v>Female</c:v>
                  </c:pt>
                  <c:pt idx="4">
                    <c:v>Male</c:v>
                  </c:pt>
                  <c:pt idx="5">
                    <c:v>Non-binary</c:v>
                  </c:pt>
                  <c:pt idx="6">
                    <c:v>Female</c:v>
                  </c:pt>
                  <c:pt idx="7">
                    <c:v>Male</c:v>
                  </c:pt>
                  <c:pt idx="8">
                    <c:v>Non-binary</c:v>
                  </c:pt>
                  <c:pt idx="9">
                    <c:v>Female</c:v>
                  </c:pt>
                  <c:pt idx="10">
                    <c:v>Male</c:v>
                  </c:pt>
                  <c:pt idx="11">
                    <c:v>Non-binary</c:v>
                  </c:pt>
                </c:lvl>
                <c:lvl>
                  <c:pt idx="0">
                    <c:v>26-35</c:v>
                  </c:pt>
                  <c:pt idx="3">
                    <c:v>36-44</c:v>
                  </c:pt>
                  <c:pt idx="6">
                    <c:v>18-25</c:v>
                  </c:pt>
                  <c:pt idx="9">
                    <c:v>45-54</c:v>
                  </c:pt>
                </c:lvl>
              </c:multiLvlStrCache>
            </c:multiLvlStrRef>
          </c:cat>
          <c:val>
            <c:numRef>
              <c:f>'behavior analysis'!$F$5:$F$21</c:f>
              <c:numCache>
                <c:formatCode>0.00%</c:formatCode>
                <c:ptCount val="12"/>
                <c:pt idx="0">
                  <c:v>3.0534351145038167E-2</c:v>
                </c:pt>
                <c:pt idx="1">
                  <c:v>3.162486368593239E-2</c:v>
                </c:pt>
                <c:pt idx="2">
                  <c:v>1.0905125408942203E-3</c:v>
                </c:pt>
                <c:pt idx="3">
                  <c:v>4.0348964013086151E-2</c:v>
                </c:pt>
                <c:pt idx="4">
                  <c:v>3.5986913849509271E-2</c:v>
                </c:pt>
                <c:pt idx="5">
                  <c:v>1.0905125408942203E-3</c:v>
                </c:pt>
                <c:pt idx="6">
                  <c:v>3.0534351145038167E-2</c:v>
                </c:pt>
                <c:pt idx="7">
                  <c:v>2.5081788440567066E-2</c:v>
                </c:pt>
                <c:pt idx="8">
                  <c:v>1.0905125408942203E-3</c:v>
                </c:pt>
                <c:pt idx="9">
                  <c:v>2.9443838604143947E-2</c:v>
                </c:pt>
                <c:pt idx="10">
                  <c:v>1.7448200654307525E-2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AF8-47BC-A33B-CAED3BAFA16B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982246407"/>
        <c:axId val="1982248455"/>
      </c:barChart>
      <c:catAx>
        <c:axId val="1982246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2248455"/>
        <c:crosses val="autoZero"/>
        <c:auto val="1"/>
        <c:lblAlgn val="ctr"/>
        <c:lblOffset val="100"/>
        <c:noMultiLvlLbl val="0"/>
      </c:catAx>
      <c:valAx>
        <c:axId val="1982248455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crossAx val="1982246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rgbClr val="375623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[The Excel project dataset - Copy.xlsx]behavior analysis!PivotTable12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Discount Sensitivity by Age and Gender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rgbClr val="FFFFFF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rgbClr val="FFFFFF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rgbClr val="FFFFFF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'behavior analysis'!$J$2:$J$3</c:f>
              <c:strCache>
                <c:ptCount val="1"/>
                <c:pt idx="0">
                  <c:v>Not Sensitive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solidFill>
                <a:srgbClr val="FFFFFF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'behavior analysis'!$H$4:$I$20</c:f>
              <c:multiLvlStrCache>
                <c:ptCount val="12"/>
                <c:lvl>
                  <c:pt idx="0">
                    <c:v>Female</c:v>
                  </c:pt>
                  <c:pt idx="1">
                    <c:v>Male</c:v>
                  </c:pt>
                  <c:pt idx="2">
                    <c:v>Non-binary</c:v>
                  </c:pt>
                  <c:pt idx="3">
                    <c:v>Female</c:v>
                  </c:pt>
                  <c:pt idx="4">
                    <c:v>Male</c:v>
                  </c:pt>
                  <c:pt idx="5">
                    <c:v>Non-binary</c:v>
                  </c:pt>
                  <c:pt idx="6">
                    <c:v>Female</c:v>
                  </c:pt>
                  <c:pt idx="7">
                    <c:v>Male</c:v>
                  </c:pt>
                  <c:pt idx="8">
                    <c:v>Non-binary</c:v>
                  </c:pt>
                  <c:pt idx="9">
                    <c:v>Female</c:v>
                  </c:pt>
                  <c:pt idx="10">
                    <c:v>Male</c:v>
                  </c:pt>
                  <c:pt idx="11">
                    <c:v>Non-binary</c:v>
                  </c:pt>
                </c:lvl>
                <c:lvl>
                  <c:pt idx="0">
                    <c:v>18-25</c:v>
                  </c:pt>
                  <c:pt idx="3">
                    <c:v>26-35</c:v>
                  </c:pt>
                  <c:pt idx="6">
                    <c:v>36-44</c:v>
                  </c:pt>
                  <c:pt idx="9">
                    <c:v>45-54</c:v>
                  </c:pt>
                </c:lvl>
              </c:multiLvlStrCache>
            </c:multiLvlStrRef>
          </c:cat>
          <c:val>
            <c:numRef>
              <c:f>'behavior analysis'!$J$4:$J$20</c:f>
              <c:numCache>
                <c:formatCode>0.00%</c:formatCode>
                <c:ptCount val="12"/>
                <c:pt idx="0">
                  <c:v>3.5986913849509271E-2</c:v>
                </c:pt>
                <c:pt idx="1">
                  <c:v>3.3805888767720831E-2</c:v>
                </c:pt>
                <c:pt idx="2">
                  <c:v>0</c:v>
                </c:pt>
                <c:pt idx="3">
                  <c:v>4.9073064340239912E-2</c:v>
                </c:pt>
                <c:pt idx="4">
                  <c:v>5.5616139585605233E-2</c:v>
                </c:pt>
                <c:pt idx="5">
                  <c:v>4.3620501635768813E-3</c:v>
                </c:pt>
                <c:pt idx="6">
                  <c:v>5.5616139585605233E-2</c:v>
                </c:pt>
                <c:pt idx="7">
                  <c:v>4.6892039258451472E-2</c:v>
                </c:pt>
                <c:pt idx="8">
                  <c:v>1.0905125408942203E-3</c:v>
                </c:pt>
                <c:pt idx="9">
                  <c:v>1.9629225736095966E-2</c:v>
                </c:pt>
                <c:pt idx="10">
                  <c:v>2.3991275899672846E-2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F7-402A-9CB9-3F6E9EF9402E}"/>
            </c:ext>
          </c:extLst>
        </c:ser>
        <c:ser>
          <c:idx val="1"/>
          <c:order val="1"/>
          <c:tx>
            <c:strRef>
              <c:f>'behavior analysis'!$K$2:$K$3</c:f>
              <c:strCache>
                <c:ptCount val="1"/>
                <c:pt idx="0">
                  <c:v>Somewhat Sensitive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solidFill>
                <a:srgbClr val="FFFFFF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'behavior analysis'!$H$4:$I$20</c:f>
              <c:multiLvlStrCache>
                <c:ptCount val="12"/>
                <c:lvl>
                  <c:pt idx="0">
                    <c:v>Female</c:v>
                  </c:pt>
                  <c:pt idx="1">
                    <c:v>Male</c:v>
                  </c:pt>
                  <c:pt idx="2">
                    <c:v>Non-binary</c:v>
                  </c:pt>
                  <c:pt idx="3">
                    <c:v>Female</c:v>
                  </c:pt>
                  <c:pt idx="4">
                    <c:v>Male</c:v>
                  </c:pt>
                  <c:pt idx="5">
                    <c:v>Non-binary</c:v>
                  </c:pt>
                  <c:pt idx="6">
                    <c:v>Female</c:v>
                  </c:pt>
                  <c:pt idx="7">
                    <c:v>Male</c:v>
                  </c:pt>
                  <c:pt idx="8">
                    <c:v>Non-binary</c:v>
                  </c:pt>
                  <c:pt idx="9">
                    <c:v>Female</c:v>
                  </c:pt>
                  <c:pt idx="10">
                    <c:v>Male</c:v>
                  </c:pt>
                  <c:pt idx="11">
                    <c:v>Non-binary</c:v>
                  </c:pt>
                </c:lvl>
                <c:lvl>
                  <c:pt idx="0">
                    <c:v>18-25</c:v>
                  </c:pt>
                  <c:pt idx="3">
                    <c:v>26-35</c:v>
                  </c:pt>
                  <c:pt idx="6">
                    <c:v>36-44</c:v>
                  </c:pt>
                  <c:pt idx="9">
                    <c:v>45-54</c:v>
                  </c:pt>
                </c:lvl>
              </c:multiLvlStrCache>
            </c:multiLvlStrRef>
          </c:cat>
          <c:val>
            <c:numRef>
              <c:f>'behavior analysis'!$K$4:$K$20</c:f>
              <c:numCache>
                <c:formatCode>0.00%</c:formatCode>
                <c:ptCount val="12"/>
                <c:pt idx="0">
                  <c:v>3.4896401308615051E-2</c:v>
                </c:pt>
                <c:pt idx="1">
                  <c:v>2.9443838604143947E-2</c:v>
                </c:pt>
                <c:pt idx="2">
                  <c:v>3.2715376226826608E-3</c:v>
                </c:pt>
                <c:pt idx="3">
                  <c:v>4.5801526717557252E-2</c:v>
                </c:pt>
                <c:pt idx="4">
                  <c:v>5.0163576881134132E-2</c:v>
                </c:pt>
                <c:pt idx="5">
                  <c:v>1.0905125408942203E-3</c:v>
                </c:pt>
                <c:pt idx="6">
                  <c:v>3.8167938931297711E-2</c:v>
                </c:pt>
                <c:pt idx="7">
                  <c:v>4.5801526717557252E-2</c:v>
                </c:pt>
                <c:pt idx="8">
                  <c:v>2.1810250817884407E-3</c:v>
                </c:pt>
                <c:pt idx="9">
                  <c:v>2.8353326063249727E-2</c:v>
                </c:pt>
                <c:pt idx="10">
                  <c:v>4.2529989094874592E-2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6F7-402A-9CB9-3F6E9EF9402E}"/>
            </c:ext>
          </c:extLst>
        </c:ser>
        <c:ser>
          <c:idx val="2"/>
          <c:order val="2"/>
          <c:tx>
            <c:strRef>
              <c:f>'behavior analysis'!$L$2:$L$3</c:f>
              <c:strCache>
                <c:ptCount val="1"/>
                <c:pt idx="0">
                  <c:v>Very Sensitive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solidFill>
                <a:srgbClr val="FFFFFF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'behavior analysis'!$H$4:$I$20</c:f>
              <c:multiLvlStrCache>
                <c:ptCount val="12"/>
                <c:lvl>
                  <c:pt idx="0">
                    <c:v>Female</c:v>
                  </c:pt>
                  <c:pt idx="1">
                    <c:v>Male</c:v>
                  </c:pt>
                  <c:pt idx="2">
                    <c:v>Non-binary</c:v>
                  </c:pt>
                  <c:pt idx="3">
                    <c:v>Female</c:v>
                  </c:pt>
                  <c:pt idx="4">
                    <c:v>Male</c:v>
                  </c:pt>
                  <c:pt idx="5">
                    <c:v>Non-binary</c:v>
                  </c:pt>
                  <c:pt idx="6">
                    <c:v>Female</c:v>
                  </c:pt>
                  <c:pt idx="7">
                    <c:v>Male</c:v>
                  </c:pt>
                  <c:pt idx="8">
                    <c:v>Non-binary</c:v>
                  </c:pt>
                  <c:pt idx="9">
                    <c:v>Female</c:v>
                  </c:pt>
                  <c:pt idx="10">
                    <c:v>Male</c:v>
                  </c:pt>
                  <c:pt idx="11">
                    <c:v>Non-binary</c:v>
                  </c:pt>
                </c:lvl>
                <c:lvl>
                  <c:pt idx="0">
                    <c:v>18-25</c:v>
                  </c:pt>
                  <c:pt idx="3">
                    <c:v>26-35</c:v>
                  </c:pt>
                  <c:pt idx="6">
                    <c:v>36-44</c:v>
                  </c:pt>
                  <c:pt idx="9">
                    <c:v>45-54</c:v>
                  </c:pt>
                </c:lvl>
              </c:multiLvlStrCache>
            </c:multiLvlStrRef>
          </c:cat>
          <c:val>
            <c:numRef>
              <c:f>'behavior analysis'!$L$4:$L$20</c:f>
              <c:numCache>
                <c:formatCode>0.00%</c:formatCode>
                <c:ptCount val="12"/>
                <c:pt idx="0">
                  <c:v>4.4711014176663032E-2</c:v>
                </c:pt>
                <c:pt idx="1">
                  <c:v>3.3805888767720831E-2</c:v>
                </c:pt>
                <c:pt idx="2">
                  <c:v>1.0905125408942203E-3</c:v>
                </c:pt>
                <c:pt idx="3">
                  <c:v>5.4525627044711013E-2</c:v>
                </c:pt>
                <c:pt idx="4">
                  <c:v>5.1254089422028352E-2</c:v>
                </c:pt>
                <c:pt idx="5">
                  <c:v>0</c:v>
                </c:pt>
                <c:pt idx="6">
                  <c:v>5.1254089422028352E-2</c:v>
                </c:pt>
                <c:pt idx="7">
                  <c:v>4.6892039258451472E-2</c:v>
                </c:pt>
                <c:pt idx="8">
                  <c:v>1.0905125408942203E-3</c:v>
                </c:pt>
                <c:pt idx="9">
                  <c:v>3.4896401308615051E-2</c:v>
                </c:pt>
                <c:pt idx="10">
                  <c:v>2.9443838604143947E-2</c:v>
                </c:pt>
                <c:pt idx="11">
                  <c:v>3.2715376226826608E-3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6F7-402A-9CB9-3F6E9EF9402E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633142279"/>
        <c:axId val="1681675783"/>
      </c:barChart>
      <c:catAx>
        <c:axId val="163314227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1675783"/>
        <c:crosses val="autoZero"/>
        <c:auto val="1"/>
        <c:lblAlgn val="ctr"/>
        <c:lblOffset val="100"/>
        <c:noMultiLvlLbl val="0"/>
      </c:catAx>
      <c:valAx>
        <c:axId val="1681675783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crossAx val="16331422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rgbClr val="375623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[The Excel project dataset - Copy.xlsx]behavior analysis!PivotTable2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Distribution of Product Categories per Purchases by Gender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rgbClr val="FFFFFF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rgbClr val="FFFFFF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rgbClr val="FFFFFF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rgbClr val="FFFFFF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rgbClr val="FFFFFF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rgbClr val="FFFFFF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rgbClr val="FFFFFF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rgbClr val="FFFFFF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rgbClr val="FFFFFF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rgbClr val="FFFFFF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rgbClr val="FFFFFF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rgbClr val="FFFFFF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rgbClr val="FFFFFF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rgbClr val="FFFFFF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rgbClr val="FFFFFF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rgbClr val="FFFFFF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rgbClr val="FFFFFF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rgbClr val="FFFFFF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rgbClr val="FFFFFF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rgbClr val="FFFFFF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rgbClr val="FFFFFF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'behavior analysis'!$P$10:$P$11</c:f>
              <c:strCache>
                <c:ptCount val="1"/>
                <c:pt idx="0">
                  <c:v>Animal Feed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solidFill>
                <a:srgbClr val="FFFFFF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'behavior analysis'!$O$12:$O$15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Non-binary</c:v>
                </c:pt>
              </c:strCache>
            </c:strRef>
          </c:cat>
          <c:val>
            <c:numRef>
              <c:f>'behavior analysis'!$P$12:$P$15</c:f>
              <c:numCache>
                <c:formatCode>0.00%</c:formatCode>
                <c:ptCount val="3"/>
                <c:pt idx="0">
                  <c:v>2.2900763358778626E-2</c:v>
                </c:pt>
                <c:pt idx="1">
                  <c:v>2.1810250817884406E-2</c:v>
                </c:pt>
                <c:pt idx="2">
                  <c:v>1.0905125408942203E-3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F8-4100-8331-DB5F7B9C413C}"/>
            </c:ext>
          </c:extLst>
        </c:ser>
        <c:ser>
          <c:idx val="1"/>
          <c:order val="1"/>
          <c:tx>
            <c:strRef>
              <c:f>'behavior analysis'!$Q$10:$Q$11</c:f>
              <c:strCache>
                <c:ptCount val="1"/>
                <c:pt idx="0">
                  <c:v>Arts &amp; Crafts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solidFill>
                <a:srgbClr val="FFFFFF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'behavior analysis'!$O$12:$O$15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Non-binary</c:v>
                </c:pt>
              </c:strCache>
            </c:strRef>
          </c:cat>
          <c:val>
            <c:numRef>
              <c:f>'behavior analysis'!$Q$12:$Q$15</c:f>
              <c:numCache>
                <c:formatCode>0.00%</c:formatCode>
                <c:ptCount val="3"/>
                <c:pt idx="0">
                  <c:v>1.8538713195201745E-2</c:v>
                </c:pt>
                <c:pt idx="1">
                  <c:v>1.4176663031624863E-2</c:v>
                </c:pt>
                <c:pt idx="2">
                  <c:v>2.1810250817884407E-3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FF8-4100-8331-DB5F7B9C413C}"/>
            </c:ext>
          </c:extLst>
        </c:ser>
        <c:ser>
          <c:idx val="2"/>
          <c:order val="2"/>
          <c:tx>
            <c:strRef>
              <c:f>'behavior analysis'!$R$10:$R$11</c:f>
              <c:strCache>
                <c:ptCount val="1"/>
                <c:pt idx="0">
                  <c:v>Baby Products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solidFill>
                <a:srgbClr val="FFFFFF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'behavior analysis'!$O$12:$O$15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Non-binary</c:v>
                </c:pt>
              </c:strCache>
            </c:strRef>
          </c:cat>
          <c:val>
            <c:numRef>
              <c:f>'behavior analysis'!$R$12:$R$15</c:f>
              <c:numCache>
                <c:formatCode>0.00%</c:formatCode>
                <c:ptCount val="3"/>
                <c:pt idx="0">
                  <c:v>2.1810250817884406E-2</c:v>
                </c:pt>
                <c:pt idx="1">
                  <c:v>2.0719738276990186E-2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FF8-4100-8331-DB5F7B9C413C}"/>
            </c:ext>
          </c:extLst>
        </c:ser>
        <c:ser>
          <c:idx val="3"/>
          <c:order val="3"/>
          <c:tx>
            <c:strRef>
              <c:f>'behavior analysis'!$S$10:$S$11</c:f>
              <c:strCache>
                <c:ptCount val="1"/>
                <c:pt idx="0">
                  <c:v>Beauty &amp; Personal Care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solidFill>
                <a:srgbClr val="FFFFFF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'behavior analysis'!$O$12:$O$15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Non-binary</c:v>
                </c:pt>
              </c:strCache>
            </c:strRef>
          </c:cat>
          <c:val>
            <c:numRef>
              <c:f>'behavior analysis'!$S$12:$S$15</c:f>
              <c:numCache>
                <c:formatCode>0.00%</c:formatCode>
                <c:ptCount val="3"/>
                <c:pt idx="0">
                  <c:v>1.9629225736095966E-2</c:v>
                </c:pt>
                <c:pt idx="1">
                  <c:v>1.4176663031624863E-2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FF8-4100-8331-DB5F7B9C413C}"/>
            </c:ext>
          </c:extLst>
        </c:ser>
        <c:ser>
          <c:idx val="4"/>
          <c:order val="4"/>
          <c:tx>
            <c:strRef>
              <c:f>'behavior analysis'!$T$10:$T$11</c:f>
              <c:strCache>
                <c:ptCount val="1"/>
                <c:pt idx="0">
                  <c:v>Books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solidFill>
                <a:srgbClr val="FFFFFF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'behavior analysis'!$O$12:$O$15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Non-binary</c:v>
                </c:pt>
              </c:strCache>
            </c:strRef>
          </c:cat>
          <c:val>
            <c:numRef>
              <c:f>'behavior analysis'!$T$12:$T$15</c:f>
              <c:numCache>
                <c:formatCode>0.00%</c:formatCode>
                <c:ptCount val="3"/>
                <c:pt idx="0">
                  <c:v>1.7448200654307525E-2</c:v>
                </c:pt>
                <c:pt idx="1">
                  <c:v>2.2900763358778626E-2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FF8-4100-8331-DB5F7B9C413C}"/>
            </c:ext>
          </c:extLst>
        </c:ser>
        <c:ser>
          <c:idx val="5"/>
          <c:order val="5"/>
          <c:tx>
            <c:strRef>
              <c:f>'behavior analysis'!$U$10:$U$11</c:f>
              <c:strCache>
                <c:ptCount val="1"/>
                <c:pt idx="0">
                  <c:v>Clothing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solidFill>
                <a:srgbClr val="FFFFFF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'behavior analysis'!$O$12:$O$15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Non-binary</c:v>
                </c:pt>
              </c:strCache>
            </c:strRef>
          </c:cat>
          <c:val>
            <c:numRef>
              <c:f>'behavior analysis'!$U$12:$U$15</c:f>
              <c:numCache>
                <c:formatCode>0.00%</c:formatCode>
                <c:ptCount val="3"/>
                <c:pt idx="0">
                  <c:v>1.0905125408942203E-2</c:v>
                </c:pt>
                <c:pt idx="1">
                  <c:v>1.6357688113413305E-2</c:v>
                </c:pt>
                <c:pt idx="2">
                  <c:v>1.0905125408942203E-3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FF8-4100-8331-DB5F7B9C413C}"/>
            </c:ext>
          </c:extLst>
        </c:ser>
        <c:ser>
          <c:idx val="6"/>
          <c:order val="6"/>
          <c:tx>
            <c:strRef>
              <c:f>'behavior analysis'!$V$10:$V$11</c:f>
              <c:strCache>
                <c:ptCount val="1"/>
                <c:pt idx="0">
                  <c:v>Electronics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solidFill>
                <a:srgbClr val="FFFFFF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'behavior analysis'!$O$12:$O$15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Non-binary</c:v>
                </c:pt>
              </c:strCache>
            </c:strRef>
          </c:cat>
          <c:val>
            <c:numRef>
              <c:f>'behavior analysis'!$V$12:$V$15</c:f>
              <c:numCache>
                <c:formatCode>0.00%</c:formatCode>
                <c:ptCount val="3"/>
                <c:pt idx="0">
                  <c:v>3.0534351145038167E-2</c:v>
                </c:pt>
                <c:pt idx="1">
                  <c:v>2.1810250817884406E-2</c:v>
                </c:pt>
                <c:pt idx="2">
                  <c:v>1.0905125408942203E-3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FF8-4100-8331-DB5F7B9C413C}"/>
            </c:ext>
          </c:extLst>
        </c:ser>
        <c:ser>
          <c:idx val="7"/>
          <c:order val="7"/>
          <c:tx>
            <c:strRef>
              <c:f>'behavior analysis'!$W$10:$W$11</c:f>
              <c:strCache>
                <c:ptCount val="1"/>
                <c:pt idx="0">
                  <c:v>Food &amp; Beverages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solidFill>
                <a:srgbClr val="FFFFFF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'behavior analysis'!$O$12:$O$15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Non-binary</c:v>
                </c:pt>
              </c:strCache>
            </c:strRef>
          </c:cat>
          <c:val>
            <c:numRef>
              <c:f>'behavior analysis'!$W$12:$W$15</c:f>
              <c:numCache>
                <c:formatCode>0.00%</c:formatCode>
                <c:ptCount val="3"/>
                <c:pt idx="0">
                  <c:v>2.2900763358778626E-2</c:v>
                </c:pt>
                <c:pt idx="1">
                  <c:v>2.0719738276990186E-2</c:v>
                </c:pt>
                <c:pt idx="2">
                  <c:v>1.0905125408942203E-3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2FF8-4100-8331-DB5F7B9C413C}"/>
            </c:ext>
          </c:extLst>
        </c:ser>
        <c:ser>
          <c:idx val="8"/>
          <c:order val="8"/>
          <c:tx>
            <c:strRef>
              <c:f>'behavior analysis'!$X$10:$X$11</c:f>
              <c:strCache>
                <c:ptCount val="1"/>
                <c:pt idx="0">
                  <c:v>Furniture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solidFill>
                <a:srgbClr val="FFFFFF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'behavior analysis'!$O$12:$O$15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Non-binary</c:v>
                </c:pt>
              </c:strCache>
            </c:strRef>
          </c:cat>
          <c:val>
            <c:numRef>
              <c:f>'behavior analysis'!$X$12:$X$15</c:f>
              <c:numCache>
                <c:formatCode>0.00%</c:formatCode>
                <c:ptCount val="3"/>
                <c:pt idx="0">
                  <c:v>2.1810250817884406E-2</c:v>
                </c:pt>
                <c:pt idx="1">
                  <c:v>1.8538713195201745E-2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FF8-4100-8331-DB5F7B9C413C}"/>
            </c:ext>
          </c:extLst>
        </c:ser>
        <c:ser>
          <c:idx val="9"/>
          <c:order val="9"/>
          <c:tx>
            <c:strRef>
              <c:f>'behavior analysis'!$Y$10:$Y$11</c:f>
              <c:strCache>
                <c:ptCount val="1"/>
                <c:pt idx="0">
                  <c:v>Gardening &amp; Outdoors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solidFill>
                <a:srgbClr val="FFFFFF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'behavior analysis'!$O$12:$O$15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Non-binary</c:v>
                </c:pt>
              </c:strCache>
            </c:strRef>
          </c:cat>
          <c:val>
            <c:numRef>
              <c:f>'behavior analysis'!$Y$12:$Y$15</c:f>
              <c:numCache>
                <c:formatCode>0.00%</c:formatCode>
                <c:ptCount val="3"/>
                <c:pt idx="0">
                  <c:v>1.8538713195201745E-2</c:v>
                </c:pt>
                <c:pt idx="1">
                  <c:v>2.6172300981461286E-2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2FF8-4100-8331-DB5F7B9C413C}"/>
            </c:ext>
          </c:extLst>
        </c:ser>
        <c:ser>
          <c:idx val="10"/>
          <c:order val="10"/>
          <c:tx>
            <c:strRef>
              <c:f>'behavior analysis'!$Z$10:$Z$11</c:f>
              <c:strCache>
                <c:ptCount val="1"/>
                <c:pt idx="0">
                  <c:v>Groceries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solidFill>
                <a:srgbClr val="FFFFFF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'behavior analysis'!$O$12:$O$15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Non-binary</c:v>
                </c:pt>
              </c:strCache>
            </c:strRef>
          </c:cat>
          <c:val>
            <c:numRef>
              <c:f>'behavior analysis'!$Z$12:$Z$15</c:f>
              <c:numCache>
                <c:formatCode>0.00%</c:formatCode>
                <c:ptCount val="3"/>
                <c:pt idx="0">
                  <c:v>1.8538713195201745E-2</c:v>
                </c:pt>
                <c:pt idx="1">
                  <c:v>1.9629225736095966E-2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2FF8-4100-8331-DB5F7B9C413C}"/>
            </c:ext>
          </c:extLst>
        </c:ser>
        <c:ser>
          <c:idx val="11"/>
          <c:order val="11"/>
          <c:tx>
            <c:strRef>
              <c:f>'behavior analysis'!$AA$10:$AA$11</c:f>
              <c:strCache>
                <c:ptCount val="1"/>
                <c:pt idx="0">
                  <c:v>Health Care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solidFill>
                <a:srgbClr val="FFFFFF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'behavior analysis'!$O$12:$O$15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Non-binary</c:v>
                </c:pt>
              </c:strCache>
            </c:strRef>
          </c:cat>
          <c:val>
            <c:numRef>
              <c:f>'behavior analysis'!$AA$12:$AA$15</c:f>
              <c:numCache>
                <c:formatCode>0.00%</c:formatCode>
                <c:ptCount val="3"/>
                <c:pt idx="0">
                  <c:v>3.9258451472191931E-2</c:v>
                </c:pt>
                <c:pt idx="1">
                  <c:v>4.0348964013086151E-2</c:v>
                </c:pt>
                <c:pt idx="2">
                  <c:v>1.0905125408942203E-3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2FF8-4100-8331-DB5F7B9C413C}"/>
            </c:ext>
          </c:extLst>
        </c:ser>
        <c:ser>
          <c:idx val="12"/>
          <c:order val="12"/>
          <c:tx>
            <c:strRef>
              <c:f>'behavior analysis'!$AB$10:$AB$11</c:f>
              <c:strCache>
                <c:ptCount val="1"/>
                <c:pt idx="0">
                  <c:v>Home Appliances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dLbls>
            <c:spPr>
              <a:solidFill>
                <a:srgbClr val="FFFFFF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'behavior analysis'!$O$12:$O$15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Non-binary</c:v>
                </c:pt>
              </c:strCache>
            </c:strRef>
          </c:cat>
          <c:val>
            <c:numRef>
              <c:f>'behavior analysis'!$AB$12:$AB$15</c:f>
              <c:numCache>
                <c:formatCode>0.00%</c:formatCode>
                <c:ptCount val="3"/>
                <c:pt idx="0">
                  <c:v>1.6357688113413305E-2</c:v>
                </c:pt>
                <c:pt idx="1">
                  <c:v>3.0534351145038167E-2</c:v>
                </c:pt>
                <c:pt idx="2">
                  <c:v>1.0905125408942203E-3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2FF8-4100-8331-DB5F7B9C413C}"/>
            </c:ext>
          </c:extLst>
        </c:ser>
        <c:ser>
          <c:idx val="13"/>
          <c:order val="13"/>
          <c:tx>
            <c:strRef>
              <c:f>'behavior analysis'!$AC$10:$AC$11</c:f>
              <c:strCache>
                <c:ptCount val="1"/>
                <c:pt idx="0">
                  <c:v>Luxury Goods &amp; Accessories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dLbls>
            <c:spPr>
              <a:solidFill>
                <a:srgbClr val="FFFFFF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'behavior analysis'!$O$12:$O$15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Non-binary</c:v>
                </c:pt>
              </c:strCache>
            </c:strRef>
          </c:cat>
          <c:val>
            <c:numRef>
              <c:f>'behavior analysis'!$AC$12:$AC$15</c:f>
              <c:numCache>
                <c:formatCode>0.00%</c:formatCode>
                <c:ptCount val="3"/>
                <c:pt idx="0">
                  <c:v>5.4525627044711013E-2</c:v>
                </c:pt>
                <c:pt idx="1">
                  <c:v>3.3805888767720831E-2</c:v>
                </c:pt>
                <c:pt idx="2">
                  <c:v>2.1810250817884407E-3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2FF8-4100-8331-DB5F7B9C413C}"/>
            </c:ext>
          </c:extLst>
        </c:ser>
        <c:ser>
          <c:idx val="14"/>
          <c:order val="14"/>
          <c:tx>
            <c:strRef>
              <c:f>'behavior analysis'!$AD$10:$AD$11</c:f>
              <c:strCache>
                <c:ptCount val="1"/>
                <c:pt idx="0">
                  <c:v>Mobile Accessories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dLbls>
            <c:spPr>
              <a:solidFill>
                <a:srgbClr val="FFFFFF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'behavior analysis'!$O$12:$O$15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Non-binary</c:v>
                </c:pt>
              </c:strCache>
            </c:strRef>
          </c:cat>
          <c:val>
            <c:numRef>
              <c:f>'behavior analysis'!$AD$12:$AD$15</c:f>
              <c:numCache>
                <c:formatCode>0.00%</c:formatCode>
                <c:ptCount val="3"/>
                <c:pt idx="0">
                  <c:v>1.7448200654307525E-2</c:v>
                </c:pt>
                <c:pt idx="1">
                  <c:v>2.2900763358778626E-2</c:v>
                </c:pt>
                <c:pt idx="2">
                  <c:v>3.2715376226826608E-3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2FF8-4100-8331-DB5F7B9C413C}"/>
            </c:ext>
          </c:extLst>
        </c:ser>
        <c:ser>
          <c:idx val="15"/>
          <c:order val="15"/>
          <c:tx>
            <c:strRef>
              <c:f>'behavior analysis'!$AE$10:$AE$11</c:f>
              <c:strCache>
                <c:ptCount val="1"/>
                <c:pt idx="0">
                  <c:v>Office Supplies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dLbls>
            <c:spPr>
              <a:solidFill>
                <a:srgbClr val="FFFFFF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'behavior analysis'!$O$12:$O$15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Non-binary</c:v>
                </c:pt>
              </c:strCache>
            </c:strRef>
          </c:cat>
          <c:val>
            <c:numRef>
              <c:f>'behavior analysis'!$AE$12:$AE$15</c:f>
              <c:numCache>
                <c:formatCode>0.00%</c:formatCode>
                <c:ptCount val="3"/>
                <c:pt idx="0">
                  <c:v>2.0719738276990186E-2</c:v>
                </c:pt>
                <c:pt idx="1">
                  <c:v>1.7448200654307525E-2</c:v>
                </c:pt>
                <c:pt idx="2">
                  <c:v>1.0905125408942203E-3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2FF8-4100-8331-DB5F7B9C413C}"/>
            </c:ext>
          </c:extLst>
        </c:ser>
        <c:ser>
          <c:idx val="16"/>
          <c:order val="16"/>
          <c:tx>
            <c:strRef>
              <c:f>'behavior analysis'!$AF$10:$AF$11</c:f>
              <c:strCache>
                <c:ptCount val="1"/>
                <c:pt idx="0">
                  <c:v>Packages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dLbls>
            <c:spPr>
              <a:solidFill>
                <a:srgbClr val="FFFFFF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'behavior analysis'!$O$12:$O$15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Non-binary</c:v>
                </c:pt>
              </c:strCache>
            </c:strRef>
          </c:cat>
          <c:val>
            <c:numRef>
              <c:f>'behavior analysis'!$AF$12:$AF$15</c:f>
              <c:numCache>
                <c:formatCode>0.00%</c:formatCode>
                <c:ptCount val="3"/>
                <c:pt idx="0">
                  <c:v>2.1810250817884406E-2</c:v>
                </c:pt>
                <c:pt idx="1">
                  <c:v>1.4176663031624863E-2</c:v>
                </c:pt>
                <c:pt idx="2">
                  <c:v>1.0905125408942203E-3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2FF8-4100-8331-DB5F7B9C413C}"/>
            </c:ext>
          </c:extLst>
        </c:ser>
        <c:ser>
          <c:idx val="17"/>
          <c:order val="17"/>
          <c:tx>
            <c:strRef>
              <c:f>'behavior analysis'!$AG$10:$AG$11</c:f>
              <c:strCache>
                <c:ptCount val="1"/>
                <c:pt idx="0">
                  <c:v>Software &amp; Apps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dLbls>
            <c:spPr>
              <a:solidFill>
                <a:srgbClr val="FFFFFF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'behavior analysis'!$O$12:$O$15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Non-binary</c:v>
                </c:pt>
              </c:strCache>
            </c:strRef>
          </c:cat>
          <c:val>
            <c:numRef>
              <c:f>'behavior analysis'!$AG$12:$AG$15</c:f>
              <c:numCache>
                <c:formatCode>0.00%</c:formatCode>
                <c:ptCount val="3"/>
                <c:pt idx="0">
                  <c:v>1.6357688113413305E-2</c:v>
                </c:pt>
                <c:pt idx="1">
                  <c:v>2.5081788440567066E-2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2FF8-4100-8331-DB5F7B9C413C}"/>
            </c:ext>
          </c:extLst>
        </c:ser>
        <c:ser>
          <c:idx val="18"/>
          <c:order val="18"/>
          <c:tx>
            <c:strRef>
              <c:f>'behavior analysis'!$AH$10:$AH$11</c:f>
              <c:strCache>
                <c:ptCount val="1"/>
                <c:pt idx="0">
                  <c:v>Sports &amp; Outdoors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dLbls>
            <c:spPr>
              <a:solidFill>
                <a:srgbClr val="FFFFFF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'behavior analysis'!$O$12:$O$15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Non-binary</c:v>
                </c:pt>
              </c:strCache>
            </c:strRef>
          </c:cat>
          <c:val>
            <c:numRef>
              <c:f>'behavior analysis'!$AH$12:$AH$15</c:f>
              <c:numCache>
                <c:formatCode>0.00%</c:formatCode>
                <c:ptCount val="3"/>
                <c:pt idx="0">
                  <c:v>2.5081788440567066E-2</c:v>
                </c:pt>
                <c:pt idx="1">
                  <c:v>2.5081788440567066E-2</c:v>
                </c:pt>
                <c:pt idx="2">
                  <c:v>1.0905125408942203E-3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2FF8-4100-8331-DB5F7B9C413C}"/>
            </c:ext>
          </c:extLst>
        </c:ser>
        <c:ser>
          <c:idx val="19"/>
          <c:order val="19"/>
          <c:tx>
            <c:strRef>
              <c:f>'behavior analysis'!$AI$10:$AI$11</c:f>
              <c:strCache>
                <c:ptCount val="1"/>
                <c:pt idx="0">
                  <c:v>Toys &amp; Games</c:v>
                </c:pt>
              </c:strCache>
            </c:strRef>
          </c:tx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dLbls>
            <c:spPr>
              <a:solidFill>
                <a:srgbClr val="FFFFFF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'behavior analysis'!$O$12:$O$15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Non-binary</c:v>
                </c:pt>
              </c:strCache>
            </c:strRef>
          </c:cat>
          <c:val>
            <c:numRef>
              <c:f>'behavior analysis'!$AI$12:$AI$15</c:f>
              <c:numCache>
                <c:formatCode>0.00%</c:formatCode>
                <c:ptCount val="3"/>
                <c:pt idx="0">
                  <c:v>2.6172300981461286E-2</c:v>
                </c:pt>
                <c:pt idx="1">
                  <c:v>2.2900763358778626E-2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2FF8-4100-8331-DB5F7B9C413C}"/>
            </c:ext>
          </c:extLst>
        </c:ser>
        <c:ser>
          <c:idx val="20"/>
          <c:order val="20"/>
          <c:tx>
            <c:strRef>
              <c:f>'behavior analysis'!$AJ$10:$AJ$11</c:f>
              <c:strCache>
                <c:ptCount val="1"/>
                <c:pt idx="0">
                  <c:v>Travel &amp; Leisure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dLbls>
            <c:spPr>
              <a:solidFill>
                <a:srgbClr val="FFFFFF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'behavior analysis'!$O$12:$O$15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Non-binary</c:v>
                </c:pt>
              </c:strCache>
            </c:strRef>
          </c:cat>
          <c:val>
            <c:numRef>
              <c:f>'behavior analysis'!$AJ$12:$AJ$15</c:f>
              <c:numCache>
                <c:formatCode>0.00%</c:formatCode>
                <c:ptCount val="3"/>
                <c:pt idx="0">
                  <c:v>3.162486368593239E-2</c:v>
                </c:pt>
                <c:pt idx="1">
                  <c:v>4.0348964013086151E-2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2FF8-4100-8331-DB5F7B9C413C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2011219975"/>
        <c:axId val="2011230215"/>
      </c:barChart>
      <c:catAx>
        <c:axId val="20112199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rgbClr val="FFFFFF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1" i="0" u="sng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1230215"/>
        <c:crosses val="autoZero"/>
        <c:auto val="1"/>
        <c:lblAlgn val="ctr"/>
        <c:lblOffset val="100"/>
        <c:noMultiLvlLbl val="0"/>
      </c:catAx>
      <c:valAx>
        <c:axId val="2011230215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crossAx val="20112199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rgbClr val="375623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[The Excel project dataset - Copy.xlsx]behavior analysis!PivotTable1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Distribution of Product Categories per Purchases by Marital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rgbClr val="FFFFFF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rgbClr val="FFFFFF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rgbClr val="FFFFFF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rgbClr val="FFFFFF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rgbClr val="FFFFFF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rgbClr val="FFFFFF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rgbClr val="FFFFFF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rgbClr val="FFFFFF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rgbClr val="FFFFFF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rgbClr val="FFFFFF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rgbClr val="FFFFFF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rgbClr val="FFFFFF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rgbClr val="FFFFFF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rgbClr val="FFFFFF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rgbClr val="FFFFFF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rgbClr val="FFFFFF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rgbClr val="FFFFFF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rgbClr val="FFFFFF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rgbClr val="FFFFFF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rgbClr val="FFFFFF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rgbClr val="FFFFFF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'behavior analysis'!$AO$3:$AO$4</c:f>
              <c:strCache>
                <c:ptCount val="1"/>
                <c:pt idx="0">
                  <c:v>Animal Feed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solidFill>
                <a:srgbClr val="FFFFFF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'behavior analysis'!$AN$5:$AN$9</c:f>
              <c:strCache>
                <c:ptCount val="4"/>
                <c:pt idx="0">
                  <c:v>Widowed</c:v>
                </c:pt>
                <c:pt idx="1">
                  <c:v>Married</c:v>
                </c:pt>
                <c:pt idx="2">
                  <c:v>Divorced</c:v>
                </c:pt>
                <c:pt idx="3">
                  <c:v>Single</c:v>
                </c:pt>
              </c:strCache>
            </c:strRef>
          </c:cat>
          <c:val>
            <c:numRef>
              <c:f>'behavior analysis'!$AO$5:$AO$9</c:f>
              <c:numCache>
                <c:formatCode>0.00%</c:formatCode>
                <c:ptCount val="4"/>
                <c:pt idx="0">
                  <c:v>1.6E-2</c:v>
                </c:pt>
                <c:pt idx="1">
                  <c:v>1.4E-2</c:v>
                </c:pt>
                <c:pt idx="2">
                  <c:v>0.01</c:v>
                </c:pt>
                <c:pt idx="3">
                  <c:v>4.0000000000000001E-3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FC-48A7-A695-787DB7A2C1EE}"/>
            </c:ext>
          </c:extLst>
        </c:ser>
        <c:ser>
          <c:idx val="1"/>
          <c:order val="1"/>
          <c:tx>
            <c:strRef>
              <c:f>'behavior analysis'!$AP$3:$AP$4</c:f>
              <c:strCache>
                <c:ptCount val="1"/>
                <c:pt idx="0">
                  <c:v>Arts &amp; Crafts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solidFill>
                <a:srgbClr val="FFFFFF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'behavior analysis'!$AN$5:$AN$9</c:f>
              <c:strCache>
                <c:ptCount val="4"/>
                <c:pt idx="0">
                  <c:v>Widowed</c:v>
                </c:pt>
                <c:pt idx="1">
                  <c:v>Married</c:v>
                </c:pt>
                <c:pt idx="2">
                  <c:v>Divorced</c:v>
                </c:pt>
                <c:pt idx="3">
                  <c:v>Single</c:v>
                </c:pt>
              </c:strCache>
            </c:strRef>
          </c:cat>
          <c:val>
            <c:numRef>
              <c:f>'behavior analysis'!$AP$5:$AP$9</c:f>
              <c:numCache>
                <c:formatCode>0.00%</c:formatCode>
                <c:ptCount val="4"/>
                <c:pt idx="0">
                  <c:v>0.01</c:v>
                </c:pt>
                <c:pt idx="1">
                  <c:v>8.9999999999999993E-3</c:v>
                </c:pt>
                <c:pt idx="2">
                  <c:v>6.0000000000000001E-3</c:v>
                </c:pt>
                <c:pt idx="3">
                  <c:v>8.9999999999999993E-3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4FC-48A7-A695-787DB7A2C1EE}"/>
            </c:ext>
          </c:extLst>
        </c:ser>
        <c:ser>
          <c:idx val="2"/>
          <c:order val="2"/>
          <c:tx>
            <c:strRef>
              <c:f>'behavior analysis'!$AQ$3:$AQ$4</c:f>
              <c:strCache>
                <c:ptCount val="1"/>
                <c:pt idx="0">
                  <c:v>Baby Products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solidFill>
                <a:srgbClr val="FFFFFF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'behavior analysis'!$AN$5:$AN$9</c:f>
              <c:strCache>
                <c:ptCount val="4"/>
                <c:pt idx="0">
                  <c:v>Widowed</c:v>
                </c:pt>
                <c:pt idx="1">
                  <c:v>Married</c:v>
                </c:pt>
                <c:pt idx="2">
                  <c:v>Divorced</c:v>
                </c:pt>
                <c:pt idx="3">
                  <c:v>Single</c:v>
                </c:pt>
              </c:strCache>
            </c:strRef>
          </c:cat>
          <c:val>
            <c:numRef>
              <c:f>'behavior analysis'!$AQ$5:$AQ$9</c:f>
              <c:numCache>
                <c:formatCode>0.00%</c:formatCode>
                <c:ptCount val="4"/>
                <c:pt idx="0">
                  <c:v>7.0000000000000001E-3</c:v>
                </c:pt>
                <c:pt idx="1">
                  <c:v>1.2999999999999999E-2</c:v>
                </c:pt>
                <c:pt idx="2">
                  <c:v>1.0999999999999999E-2</c:v>
                </c:pt>
                <c:pt idx="3">
                  <c:v>0.01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4FC-48A7-A695-787DB7A2C1EE}"/>
            </c:ext>
          </c:extLst>
        </c:ser>
        <c:ser>
          <c:idx val="3"/>
          <c:order val="3"/>
          <c:tx>
            <c:strRef>
              <c:f>'behavior analysis'!$AR$3:$AR$4</c:f>
              <c:strCache>
                <c:ptCount val="1"/>
                <c:pt idx="0">
                  <c:v>Beauty &amp; Personal Care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solidFill>
                <a:srgbClr val="FFFFFF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'behavior analysis'!$AN$5:$AN$9</c:f>
              <c:strCache>
                <c:ptCount val="4"/>
                <c:pt idx="0">
                  <c:v>Widowed</c:v>
                </c:pt>
                <c:pt idx="1">
                  <c:v>Married</c:v>
                </c:pt>
                <c:pt idx="2">
                  <c:v>Divorced</c:v>
                </c:pt>
                <c:pt idx="3">
                  <c:v>Single</c:v>
                </c:pt>
              </c:strCache>
            </c:strRef>
          </c:cat>
          <c:val>
            <c:numRef>
              <c:f>'behavior analysis'!$AR$5:$AR$9</c:f>
              <c:numCache>
                <c:formatCode>0.00%</c:formatCode>
                <c:ptCount val="4"/>
                <c:pt idx="0">
                  <c:v>1.2999999999999999E-2</c:v>
                </c:pt>
                <c:pt idx="1">
                  <c:v>5.0000000000000001E-3</c:v>
                </c:pt>
                <c:pt idx="2">
                  <c:v>6.0000000000000001E-3</c:v>
                </c:pt>
                <c:pt idx="3">
                  <c:v>0.01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4FC-48A7-A695-787DB7A2C1EE}"/>
            </c:ext>
          </c:extLst>
        </c:ser>
        <c:ser>
          <c:idx val="4"/>
          <c:order val="4"/>
          <c:tx>
            <c:strRef>
              <c:f>'behavior analysis'!$AS$3:$AS$4</c:f>
              <c:strCache>
                <c:ptCount val="1"/>
                <c:pt idx="0">
                  <c:v>Books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solidFill>
                <a:srgbClr val="FFFFFF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'behavior analysis'!$AN$5:$AN$9</c:f>
              <c:strCache>
                <c:ptCount val="4"/>
                <c:pt idx="0">
                  <c:v>Widowed</c:v>
                </c:pt>
                <c:pt idx="1">
                  <c:v>Married</c:v>
                </c:pt>
                <c:pt idx="2">
                  <c:v>Divorced</c:v>
                </c:pt>
                <c:pt idx="3">
                  <c:v>Single</c:v>
                </c:pt>
              </c:strCache>
            </c:strRef>
          </c:cat>
          <c:val>
            <c:numRef>
              <c:f>'behavior analysis'!$AS$5:$AS$9</c:f>
              <c:numCache>
                <c:formatCode>0.00%</c:formatCode>
                <c:ptCount val="4"/>
                <c:pt idx="0">
                  <c:v>1.2E-2</c:v>
                </c:pt>
                <c:pt idx="1">
                  <c:v>5.0000000000000001E-3</c:v>
                </c:pt>
                <c:pt idx="2">
                  <c:v>6.0000000000000001E-3</c:v>
                </c:pt>
                <c:pt idx="3">
                  <c:v>1.4E-2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4FC-48A7-A695-787DB7A2C1EE}"/>
            </c:ext>
          </c:extLst>
        </c:ser>
        <c:ser>
          <c:idx val="5"/>
          <c:order val="5"/>
          <c:tx>
            <c:strRef>
              <c:f>'behavior analysis'!$AT$3:$AT$4</c:f>
              <c:strCache>
                <c:ptCount val="1"/>
                <c:pt idx="0">
                  <c:v>Clothing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solidFill>
                <a:srgbClr val="FFFFFF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'behavior analysis'!$AN$5:$AN$9</c:f>
              <c:strCache>
                <c:ptCount val="4"/>
                <c:pt idx="0">
                  <c:v>Widowed</c:v>
                </c:pt>
                <c:pt idx="1">
                  <c:v>Married</c:v>
                </c:pt>
                <c:pt idx="2">
                  <c:v>Divorced</c:v>
                </c:pt>
                <c:pt idx="3">
                  <c:v>Single</c:v>
                </c:pt>
              </c:strCache>
            </c:strRef>
          </c:cat>
          <c:val>
            <c:numRef>
              <c:f>'behavior analysis'!$AT$5:$AT$9</c:f>
              <c:numCache>
                <c:formatCode>0.00%</c:formatCode>
                <c:ptCount val="4"/>
                <c:pt idx="0">
                  <c:v>5.0000000000000001E-3</c:v>
                </c:pt>
                <c:pt idx="1">
                  <c:v>8.0000000000000002E-3</c:v>
                </c:pt>
                <c:pt idx="2">
                  <c:v>1.2999999999999999E-2</c:v>
                </c:pt>
                <c:pt idx="3">
                  <c:v>4.0000000000000001E-3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4FC-48A7-A695-787DB7A2C1EE}"/>
            </c:ext>
          </c:extLst>
        </c:ser>
        <c:ser>
          <c:idx val="6"/>
          <c:order val="6"/>
          <c:tx>
            <c:strRef>
              <c:f>'behavior analysis'!$AU$3:$AU$4</c:f>
              <c:strCache>
                <c:ptCount val="1"/>
                <c:pt idx="0">
                  <c:v>Electronics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solidFill>
                <a:srgbClr val="FFFFFF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'behavior analysis'!$AN$5:$AN$9</c:f>
              <c:strCache>
                <c:ptCount val="4"/>
                <c:pt idx="0">
                  <c:v>Widowed</c:v>
                </c:pt>
                <c:pt idx="1">
                  <c:v>Married</c:v>
                </c:pt>
                <c:pt idx="2">
                  <c:v>Divorced</c:v>
                </c:pt>
                <c:pt idx="3">
                  <c:v>Single</c:v>
                </c:pt>
              </c:strCache>
            </c:strRef>
          </c:cat>
          <c:val>
            <c:numRef>
              <c:f>'behavior analysis'!$AU$5:$AU$9</c:f>
              <c:numCache>
                <c:formatCode>0.00%</c:formatCode>
                <c:ptCount val="4"/>
                <c:pt idx="0">
                  <c:v>1.4E-2</c:v>
                </c:pt>
                <c:pt idx="1">
                  <c:v>1.4999999999999999E-2</c:v>
                </c:pt>
                <c:pt idx="2">
                  <c:v>1.2999999999999999E-2</c:v>
                </c:pt>
                <c:pt idx="3">
                  <c:v>1.2E-2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4FC-48A7-A695-787DB7A2C1EE}"/>
            </c:ext>
          </c:extLst>
        </c:ser>
        <c:ser>
          <c:idx val="7"/>
          <c:order val="7"/>
          <c:tx>
            <c:strRef>
              <c:f>'behavior analysis'!$AV$3:$AV$4</c:f>
              <c:strCache>
                <c:ptCount val="1"/>
                <c:pt idx="0">
                  <c:v>Food &amp; Beverages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solidFill>
                <a:srgbClr val="FFFFFF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'behavior analysis'!$AN$5:$AN$9</c:f>
              <c:strCache>
                <c:ptCount val="4"/>
                <c:pt idx="0">
                  <c:v>Widowed</c:v>
                </c:pt>
                <c:pt idx="1">
                  <c:v>Married</c:v>
                </c:pt>
                <c:pt idx="2">
                  <c:v>Divorced</c:v>
                </c:pt>
                <c:pt idx="3">
                  <c:v>Single</c:v>
                </c:pt>
              </c:strCache>
            </c:strRef>
          </c:cat>
          <c:val>
            <c:numRef>
              <c:f>'behavior analysis'!$AV$5:$AV$9</c:f>
              <c:numCache>
                <c:formatCode>0.00%</c:formatCode>
                <c:ptCount val="4"/>
                <c:pt idx="0">
                  <c:v>1.0999999999999999E-2</c:v>
                </c:pt>
                <c:pt idx="1">
                  <c:v>1.2999999999999999E-2</c:v>
                </c:pt>
                <c:pt idx="2">
                  <c:v>1.2E-2</c:v>
                </c:pt>
                <c:pt idx="3">
                  <c:v>8.0000000000000002E-3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B4FC-48A7-A695-787DB7A2C1EE}"/>
            </c:ext>
          </c:extLst>
        </c:ser>
        <c:ser>
          <c:idx val="8"/>
          <c:order val="8"/>
          <c:tx>
            <c:strRef>
              <c:f>'behavior analysis'!$AW$3:$AW$4</c:f>
              <c:strCache>
                <c:ptCount val="1"/>
                <c:pt idx="0">
                  <c:v>Furniture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solidFill>
                <a:srgbClr val="FFFFFF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'behavior analysis'!$AN$5:$AN$9</c:f>
              <c:strCache>
                <c:ptCount val="4"/>
                <c:pt idx="0">
                  <c:v>Widowed</c:v>
                </c:pt>
                <c:pt idx="1">
                  <c:v>Married</c:v>
                </c:pt>
                <c:pt idx="2">
                  <c:v>Divorced</c:v>
                </c:pt>
                <c:pt idx="3">
                  <c:v>Single</c:v>
                </c:pt>
              </c:strCache>
            </c:strRef>
          </c:cat>
          <c:val>
            <c:numRef>
              <c:f>'behavior analysis'!$AW$5:$AW$9</c:f>
              <c:numCache>
                <c:formatCode>0.00%</c:formatCode>
                <c:ptCount val="4"/>
                <c:pt idx="0">
                  <c:v>1.2E-2</c:v>
                </c:pt>
                <c:pt idx="1">
                  <c:v>8.9999999999999993E-3</c:v>
                </c:pt>
                <c:pt idx="2">
                  <c:v>8.9999999999999993E-3</c:v>
                </c:pt>
                <c:pt idx="3">
                  <c:v>1.0999999999999999E-2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4FC-48A7-A695-787DB7A2C1EE}"/>
            </c:ext>
          </c:extLst>
        </c:ser>
        <c:ser>
          <c:idx val="9"/>
          <c:order val="9"/>
          <c:tx>
            <c:strRef>
              <c:f>'behavior analysis'!$AX$3:$AX$4</c:f>
              <c:strCache>
                <c:ptCount val="1"/>
                <c:pt idx="0">
                  <c:v>Gardening &amp; Outdoors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solidFill>
                <a:srgbClr val="FFFFFF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'behavior analysis'!$AN$5:$AN$9</c:f>
              <c:strCache>
                <c:ptCount val="4"/>
                <c:pt idx="0">
                  <c:v>Widowed</c:v>
                </c:pt>
                <c:pt idx="1">
                  <c:v>Married</c:v>
                </c:pt>
                <c:pt idx="2">
                  <c:v>Divorced</c:v>
                </c:pt>
                <c:pt idx="3">
                  <c:v>Single</c:v>
                </c:pt>
              </c:strCache>
            </c:strRef>
          </c:cat>
          <c:val>
            <c:numRef>
              <c:f>'behavior analysis'!$AX$5:$AX$9</c:f>
              <c:numCache>
                <c:formatCode>0.00%</c:formatCode>
                <c:ptCount val="4"/>
                <c:pt idx="0">
                  <c:v>8.0000000000000002E-3</c:v>
                </c:pt>
                <c:pt idx="1">
                  <c:v>1.2999999999999999E-2</c:v>
                </c:pt>
                <c:pt idx="2">
                  <c:v>0.01</c:v>
                </c:pt>
                <c:pt idx="3">
                  <c:v>1.2999999999999999E-2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B4FC-48A7-A695-787DB7A2C1EE}"/>
            </c:ext>
          </c:extLst>
        </c:ser>
        <c:ser>
          <c:idx val="10"/>
          <c:order val="10"/>
          <c:tx>
            <c:strRef>
              <c:f>'behavior analysis'!$AY$3:$AY$4</c:f>
              <c:strCache>
                <c:ptCount val="1"/>
                <c:pt idx="0">
                  <c:v>Groceries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solidFill>
                <a:srgbClr val="FFFFFF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'behavior analysis'!$AN$5:$AN$9</c:f>
              <c:strCache>
                <c:ptCount val="4"/>
                <c:pt idx="0">
                  <c:v>Widowed</c:v>
                </c:pt>
                <c:pt idx="1">
                  <c:v>Married</c:v>
                </c:pt>
                <c:pt idx="2">
                  <c:v>Divorced</c:v>
                </c:pt>
                <c:pt idx="3">
                  <c:v>Single</c:v>
                </c:pt>
              </c:strCache>
            </c:strRef>
          </c:cat>
          <c:val>
            <c:numRef>
              <c:f>'behavior analysis'!$AY$5:$AY$9</c:f>
              <c:numCache>
                <c:formatCode>0.00%</c:formatCode>
                <c:ptCount val="4"/>
                <c:pt idx="0">
                  <c:v>8.0000000000000002E-3</c:v>
                </c:pt>
                <c:pt idx="1">
                  <c:v>1.2E-2</c:v>
                </c:pt>
                <c:pt idx="2">
                  <c:v>1.0999999999999999E-2</c:v>
                </c:pt>
                <c:pt idx="3">
                  <c:v>0.01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B4FC-48A7-A695-787DB7A2C1EE}"/>
            </c:ext>
          </c:extLst>
        </c:ser>
        <c:ser>
          <c:idx val="11"/>
          <c:order val="11"/>
          <c:tx>
            <c:strRef>
              <c:f>'behavior analysis'!$AZ$3:$AZ$4</c:f>
              <c:strCache>
                <c:ptCount val="1"/>
                <c:pt idx="0">
                  <c:v>Health Care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solidFill>
                <a:srgbClr val="FFFFFF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'behavior analysis'!$AN$5:$AN$9</c:f>
              <c:strCache>
                <c:ptCount val="4"/>
                <c:pt idx="0">
                  <c:v>Widowed</c:v>
                </c:pt>
                <c:pt idx="1">
                  <c:v>Married</c:v>
                </c:pt>
                <c:pt idx="2">
                  <c:v>Divorced</c:v>
                </c:pt>
                <c:pt idx="3">
                  <c:v>Single</c:v>
                </c:pt>
              </c:strCache>
            </c:strRef>
          </c:cat>
          <c:val>
            <c:numRef>
              <c:f>'behavior analysis'!$AZ$5:$AZ$9</c:f>
              <c:numCache>
                <c:formatCode>0.00%</c:formatCode>
                <c:ptCount val="4"/>
                <c:pt idx="0">
                  <c:v>2.1999999999999999E-2</c:v>
                </c:pt>
                <c:pt idx="1">
                  <c:v>1.4E-2</c:v>
                </c:pt>
                <c:pt idx="2">
                  <c:v>2.1000000000000001E-2</c:v>
                </c:pt>
                <c:pt idx="3">
                  <c:v>2.5000000000000001E-2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B4FC-48A7-A695-787DB7A2C1EE}"/>
            </c:ext>
          </c:extLst>
        </c:ser>
        <c:ser>
          <c:idx val="12"/>
          <c:order val="12"/>
          <c:tx>
            <c:strRef>
              <c:f>'behavior analysis'!$BA$3:$BA$4</c:f>
              <c:strCache>
                <c:ptCount val="1"/>
                <c:pt idx="0">
                  <c:v>Home Appliances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dLbls>
            <c:spPr>
              <a:solidFill>
                <a:srgbClr val="FFFFFF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'behavior analysis'!$AN$5:$AN$9</c:f>
              <c:strCache>
                <c:ptCount val="4"/>
                <c:pt idx="0">
                  <c:v>Widowed</c:v>
                </c:pt>
                <c:pt idx="1">
                  <c:v>Married</c:v>
                </c:pt>
                <c:pt idx="2">
                  <c:v>Divorced</c:v>
                </c:pt>
                <c:pt idx="3">
                  <c:v>Single</c:v>
                </c:pt>
              </c:strCache>
            </c:strRef>
          </c:cat>
          <c:val>
            <c:numRef>
              <c:f>'behavior analysis'!$BA$5:$BA$9</c:f>
              <c:numCache>
                <c:formatCode>0.00%</c:formatCode>
                <c:ptCount val="4"/>
                <c:pt idx="0">
                  <c:v>1.4E-2</c:v>
                </c:pt>
                <c:pt idx="1">
                  <c:v>1.2E-2</c:v>
                </c:pt>
                <c:pt idx="2">
                  <c:v>1.0999999999999999E-2</c:v>
                </c:pt>
                <c:pt idx="3">
                  <c:v>1.2999999999999999E-2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B4FC-48A7-A695-787DB7A2C1EE}"/>
            </c:ext>
          </c:extLst>
        </c:ser>
        <c:ser>
          <c:idx val="13"/>
          <c:order val="13"/>
          <c:tx>
            <c:strRef>
              <c:f>'behavior analysis'!$BB$3:$BB$4</c:f>
              <c:strCache>
                <c:ptCount val="1"/>
                <c:pt idx="0">
                  <c:v>Luxury Goods &amp; Accessories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dLbls>
            <c:spPr>
              <a:solidFill>
                <a:srgbClr val="FFFFFF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'behavior analysis'!$AN$5:$AN$9</c:f>
              <c:strCache>
                <c:ptCount val="4"/>
                <c:pt idx="0">
                  <c:v>Widowed</c:v>
                </c:pt>
                <c:pt idx="1">
                  <c:v>Married</c:v>
                </c:pt>
                <c:pt idx="2">
                  <c:v>Divorced</c:v>
                </c:pt>
                <c:pt idx="3">
                  <c:v>Single</c:v>
                </c:pt>
              </c:strCache>
            </c:strRef>
          </c:cat>
          <c:val>
            <c:numRef>
              <c:f>'behavior analysis'!$BB$5:$BB$9</c:f>
              <c:numCache>
                <c:formatCode>0.00%</c:formatCode>
                <c:ptCount val="4"/>
                <c:pt idx="0">
                  <c:v>2.9000000000000001E-2</c:v>
                </c:pt>
                <c:pt idx="1">
                  <c:v>1.9E-2</c:v>
                </c:pt>
                <c:pt idx="2">
                  <c:v>2.5000000000000001E-2</c:v>
                </c:pt>
                <c:pt idx="3">
                  <c:v>1.4E-2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B4FC-48A7-A695-787DB7A2C1EE}"/>
            </c:ext>
          </c:extLst>
        </c:ser>
        <c:ser>
          <c:idx val="14"/>
          <c:order val="14"/>
          <c:tx>
            <c:strRef>
              <c:f>'behavior analysis'!$BC$3:$BC$4</c:f>
              <c:strCache>
                <c:ptCount val="1"/>
                <c:pt idx="0">
                  <c:v>Mobile Accessories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dLbls>
            <c:spPr>
              <a:solidFill>
                <a:srgbClr val="FFFFFF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'behavior analysis'!$AN$5:$AN$9</c:f>
              <c:strCache>
                <c:ptCount val="4"/>
                <c:pt idx="0">
                  <c:v>Widowed</c:v>
                </c:pt>
                <c:pt idx="1">
                  <c:v>Married</c:v>
                </c:pt>
                <c:pt idx="2">
                  <c:v>Divorced</c:v>
                </c:pt>
                <c:pt idx="3">
                  <c:v>Single</c:v>
                </c:pt>
              </c:strCache>
            </c:strRef>
          </c:cat>
          <c:val>
            <c:numRef>
              <c:f>'behavior analysis'!$BC$5:$BC$9</c:f>
              <c:numCache>
                <c:formatCode>0.00%</c:formatCode>
                <c:ptCount val="4"/>
                <c:pt idx="0">
                  <c:v>6.0000000000000001E-3</c:v>
                </c:pt>
                <c:pt idx="1">
                  <c:v>1.7000000000000001E-2</c:v>
                </c:pt>
                <c:pt idx="2">
                  <c:v>1.2E-2</c:v>
                </c:pt>
                <c:pt idx="3">
                  <c:v>6.0000000000000001E-3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B4FC-48A7-A695-787DB7A2C1EE}"/>
            </c:ext>
          </c:extLst>
        </c:ser>
        <c:ser>
          <c:idx val="15"/>
          <c:order val="15"/>
          <c:tx>
            <c:strRef>
              <c:f>'behavior analysis'!$BD$3:$BD$4</c:f>
              <c:strCache>
                <c:ptCount val="1"/>
                <c:pt idx="0">
                  <c:v>Office Supplies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dLbls>
            <c:spPr>
              <a:solidFill>
                <a:srgbClr val="FFFFFF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'behavior analysis'!$AN$5:$AN$9</c:f>
              <c:strCache>
                <c:ptCount val="4"/>
                <c:pt idx="0">
                  <c:v>Widowed</c:v>
                </c:pt>
                <c:pt idx="1">
                  <c:v>Married</c:v>
                </c:pt>
                <c:pt idx="2">
                  <c:v>Divorced</c:v>
                </c:pt>
                <c:pt idx="3">
                  <c:v>Single</c:v>
                </c:pt>
              </c:strCache>
            </c:strRef>
          </c:cat>
          <c:val>
            <c:numRef>
              <c:f>'behavior analysis'!$BD$5:$BD$9</c:f>
              <c:numCache>
                <c:formatCode>0.00%</c:formatCode>
                <c:ptCount val="4"/>
                <c:pt idx="0">
                  <c:v>8.0000000000000002E-3</c:v>
                </c:pt>
                <c:pt idx="1">
                  <c:v>0.01</c:v>
                </c:pt>
                <c:pt idx="2">
                  <c:v>0.01</c:v>
                </c:pt>
                <c:pt idx="3">
                  <c:v>0.01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B4FC-48A7-A695-787DB7A2C1EE}"/>
            </c:ext>
          </c:extLst>
        </c:ser>
        <c:ser>
          <c:idx val="16"/>
          <c:order val="16"/>
          <c:tx>
            <c:strRef>
              <c:f>'behavior analysis'!$BE$3:$BE$4</c:f>
              <c:strCache>
                <c:ptCount val="1"/>
                <c:pt idx="0">
                  <c:v>Packages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dLbls>
            <c:spPr>
              <a:solidFill>
                <a:srgbClr val="FFFFFF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'behavior analysis'!$AN$5:$AN$9</c:f>
              <c:strCache>
                <c:ptCount val="4"/>
                <c:pt idx="0">
                  <c:v>Widowed</c:v>
                </c:pt>
                <c:pt idx="1">
                  <c:v>Married</c:v>
                </c:pt>
                <c:pt idx="2">
                  <c:v>Divorced</c:v>
                </c:pt>
                <c:pt idx="3">
                  <c:v>Single</c:v>
                </c:pt>
              </c:strCache>
            </c:strRef>
          </c:cat>
          <c:val>
            <c:numRef>
              <c:f>'behavior analysis'!$BE$5:$BE$9</c:f>
              <c:numCache>
                <c:formatCode>0.00%</c:formatCode>
                <c:ptCount val="4"/>
                <c:pt idx="0">
                  <c:v>1.0999999999999999E-2</c:v>
                </c:pt>
                <c:pt idx="1">
                  <c:v>1.2E-2</c:v>
                </c:pt>
                <c:pt idx="2">
                  <c:v>8.9999999999999993E-3</c:v>
                </c:pt>
                <c:pt idx="3">
                  <c:v>1.0999999999999999E-2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B4FC-48A7-A695-787DB7A2C1EE}"/>
            </c:ext>
          </c:extLst>
        </c:ser>
        <c:ser>
          <c:idx val="17"/>
          <c:order val="17"/>
          <c:tx>
            <c:strRef>
              <c:f>'behavior analysis'!$BF$3:$BF$4</c:f>
              <c:strCache>
                <c:ptCount val="1"/>
                <c:pt idx="0">
                  <c:v>Software &amp; Apps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dLbls>
            <c:spPr>
              <a:solidFill>
                <a:srgbClr val="FFFFFF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'behavior analysis'!$AN$5:$AN$9</c:f>
              <c:strCache>
                <c:ptCount val="4"/>
                <c:pt idx="0">
                  <c:v>Widowed</c:v>
                </c:pt>
                <c:pt idx="1">
                  <c:v>Married</c:v>
                </c:pt>
                <c:pt idx="2">
                  <c:v>Divorced</c:v>
                </c:pt>
                <c:pt idx="3">
                  <c:v>Single</c:v>
                </c:pt>
              </c:strCache>
            </c:strRef>
          </c:cat>
          <c:val>
            <c:numRef>
              <c:f>'behavior analysis'!$BF$5:$BF$9</c:f>
              <c:numCache>
                <c:formatCode>0.00%</c:formatCode>
                <c:ptCount val="4"/>
                <c:pt idx="0">
                  <c:v>0.01</c:v>
                </c:pt>
                <c:pt idx="1">
                  <c:v>0.01</c:v>
                </c:pt>
                <c:pt idx="2">
                  <c:v>8.0000000000000002E-3</c:v>
                </c:pt>
                <c:pt idx="3">
                  <c:v>1.4999999999999999E-2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B4FC-48A7-A695-787DB7A2C1EE}"/>
            </c:ext>
          </c:extLst>
        </c:ser>
        <c:ser>
          <c:idx val="18"/>
          <c:order val="18"/>
          <c:tx>
            <c:strRef>
              <c:f>'behavior analysis'!$BG$3:$BG$4</c:f>
              <c:strCache>
                <c:ptCount val="1"/>
                <c:pt idx="0">
                  <c:v>Sports &amp; Outdoors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dLbls>
            <c:spPr>
              <a:solidFill>
                <a:srgbClr val="FFFFFF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'behavior analysis'!$AN$5:$AN$9</c:f>
              <c:strCache>
                <c:ptCount val="4"/>
                <c:pt idx="0">
                  <c:v>Widowed</c:v>
                </c:pt>
                <c:pt idx="1">
                  <c:v>Married</c:v>
                </c:pt>
                <c:pt idx="2">
                  <c:v>Divorced</c:v>
                </c:pt>
                <c:pt idx="3">
                  <c:v>Single</c:v>
                </c:pt>
              </c:strCache>
            </c:strRef>
          </c:cat>
          <c:val>
            <c:numRef>
              <c:f>'behavior analysis'!$BG$5:$BG$9</c:f>
              <c:numCache>
                <c:formatCode>0.00%</c:formatCode>
                <c:ptCount val="4"/>
                <c:pt idx="0">
                  <c:v>1.7999999999999999E-2</c:v>
                </c:pt>
                <c:pt idx="1">
                  <c:v>1.2E-2</c:v>
                </c:pt>
                <c:pt idx="2">
                  <c:v>1.0999999999999999E-2</c:v>
                </c:pt>
                <c:pt idx="3">
                  <c:v>0.01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B4FC-48A7-A695-787DB7A2C1EE}"/>
            </c:ext>
          </c:extLst>
        </c:ser>
        <c:ser>
          <c:idx val="19"/>
          <c:order val="19"/>
          <c:tx>
            <c:strRef>
              <c:f>'behavior analysis'!$BH$3:$BH$4</c:f>
              <c:strCache>
                <c:ptCount val="1"/>
                <c:pt idx="0">
                  <c:v>Toys &amp; Games</c:v>
                </c:pt>
              </c:strCache>
            </c:strRef>
          </c:tx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dLbls>
            <c:spPr>
              <a:solidFill>
                <a:srgbClr val="FFFFFF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'behavior analysis'!$AN$5:$AN$9</c:f>
              <c:strCache>
                <c:ptCount val="4"/>
                <c:pt idx="0">
                  <c:v>Widowed</c:v>
                </c:pt>
                <c:pt idx="1">
                  <c:v>Married</c:v>
                </c:pt>
                <c:pt idx="2">
                  <c:v>Divorced</c:v>
                </c:pt>
                <c:pt idx="3">
                  <c:v>Single</c:v>
                </c:pt>
              </c:strCache>
            </c:strRef>
          </c:cat>
          <c:val>
            <c:numRef>
              <c:f>'behavior analysis'!$BH$5:$BH$9</c:f>
              <c:numCache>
                <c:formatCode>0.00%</c:formatCode>
                <c:ptCount val="4"/>
                <c:pt idx="0">
                  <c:v>1.4E-2</c:v>
                </c:pt>
                <c:pt idx="1">
                  <c:v>0.01</c:v>
                </c:pt>
                <c:pt idx="2">
                  <c:v>1.2999999999999999E-2</c:v>
                </c:pt>
                <c:pt idx="3">
                  <c:v>0.01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B4FC-48A7-A695-787DB7A2C1EE}"/>
            </c:ext>
          </c:extLst>
        </c:ser>
        <c:ser>
          <c:idx val="20"/>
          <c:order val="20"/>
          <c:tx>
            <c:strRef>
              <c:f>'behavior analysis'!$BI$3:$BI$4</c:f>
              <c:strCache>
                <c:ptCount val="1"/>
                <c:pt idx="0">
                  <c:v>Travel &amp; Leisure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dLbls>
            <c:spPr>
              <a:solidFill>
                <a:srgbClr val="FFFFFF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'behavior analysis'!$AN$5:$AN$9</c:f>
              <c:strCache>
                <c:ptCount val="4"/>
                <c:pt idx="0">
                  <c:v>Widowed</c:v>
                </c:pt>
                <c:pt idx="1">
                  <c:v>Married</c:v>
                </c:pt>
                <c:pt idx="2">
                  <c:v>Divorced</c:v>
                </c:pt>
                <c:pt idx="3">
                  <c:v>Single</c:v>
                </c:pt>
              </c:strCache>
            </c:strRef>
          </c:cat>
          <c:val>
            <c:numRef>
              <c:f>'behavior analysis'!$BI$5:$BI$9</c:f>
              <c:numCache>
                <c:formatCode>0.00%</c:formatCode>
                <c:ptCount val="4"/>
                <c:pt idx="0">
                  <c:v>1.2E-2</c:v>
                </c:pt>
                <c:pt idx="1">
                  <c:v>2.1000000000000001E-2</c:v>
                </c:pt>
                <c:pt idx="2">
                  <c:v>1.7999999999999999E-2</c:v>
                </c:pt>
                <c:pt idx="3">
                  <c:v>2.3E-2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B4FC-48A7-A695-787DB7A2C1EE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925627400"/>
        <c:axId val="925629960"/>
      </c:barChart>
      <c:catAx>
        <c:axId val="925627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5629960"/>
        <c:crosses val="autoZero"/>
        <c:auto val="1"/>
        <c:lblAlgn val="ctr"/>
        <c:lblOffset val="100"/>
        <c:noMultiLvlLbl val="0"/>
      </c:catAx>
      <c:valAx>
        <c:axId val="925629960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crossAx val="9256274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rgbClr val="375623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[The Excel project dataset - Copy.xlsx]behavior analysis!PivotTable13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Distribution of Product Categories per Purchases by 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rgbClr val="FFFFFF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rgbClr val="FFFFFF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rgbClr val="FFFFFF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rgbClr val="FFFFFF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rgbClr val="FFFFFF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rgbClr val="FFFFFF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rgbClr val="FFFFFF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rgbClr val="FFFFFF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rgbClr val="FFFFFF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rgbClr val="FFFFFF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rgbClr val="FFFFFF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rgbClr val="FFFFFF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rgbClr val="FFFFFF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rgbClr val="FFFFFF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rgbClr val="FFFFFF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rgbClr val="FFFFFF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rgbClr val="FFFFFF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rgbClr val="FFFFFF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rgbClr val="FFFFFF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rgbClr val="FFFFFF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rgbClr val="FFFFFF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'behavior analysis'!$P$2:$P$3</c:f>
              <c:strCache>
                <c:ptCount val="1"/>
                <c:pt idx="0">
                  <c:v>Animal Feed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solidFill>
                <a:srgbClr val="FFFFFF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'behavior analysis'!$O$4:$O$8</c:f>
              <c:strCache>
                <c:ptCount val="4"/>
                <c:pt idx="0">
                  <c:v>18-25</c:v>
                </c:pt>
                <c:pt idx="1">
                  <c:v>26-35</c:v>
                </c:pt>
                <c:pt idx="2">
                  <c:v>36-44</c:v>
                </c:pt>
                <c:pt idx="3">
                  <c:v>45-54</c:v>
                </c:pt>
              </c:strCache>
            </c:strRef>
          </c:cat>
          <c:val>
            <c:numRef>
              <c:f>'behavior analysis'!$P$4:$P$8</c:f>
              <c:numCache>
                <c:formatCode>0.00%</c:formatCode>
                <c:ptCount val="4"/>
                <c:pt idx="0">
                  <c:v>5.0000000000000001E-3</c:v>
                </c:pt>
                <c:pt idx="1">
                  <c:v>1.7000000000000001E-2</c:v>
                </c:pt>
                <c:pt idx="2">
                  <c:v>1.4E-2</c:v>
                </c:pt>
                <c:pt idx="3">
                  <c:v>8.0000000000000002E-3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D7-4A90-A0F6-A34CC03116B0}"/>
            </c:ext>
          </c:extLst>
        </c:ser>
        <c:ser>
          <c:idx val="1"/>
          <c:order val="1"/>
          <c:tx>
            <c:strRef>
              <c:f>'behavior analysis'!$Q$2:$Q$3</c:f>
              <c:strCache>
                <c:ptCount val="1"/>
                <c:pt idx="0">
                  <c:v>Arts &amp; Crafts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solidFill>
                <a:srgbClr val="FFFFFF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'behavior analysis'!$O$4:$O$8</c:f>
              <c:strCache>
                <c:ptCount val="4"/>
                <c:pt idx="0">
                  <c:v>18-25</c:v>
                </c:pt>
                <c:pt idx="1">
                  <c:v>26-35</c:v>
                </c:pt>
                <c:pt idx="2">
                  <c:v>36-44</c:v>
                </c:pt>
                <c:pt idx="3">
                  <c:v>45-54</c:v>
                </c:pt>
              </c:strCache>
            </c:strRef>
          </c:cat>
          <c:val>
            <c:numRef>
              <c:f>'behavior analysis'!$Q$4:$Q$8</c:f>
              <c:numCache>
                <c:formatCode>0.00%</c:formatCode>
                <c:ptCount val="4"/>
                <c:pt idx="0">
                  <c:v>2E-3</c:v>
                </c:pt>
                <c:pt idx="1">
                  <c:v>8.9999999999999993E-3</c:v>
                </c:pt>
                <c:pt idx="2">
                  <c:v>1.4999999999999999E-2</c:v>
                </c:pt>
                <c:pt idx="3">
                  <c:v>8.0000000000000002E-3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BD7-4A90-A0F6-A34CC03116B0}"/>
            </c:ext>
          </c:extLst>
        </c:ser>
        <c:ser>
          <c:idx val="2"/>
          <c:order val="2"/>
          <c:tx>
            <c:strRef>
              <c:f>'behavior analysis'!$R$2:$R$3</c:f>
              <c:strCache>
                <c:ptCount val="1"/>
                <c:pt idx="0">
                  <c:v>Baby Products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solidFill>
                <a:srgbClr val="FFFFFF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'behavior analysis'!$O$4:$O$8</c:f>
              <c:strCache>
                <c:ptCount val="4"/>
                <c:pt idx="0">
                  <c:v>18-25</c:v>
                </c:pt>
                <c:pt idx="1">
                  <c:v>26-35</c:v>
                </c:pt>
                <c:pt idx="2">
                  <c:v>36-44</c:v>
                </c:pt>
                <c:pt idx="3">
                  <c:v>45-54</c:v>
                </c:pt>
              </c:strCache>
            </c:strRef>
          </c:cat>
          <c:val>
            <c:numRef>
              <c:f>'behavior analysis'!$R$4:$R$8</c:f>
              <c:numCache>
                <c:formatCode>0.00%</c:formatCode>
                <c:ptCount val="4"/>
                <c:pt idx="0">
                  <c:v>8.0000000000000002E-3</c:v>
                </c:pt>
                <c:pt idx="1">
                  <c:v>1.2E-2</c:v>
                </c:pt>
                <c:pt idx="2">
                  <c:v>1.0999999999999999E-2</c:v>
                </c:pt>
                <c:pt idx="3">
                  <c:v>0.01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BD7-4A90-A0F6-A34CC03116B0}"/>
            </c:ext>
          </c:extLst>
        </c:ser>
        <c:ser>
          <c:idx val="3"/>
          <c:order val="3"/>
          <c:tx>
            <c:strRef>
              <c:f>'behavior analysis'!$S$2:$S$3</c:f>
              <c:strCache>
                <c:ptCount val="1"/>
                <c:pt idx="0">
                  <c:v>Beauty &amp; Personal Care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solidFill>
                <a:srgbClr val="FFFFFF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'behavior analysis'!$O$4:$O$8</c:f>
              <c:strCache>
                <c:ptCount val="4"/>
                <c:pt idx="0">
                  <c:v>18-25</c:v>
                </c:pt>
                <c:pt idx="1">
                  <c:v>26-35</c:v>
                </c:pt>
                <c:pt idx="2">
                  <c:v>36-44</c:v>
                </c:pt>
                <c:pt idx="3">
                  <c:v>45-54</c:v>
                </c:pt>
              </c:strCache>
            </c:strRef>
          </c:cat>
          <c:val>
            <c:numRef>
              <c:f>'behavior analysis'!$S$4:$S$8</c:f>
              <c:numCache>
                <c:formatCode>0.00%</c:formatCode>
                <c:ptCount val="4"/>
                <c:pt idx="0">
                  <c:v>5.0000000000000001E-3</c:v>
                </c:pt>
                <c:pt idx="1">
                  <c:v>8.9999999999999993E-3</c:v>
                </c:pt>
                <c:pt idx="2">
                  <c:v>1.0999999999999999E-2</c:v>
                </c:pt>
                <c:pt idx="3">
                  <c:v>8.9999999999999993E-3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BD7-4A90-A0F6-A34CC03116B0}"/>
            </c:ext>
          </c:extLst>
        </c:ser>
        <c:ser>
          <c:idx val="4"/>
          <c:order val="4"/>
          <c:tx>
            <c:strRef>
              <c:f>'behavior analysis'!$T$2:$T$3</c:f>
              <c:strCache>
                <c:ptCount val="1"/>
                <c:pt idx="0">
                  <c:v>Books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solidFill>
                <a:srgbClr val="FFFFFF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'behavior analysis'!$O$4:$O$8</c:f>
              <c:strCache>
                <c:ptCount val="4"/>
                <c:pt idx="0">
                  <c:v>18-25</c:v>
                </c:pt>
                <c:pt idx="1">
                  <c:v>26-35</c:v>
                </c:pt>
                <c:pt idx="2">
                  <c:v>36-44</c:v>
                </c:pt>
                <c:pt idx="3">
                  <c:v>45-54</c:v>
                </c:pt>
              </c:strCache>
            </c:strRef>
          </c:cat>
          <c:val>
            <c:numRef>
              <c:f>'behavior analysis'!$T$4:$T$8</c:f>
              <c:numCache>
                <c:formatCode>0.00%</c:formatCode>
                <c:ptCount val="4"/>
                <c:pt idx="0">
                  <c:v>8.9999999999999993E-3</c:v>
                </c:pt>
                <c:pt idx="1">
                  <c:v>8.9999999999999993E-3</c:v>
                </c:pt>
                <c:pt idx="2">
                  <c:v>1.4E-2</c:v>
                </c:pt>
                <c:pt idx="3">
                  <c:v>5.0000000000000001E-3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BD7-4A90-A0F6-A34CC03116B0}"/>
            </c:ext>
          </c:extLst>
        </c:ser>
        <c:ser>
          <c:idx val="5"/>
          <c:order val="5"/>
          <c:tx>
            <c:strRef>
              <c:f>'behavior analysis'!$U$2:$U$3</c:f>
              <c:strCache>
                <c:ptCount val="1"/>
                <c:pt idx="0">
                  <c:v>Clothing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solidFill>
                <a:srgbClr val="FFFFFF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'behavior analysis'!$O$4:$O$8</c:f>
              <c:strCache>
                <c:ptCount val="4"/>
                <c:pt idx="0">
                  <c:v>18-25</c:v>
                </c:pt>
                <c:pt idx="1">
                  <c:v>26-35</c:v>
                </c:pt>
                <c:pt idx="2">
                  <c:v>36-44</c:v>
                </c:pt>
                <c:pt idx="3">
                  <c:v>45-54</c:v>
                </c:pt>
              </c:strCache>
            </c:strRef>
          </c:cat>
          <c:val>
            <c:numRef>
              <c:f>'behavior analysis'!$U$4:$U$8</c:f>
              <c:numCache>
                <c:formatCode>0.00%</c:formatCode>
                <c:ptCount val="4"/>
                <c:pt idx="0">
                  <c:v>1E-3</c:v>
                </c:pt>
                <c:pt idx="1">
                  <c:v>1.4E-2</c:v>
                </c:pt>
                <c:pt idx="2">
                  <c:v>1.2E-2</c:v>
                </c:pt>
                <c:pt idx="3">
                  <c:v>3.0000000000000001E-3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BD7-4A90-A0F6-A34CC03116B0}"/>
            </c:ext>
          </c:extLst>
        </c:ser>
        <c:ser>
          <c:idx val="6"/>
          <c:order val="6"/>
          <c:tx>
            <c:strRef>
              <c:f>'behavior analysis'!$V$2:$V$3</c:f>
              <c:strCache>
                <c:ptCount val="1"/>
                <c:pt idx="0">
                  <c:v>Electronics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solidFill>
                <a:srgbClr val="FFFFFF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'behavior analysis'!$O$4:$O$8</c:f>
              <c:strCache>
                <c:ptCount val="4"/>
                <c:pt idx="0">
                  <c:v>18-25</c:v>
                </c:pt>
                <c:pt idx="1">
                  <c:v>26-35</c:v>
                </c:pt>
                <c:pt idx="2">
                  <c:v>36-44</c:v>
                </c:pt>
                <c:pt idx="3">
                  <c:v>45-54</c:v>
                </c:pt>
              </c:strCache>
            </c:strRef>
          </c:cat>
          <c:val>
            <c:numRef>
              <c:f>'behavior analysis'!$V$4:$V$8</c:f>
              <c:numCache>
                <c:formatCode>0.00%</c:formatCode>
                <c:ptCount val="4"/>
                <c:pt idx="0">
                  <c:v>1.2E-2</c:v>
                </c:pt>
                <c:pt idx="1">
                  <c:v>1.6E-2</c:v>
                </c:pt>
                <c:pt idx="2">
                  <c:v>1.7999999999999999E-2</c:v>
                </c:pt>
                <c:pt idx="3">
                  <c:v>8.0000000000000002E-3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BD7-4A90-A0F6-A34CC03116B0}"/>
            </c:ext>
          </c:extLst>
        </c:ser>
        <c:ser>
          <c:idx val="7"/>
          <c:order val="7"/>
          <c:tx>
            <c:strRef>
              <c:f>'behavior analysis'!$W$2:$W$3</c:f>
              <c:strCache>
                <c:ptCount val="1"/>
                <c:pt idx="0">
                  <c:v>Food &amp; Beverages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solidFill>
                <a:srgbClr val="FFFFFF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'behavior analysis'!$O$4:$O$8</c:f>
              <c:strCache>
                <c:ptCount val="4"/>
                <c:pt idx="0">
                  <c:v>18-25</c:v>
                </c:pt>
                <c:pt idx="1">
                  <c:v>26-35</c:v>
                </c:pt>
                <c:pt idx="2">
                  <c:v>36-44</c:v>
                </c:pt>
                <c:pt idx="3">
                  <c:v>45-54</c:v>
                </c:pt>
              </c:strCache>
            </c:strRef>
          </c:cat>
          <c:val>
            <c:numRef>
              <c:f>'behavior analysis'!$W$4:$W$8</c:f>
              <c:numCache>
                <c:formatCode>0.00%</c:formatCode>
                <c:ptCount val="4"/>
                <c:pt idx="0">
                  <c:v>7.0000000000000001E-3</c:v>
                </c:pt>
                <c:pt idx="1">
                  <c:v>1.7000000000000001E-2</c:v>
                </c:pt>
                <c:pt idx="2">
                  <c:v>0.01</c:v>
                </c:pt>
                <c:pt idx="3">
                  <c:v>0.01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4BD7-4A90-A0F6-A34CC03116B0}"/>
            </c:ext>
          </c:extLst>
        </c:ser>
        <c:ser>
          <c:idx val="8"/>
          <c:order val="8"/>
          <c:tx>
            <c:strRef>
              <c:f>'behavior analysis'!$X$2:$X$3</c:f>
              <c:strCache>
                <c:ptCount val="1"/>
                <c:pt idx="0">
                  <c:v>Furniture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solidFill>
                <a:srgbClr val="FFFFFF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'behavior analysis'!$O$4:$O$8</c:f>
              <c:strCache>
                <c:ptCount val="4"/>
                <c:pt idx="0">
                  <c:v>18-25</c:v>
                </c:pt>
                <c:pt idx="1">
                  <c:v>26-35</c:v>
                </c:pt>
                <c:pt idx="2">
                  <c:v>36-44</c:v>
                </c:pt>
                <c:pt idx="3">
                  <c:v>45-54</c:v>
                </c:pt>
              </c:strCache>
            </c:strRef>
          </c:cat>
          <c:val>
            <c:numRef>
              <c:f>'behavior analysis'!$X$4:$X$8</c:f>
              <c:numCache>
                <c:formatCode>0.00%</c:formatCode>
                <c:ptCount val="4"/>
                <c:pt idx="0">
                  <c:v>1.0999999999999999E-2</c:v>
                </c:pt>
                <c:pt idx="1">
                  <c:v>8.0000000000000002E-3</c:v>
                </c:pt>
                <c:pt idx="2">
                  <c:v>1.2999999999999999E-2</c:v>
                </c:pt>
                <c:pt idx="3">
                  <c:v>8.9999999999999993E-3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BD7-4A90-A0F6-A34CC03116B0}"/>
            </c:ext>
          </c:extLst>
        </c:ser>
        <c:ser>
          <c:idx val="9"/>
          <c:order val="9"/>
          <c:tx>
            <c:strRef>
              <c:f>'behavior analysis'!$Y$2:$Y$3</c:f>
              <c:strCache>
                <c:ptCount val="1"/>
                <c:pt idx="0">
                  <c:v>Gardening &amp; Outdoors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solidFill>
                <a:srgbClr val="FFFFFF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'behavior analysis'!$O$4:$O$8</c:f>
              <c:strCache>
                <c:ptCount val="4"/>
                <c:pt idx="0">
                  <c:v>18-25</c:v>
                </c:pt>
                <c:pt idx="1">
                  <c:v>26-35</c:v>
                </c:pt>
                <c:pt idx="2">
                  <c:v>36-44</c:v>
                </c:pt>
                <c:pt idx="3">
                  <c:v>45-54</c:v>
                </c:pt>
              </c:strCache>
            </c:strRef>
          </c:cat>
          <c:val>
            <c:numRef>
              <c:f>'behavior analysis'!$Y$4:$Y$8</c:f>
              <c:numCache>
                <c:formatCode>0.00%</c:formatCode>
                <c:ptCount val="4"/>
                <c:pt idx="0">
                  <c:v>1.0999999999999999E-2</c:v>
                </c:pt>
                <c:pt idx="1">
                  <c:v>1.7000000000000001E-2</c:v>
                </c:pt>
                <c:pt idx="2">
                  <c:v>1.0999999999999999E-2</c:v>
                </c:pt>
                <c:pt idx="3">
                  <c:v>5.0000000000000001E-3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4BD7-4A90-A0F6-A34CC03116B0}"/>
            </c:ext>
          </c:extLst>
        </c:ser>
        <c:ser>
          <c:idx val="10"/>
          <c:order val="10"/>
          <c:tx>
            <c:strRef>
              <c:f>'behavior analysis'!$Z$2:$Z$3</c:f>
              <c:strCache>
                <c:ptCount val="1"/>
                <c:pt idx="0">
                  <c:v>Groceries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solidFill>
                <a:srgbClr val="FFFFFF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'behavior analysis'!$O$4:$O$8</c:f>
              <c:strCache>
                <c:ptCount val="4"/>
                <c:pt idx="0">
                  <c:v>18-25</c:v>
                </c:pt>
                <c:pt idx="1">
                  <c:v>26-35</c:v>
                </c:pt>
                <c:pt idx="2">
                  <c:v>36-44</c:v>
                </c:pt>
                <c:pt idx="3">
                  <c:v>45-54</c:v>
                </c:pt>
              </c:strCache>
            </c:strRef>
          </c:cat>
          <c:val>
            <c:numRef>
              <c:f>'behavior analysis'!$Z$4:$Z$8</c:f>
              <c:numCache>
                <c:formatCode>0.00%</c:formatCode>
                <c:ptCount val="4"/>
                <c:pt idx="0">
                  <c:v>6.0000000000000001E-3</c:v>
                </c:pt>
                <c:pt idx="1">
                  <c:v>1.7999999999999999E-2</c:v>
                </c:pt>
                <c:pt idx="2">
                  <c:v>1.0999999999999999E-2</c:v>
                </c:pt>
                <c:pt idx="3">
                  <c:v>6.0000000000000001E-3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4BD7-4A90-A0F6-A34CC03116B0}"/>
            </c:ext>
          </c:extLst>
        </c:ser>
        <c:ser>
          <c:idx val="11"/>
          <c:order val="11"/>
          <c:tx>
            <c:strRef>
              <c:f>'behavior analysis'!$AA$2:$AA$3</c:f>
              <c:strCache>
                <c:ptCount val="1"/>
                <c:pt idx="0">
                  <c:v>Health Care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solidFill>
                <a:srgbClr val="FFFFFF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'behavior analysis'!$O$4:$O$8</c:f>
              <c:strCache>
                <c:ptCount val="4"/>
                <c:pt idx="0">
                  <c:v>18-25</c:v>
                </c:pt>
                <c:pt idx="1">
                  <c:v>26-35</c:v>
                </c:pt>
                <c:pt idx="2">
                  <c:v>36-44</c:v>
                </c:pt>
                <c:pt idx="3">
                  <c:v>45-54</c:v>
                </c:pt>
              </c:strCache>
            </c:strRef>
          </c:cat>
          <c:val>
            <c:numRef>
              <c:f>'behavior analysis'!$AA$4:$AA$8</c:f>
              <c:numCache>
                <c:formatCode>0.00%</c:formatCode>
                <c:ptCount val="4"/>
                <c:pt idx="0">
                  <c:v>1.7999999999999999E-2</c:v>
                </c:pt>
                <c:pt idx="1">
                  <c:v>3.2000000000000001E-2</c:v>
                </c:pt>
                <c:pt idx="2">
                  <c:v>1.7999999999999999E-2</c:v>
                </c:pt>
                <c:pt idx="3">
                  <c:v>1.4E-2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4BD7-4A90-A0F6-A34CC03116B0}"/>
            </c:ext>
          </c:extLst>
        </c:ser>
        <c:ser>
          <c:idx val="12"/>
          <c:order val="12"/>
          <c:tx>
            <c:strRef>
              <c:f>'behavior analysis'!$AB$2:$AB$3</c:f>
              <c:strCache>
                <c:ptCount val="1"/>
                <c:pt idx="0">
                  <c:v>Home Appliances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dLbls>
            <c:spPr>
              <a:solidFill>
                <a:srgbClr val="FFFFFF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'behavior analysis'!$O$4:$O$8</c:f>
              <c:strCache>
                <c:ptCount val="4"/>
                <c:pt idx="0">
                  <c:v>18-25</c:v>
                </c:pt>
                <c:pt idx="1">
                  <c:v>26-35</c:v>
                </c:pt>
                <c:pt idx="2">
                  <c:v>36-44</c:v>
                </c:pt>
                <c:pt idx="3">
                  <c:v>45-54</c:v>
                </c:pt>
              </c:strCache>
            </c:strRef>
          </c:cat>
          <c:val>
            <c:numRef>
              <c:f>'behavior analysis'!$AB$4:$AB$8</c:f>
              <c:numCache>
                <c:formatCode>0.00%</c:formatCode>
                <c:ptCount val="4"/>
                <c:pt idx="0">
                  <c:v>1.2E-2</c:v>
                </c:pt>
                <c:pt idx="1">
                  <c:v>1.7000000000000001E-2</c:v>
                </c:pt>
                <c:pt idx="2">
                  <c:v>1.2E-2</c:v>
                </c:pt>
                <c:pt idx="3">
                  <c:v>8.9999999999999993E-3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4BD7-4A90-A0F6-A34CC03116B0}"/>
            </c:ext>
          </c:extLst>
        </c:ser>
        <c:ser>
          <c:idx val="13"/>
          <c:order val="13"/>
          <c:tx>
            <c:strRef>
              <c:f>'behavior analysis'!$AC$2:$AC$3</c:f>
              <c:strCache>
                <c:ptCount val="1"/>
                <c:pt idx="0">
                  <c:v>Luxury Goods &amp; Accessories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dLbls>
            <c:spPr>
              <a:solidFill>
                <a:srgbClr val="FFFFFF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'behavior analysis'!$O$4:$O$8</c:f>
              <c:strCache>
                <c:ptCount val="4"/>
                <c:pt idx="0">
                  <c:v>18-25</c:v>
                </c:pt>
                <c:pt idx="1">
                  <c:v>26-35</c:v>
                </c:pt>
                <c:pt idx="2">
                  <c:v>36-44</c:v>
                </c:pt>
                <c:pt idx="3">
                  <c:v>45-54</c:v>
                </c:pt>
              </c:strCache>
            </c:strRef>
          </c:cat>
          <c:val>
            <c:numRef>
              <c:f>'behavior analysis'!$AC$4:$AC$8</c:f>
              <c:numCache>
                <c:formatCode>0.00%</c:formatCode>
                <c:ptCount val="4"/>
                <c:pt idx="0">
                  <c:v>1.7000000000000001E-2</c:v>
                </c:pt>
                <c:pt idx="1">
                  <c:v>2.8000000000000001E-2</c:v>
                </c:pt>
                <c:pt idx="2">
                  <c:v>2.5999999999999999E-2</c:v>
                </c:pt>
                <c:pt idx="3">
                  <c:v>1.6E-2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4BD7-4A90-A0F6-A34CC03116B0}"/>
            </c:ext>
          </c:extLst>
        </c:ser>
        <c:ser>
          <c:idx val="14"/>
          <c:order val="14"/>
          <c:tx>
            <c:strRef>
              <c:f>'behavior analysis'!$AD$2:$AD$3</c:f>
              <c:strCache>
                <c:ptCount val="1"/>
                <c:pt idx="0">
                  <c:v>Mobile Accessories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dLbls>
            <c:spPr>
              <a:solidFill>
                <a:srgbClr val="FFFFFF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'behavior analysis'!$O$4:$O$8</c:f>
              <c:strCache>
                <c:ptCount val="4"/>
                <c:pt idx="0">
                  <c:v>18-25</c:v>
                </c:pt>
                <c:pt idx="1">
                  <c:v>26-35</c:v>
                </c:pt>
                <c:pt idx="2">
                  <c:v>36-44</c:v>
                </c:pt>
                <c:pt idx="3">
                  <c:v>45-54</c:v>
                </c:pt>
              </c:strCache>
            </c:strRef>
          </c:cat>
          <c:val>
            <c:numRef>
              <c:f>'behavior analysis'!$AD$4:$AD$8</c:f>
              <c:numCache>
                <c:formatCode>0.00%</c:formatCode>
                <c:ptCount val="4"/>
                <c:pt idx="0">
                  <c:v>1.6E-2</c:v>
                </c:pt>
                <c:pt idx="1">
                  <c:v>8.0000000000000002E-3</c:v>
                </c:pt>
                <c:pt idx="2">
                  <c:v>0.01</c:v>
                </c:pt>
                <c:pt idx="3">
                  <c:v>7.0000000000000001E-3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4BD7-4A90-A0F6-A34CC03116B0}"/>
            </c:ext>
          </c:extLst>
        </c:ser>
        <c:ser>
          <c:idx val="15"/>
          <c:order val="15"/>
          <c:tx>
            <c:strRef>
              <c:f>'behavior analysis'!$AE$2:$AE$3</c:f>
              <c:strCache>
                <c:ptCount val="1"/>
                <c:pt idx="0">
                  <c:v>Office Supplies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dLbls>
            <c:spPr>
              <a:solidFill>
                <a:srgbClr val="FFFFFF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'behavior analysis'!$O$4:$O$8</c:f>
              <c:strCache>
                <c:ptCount val="4"/>
                <c:pt idx="0">
                  <c:v>18-25</c:v>
                </c:pt>
                <c:pt idx="1">
                  <c:v>26-35</c:v>
                </c:pt>
                <c:pt idx="2">
                  <c:v>36-44</c:v>
                </c:pt>
                <c:pt idx="3">
                  <c:v>45-54</c:v>
                </c:pt>
              </c:strCache>
            </c:strRef>
          </c:cat>
          <c:val>
            <c:numRef>
              <c:f>'behavior analysis'!$AE$4:$AE$8</c:f>
              <c:numCache>
                <c:formatCode>0.00%</c:formatCode>
                <c:ptCount val="4"/>
                <c:pt idx="0">
                  <c:v>1.4E-2</c:v>
                </c:pt>
                <c:pt idx="1">
                  <c:v>8.9999999999999993E-3</c:v>
                </c:pt>
                <c:pt idx="2">
                  <c:v>7.0000000000000001E-3</c:v>
                </c:pt>
                <c:pt idx="3">
                  <c:v>8.0000000000000002E-3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4BD7-4A90-A0F6-A34CC03116B0}"/>
            </c:ext>
          </c:extLst>
        </c:ser>
        <c:ser>
          <c:idx val="16"/>
          <c:order val="16"/>
          <c:tx>
            <c:strRef>
              <c:f>'behavior analysis'!$AF$2:$AF$3</c:f>
              <c:strCache>
                <c:ptCount val="1"/>
                <c:pt idx="0">
                  <c:v>Packages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dLbls>
            <c:spPr>
              <a:solidFill>
                <a:srgbClr val="FFFFFF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'behavior analysis'!$O$4:$O$8</c:f>
              <c:strCache>
                <c:ptCount val="4"/>
                <c:pt idx="0">
                  <c:v>18-25</c:v>
                </c:pt>
                <c:pt idx="1">
                  <c:v>26-35</c:v>
                </c:pt>
                <c:pt idx="2">
                  <c:v>36-44</c:v>
                </c:pt>
                <c:pt idx="3">
                  <c:v>45-54</c:v>
                </c:pt>
              </c:strCache>
            </c:strRef>
          </c:cat>
          <c:val>
            <c:numRef>
              <c:f>'behavior analysis'!$AF$4:$AF$8</c:f>
              <c:numCache>
                <c:formatCode>0.00%</c:formatCode>
                <c:ptCount val="4"/>
                <c:pt idx="0">
                  <c:v>8.0000000000000002E-3</c:v>
                </c:pt>
                <c:pt idx="1">
                  <c:v>1.2999999999999999E-2</c:v>
                </c:pt>
                <c:pt idx="2">
                  <c:v>1.7000000000000001E-2</c:v>
                </c:pt>
                <c:pt idx="3">
                  <c:v>5.0000000000000001E-3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4BD7-4A90-A0F6-A34CC03116B0}"/>
            </c:ext>
          </c:extLst>
        </c:ser>
        <c:ser>
          <c:idx val="17"/>
          <c:order val="17"/>
          <c:tx>
            <c:strRef>
              <c:f>'behavior analysis'!$AG$2:$AG$3</c:f>
              <c:strCache>
                <c:ptCount val="1"/>
                <c:pt idx="0">
                  <c:v>Software &amp; Apps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dLbls>
            <c:spPr>
              <a:solidFill>
                <a:srgbClr val="FFFFFF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'behavior analysis'!$O$4:$O$8</c:f>
              <c:strCache>
                <c:ptCount val="4"/>
                <c:pt idx="0">
                  <c:v>18-25</c:v>
                </c:pt>
                <c:pt idx="1">
                  <c:v>26-35</c:v>
                </c:pt>
                <c:pt idx="2">
                  <c:v>36-44</c:v>
                </c:pt>
                <c:pt idx="3">
                  <c:v>45-54</c:v>
                </c:pt>
              </c:strCache>
            </c:strRef>
          </c:cat>
          <c:val>
            <c:numRef>
              <c:f>'behavior analysis'!$AG$4:$AG$8</c:f>
              <c:numCache>
                <c:formatCode>0.00%</c:formatCode>
                <c:ptCount val="4"/>
                <c:pt idx="0">
                  <c:v>1.4E-2</c:v>
                </c:pt>
                <c:pt idx="1">
                  <c:v>0.01</c:v>
                </c:pt>
                <c:pt idx="2">
                  <c:v>8.0000000000000002E-3</c:v>
                </c:pt>
                <c:pt idx="3">
                  <c:v>1.0999999999999999E-2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4BD7-4A90-A0F6-A34CC03116B0}"/>
            </c:ext>
          </c:extLst>
        </c:ser>
        <c:ser>
          <c:idx val="18"/>
          <c:order val="18"/>
          <c:tx>
            <c:strRef>
              <c:f>'behavior analysis'!$AH$2:$AH$3</c:f>
              <c:strCache>
                <c:ptCount val="1"/>
                <c:pt idx="0">
                  <c:v>Sports &amp; Outdoors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dLbls>
            <c:spPr>
              <a:solidFill>
                <a:srgbClr val="FFFFFF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'behavior analysis'!$O$4:$O$8</c:f>
              <c:strCache>
                <c:ptCount val="4"/>
                <c:pt idx="0">
                  <c:v>18-25</c:v>
                </c:pt>
                <c:pt idx="1">
                  <c:v>26-35</c:v>
                </c:pt>
                <c:pt idx="2">
                  <c:v>36-44</c:v>
                </c:pt>
                <c:pt idx="3">
                  <c:v>45-54</c:v>
                </c:pt>
              </c:strCache>
            </c:strRef>
          </c:cat>
          <c:val>
            <c:numRef>
              <c:f>'behavior analysis'!$AH$4:$AH$8</c:f>
              <c:numCache>
                <c:formatCode>0.00%</c:formatCode>
                <c:ptCount val="4"/>
                <c:pt idx="0">
                  <c:v>1.7000000000000001E-2</c:v>
                </c:pt>
                <c:pt idx="1">
                  <c:v>1.0999999999999999E-2</c:v>
                </c:pt>
                <c:pt idx="2">
                  <c:v>1.2E-2</c:v>
                </c:pt>
                <c:pt idx="3">
                  <c:v>1.0999999999999999E-2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4BD7-4A90-A0F6-A34CC03116B0}"/>
            </c:ext>
          </c:extLst>
        </c:ser>
        <c:ser>
          <c:idx val="19"/>
          <c:order val="19"/>
          <c:tx>
            <c:strRef>
              <c:f>'behavior analysis'!$AI$2:$AI$3</c:f>
              <c:strCache>
                <c:ptCount val="1"/>
                <c:pt idx="0">
                  <c:v>Toys &amp; Games</c:v>
                </c:pt>
              </c:strCache>
            </c:strRef>
          </c:tx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dLbls>
            <c:spPr>
              <a:solidFill>
                <a:srgbClr val="FFFFFF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'behavior analysis'!$O$4:$O$8</c:f>
              <c:strCache>
                <c:ptCount val="4"/>
                <c:pt idx="0">
                  <c:v>18-25</c:v>
                </c:pt>
                <c:pt idx="1">
                  <c:v>26-35</c:v>
                </c:pt>
                <c:pt idx="2">
                  <c:v>36-44</c:v>
                </c:pt>
                <c:pt idx="3">
                  <c:v>45-54</c:v>
                </c:pt>
              </c:strCache>
            </c:strRef>
          </c:cat>
          <c:val>
            <c:numRef>
              <c:f>'behavior analysis'!$AI$4:$AI$8</c:f>
              <c:numCache>
                <c:formatCode>0.00%</c:formatCode>
                <c:ptCount val="4"/>
                <c:pt idx="0">
                  <c:v>1.4E-2</c:v>
                </c:pt>
                <c:pt idx="1">
                  <c:v>8.0000000000000002E-3</c:v>
                </c:pt>
                <c:pt idx="2">
                  <c:v>1.4E-2</c:v>
                </c:pt>
                <c:pt idx="3">
                  <c:v>1.0999999999999999E-2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4BD7-4A90-A0F6-A34CC03116B0}"/>
            </c:ext>
          </c:extLst>
        </c:ser>
        <c:ser>
          <c:idx val="20"/>
          <c:order val="20"/>
          <c:tx>
            <c:strRef>
              <c:f>'behavior analysis'!$AJ$2:$AJ$3</c:f>
              <c:strCache>
                <c:ptCount val="1"/>
                <c:pt idx="0">
                  <c:v>Travel &amp; Leisure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dLbls>
            <c:spPr>
              <a:solidFill>
                <a:srgbClr val="FFFFFF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'behavior analysis'!$O$4:$O$8</c:f>
              <c:strCache>
                <c:ptCount val="4"/>
                <c:pt idx="0">
                  <c:v>18-25</c:v>
                </c:pt>
                <c:pt idx="1">
                  <c:v>26-35</c:v>
                </c:pt>
                <c:pt idx="2">
                  <c:v>36-44</c:v>
                </c:pt>
                <c:pt idx="3">
                  <c:v>45-54</c:v>
                </c:pt>
              </c:strCache>
            </c:strRef>
          </c:cat>
          <c:val>
            <c:numRef>
              <c:f>'behavior analysis'!$AJ$4:$AJ$8</c:f>
              <c:numCache>
                <c:formatCode>0.00%</c:formatCode>
                <c:ptCount val="4"/>
                <c:pt idx="0">
                  <c:v>1.4999999999999999E-2</c:v>
                </c:pt>
                <c:pt idx="1">
                  <c:v>2.5999999999999999E-2</c:v>
                </c:pt>
                <c:pt idx="2">
                  <c:v>2.3E-2</c:v>
                </c:pt>
                <c:pt idx="3">
                  <c:v>0.01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4BD7-4A90-A0F6-A34CC03116B0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788646920"/>
        <c:axId val="788657160"/>
      </c:barChart>
      <c:catAx>
        <c:axId val="788646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8657160"/>
        <c:crosses val="autoZero"/>
        <c:auto val="1"/>
        <c:lblAlgn val="ctr"/>
        <c:lblOffset val="100"/>
        <c:noMultiLvlLbl val="0"/>
      </c:catAx>
      <c:valAx>
        <c:axId val="788657160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crossAx val="788646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rgbClr val="375623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[The Excel project dataset - Copy.xlsx]high-value cx variations!PivotTable9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Distribution of High-Value Customers by Marital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rgbClr val="FFFFFF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'high-value cx variations'!$C$26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5F7-4159-AEAF-49296A2F5BC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5F7-4159-AEAF-49296A2F5BC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5F7-4159-AEAF-49296A2F5BC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65F7-4159-AEAF-49296A2F5BCD}"/>
              </c:ext>
            </c:extLst>
          </c:dPt>
          <c:dLbls>
            <c:spPr>
              <a:solidFill>
                <a:srgbClr val="FFFFFF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multiLvlStrRef>
              <c:f>'high-value cx variations'!$A$27:$B$32</c:f>
              <c:multiLvlStrCache>
                <c:ptCount val="4"/>
                <c:lvl>
                  <c:pt idx="0">
                    <c:v>Divorced</c:v>
                  </c:pt>
                  <c:pt idx="1">
                    <c:v>Married</c:v>
                  </c:pt>
                  <c:pt idx="2">
                    <c:v>Single</c:v>
                  </c:pt>
                  <c:pt idx="3">
                    <c:v>Widowed</c:v>
                  </c:pt>
                </c:lvl>
                <c:lvl>
                  <c:pt idx="0">
                    <c:v>True</c:v>
                  </c:pt>
                </c:lvl>
              </c:multiLvlStrCache>
            </c:multiLvlStrRef>
          </c:cat>
          <c:val>
            <c:numRef>
              <c:f>'high-value cx variations'!$C$27:$C$32</c:f>
              <c:numCache>
                <c:formatCode>0.00%</c:formatCode>
                <c:ptCount val="4"/>
                <c:pt idx="0">
                  <c:v>0.24102564102564103</c:v>
                </c:pt>
                <c:pt idx="1">
                  <c:v>0.28717948717948716</c:v>
                </c:pt>
                <c:pt idx="2">
                  <c:v>0.23589743589743589</c:v>
                </c:pt>
                <c:pt idx="3">
                  <c:v>0.23589743589743589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65F7-4159-AEAF-49296A2F5BCD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rgbClr val="375623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[The Excel project dataset - Copy.xlsx]high-value cx variations!PivotTable10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Distribution of High-Value Customers by Age and Gender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rgbClr val="FFFFFF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'high-value cx variations'!$I$22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solidFill>
                <a:srgbClr val="FFFFFF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'high-value cx variations'!$F$23:$H$37</c:f>
              <c:multiLvlStrCache>
                <c:ptCount val="9"/>
                <c:lvl>
                  <c:pt idx="0">
                    <c:v>Female</c:v>
                  </c:pt>
                  <c:pt idx="1">
                    <c:v>Male</c:v>
                  </c:pt>
                  <c:pt idx="2">
                    <c:v>Female</c:v>
                  </c:pt>
                  <c:pt idx="3">
                    <c:v>Male</c:v>
                  </c:pt>
                  <c:pt idx="4">
                    <c:v>Non-binary</c:v>
                  </c:pt>
                  <c:pt idx="5">
                    <c:v>Female</c:v>
                  </c:pt>
                  <c:pt idx="6">
                    <c:v>Male</c:v>
                  </c:pt>
                  <c:pt idx="7">
                    <c:v>Female</c:v>
                  </c:pt>
                  <c:pt idx="8">
                    <c:v>Male</c:v>
                  </c:pt>
                </c:lvl>
                <c:lvl>
                  <c:pt idx="0">
                    <c:v>18-25</c:v>
                  </c:pt>
                  <c:pt idx="2">
                    <c:v>26-35</c:v>
                  </c:pt>
                  <c:pt idx="5">
                    <c:v>36-44</c:v>
                  </c:pt>
                  <c:pt idx="7">
                    <c:v>45-54</c:v>
                  </c:pt>
                </c:lvl>
                <c:lvl>
                  <c:pt idx="0">
                    <c:v>True</c:v>
                  </c:pt>
                </c:lvl>
              </c:multiLvlStrCache>
            </c:multiLvlStrRef>
          </c:cat>
          <c:val>
            <c:numRef>
              <c:f>'high-value cx variations'!$I$23:$I$37</c:f>
              <c:numCache>
                <c:formatCode>0.00%</c:formatCode>
                <c:ptCount val="9"/>
                <c:pt idx="0">
                  <c:v>0.13966480446927373</c:v>
                </c:pt>
                <c:pt idx="1">
                  <c:v>6.7039106145251395E-2</c:v>
                </c:pt>
                <c:pt idx="2">
                  <c:v>0.20670391061452514</c:v>
                </c:pt>
                <c:pt idx="3">
                  <c:v>0.12290502793296089</c:v>
                </c:pt>
                <c:pt idx="4">
                  <c:v>1.11731843575419E-2</c:v>
                </c:pt>
                <c:pt idx="5">
                  <c:v>0.12849162011173185</c:v>
                </c:pt>
                <c:pt idx="6">
                  <c:v>0.12849162011173185</c:v>
                </c:pt>
                <c:pt idx="7">
                  <c:v>8.9385474860335198E-2</c:v>
                </c:pt>
                <c:pt idx="8">
                  <c:v>0.10614525139664804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8D-43F6-9DE4-2603C9960EC1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675080712"/>
        <c:axId val="676945416"/>
      </c:barChart>
      <c:catAx>
        <c:axId val="6750807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6945416"/>
        <c:crosses val="autoZero"/>
        <c:auto val="1"/>
        <c:lblAlgn val="ctr"/>
        <c:lblOffset val="100"/>
        <c:noMultiLvlLbl val="0"/>
      </c:catAx>
      <c:valAx>
        <c:axId val="676945416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crossAx val="6750807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rgbClr val="375623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[The Excel project dataset - Copy.xlsx]high-value cx variations!PivotTable3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Distribution of High-Value Customers by Education Level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rgbClr val="FFFFFF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'high-value cx variations'!$C$19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390-496A-B614-7703053655D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390-496A-B614-7703053655D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390-496A-B614-7703053655D1}"/>
              </c:ext>
            </c:extLst>
          </c:dPt>
          <c:dLbls>
            <c:spPr>
              <a:solidFill>
                <a:srgbClr val="FFFFFF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multiLvlStrRef>
              <c:f>'high-value cx variations'!$A$20:$B$24</c:f>
              <c:multiLvlStrCache>
                <c:ptCount val="3"/>
                <c:lvl>
                  <c:pt idx="0">
                    <c:v>Bachelor's</c:v>
                  </c:pt>
                  <c:pt idx="1">
                    <c:v>High School</c:v>
                  </c:pt>
                  <c:pt idx="2">
                    <c:v>Master's</c:v>
                  </c:pt>
                </c:lvl>
                <c:lvl>
                  <c:pt idx="0">
                    <c:v>True</c:v>
                  </c:pt>
                </c:lvl>
              </c:multiLvlStrCache>
            </c:multiLvlStrRef>
          </c:cat>
          <c:val>
            <c:numRef>
              <c:f>'high-value cx variations'!$C$20:$C$24</c:f>
              <c:numCache>
                <c:formatCode>0.00%</c:formatCode>
                <c:ptCount val="3"/>
                <c:pt idx="0">
                  <c:v>0.33333333333333331</c:v>
                </c:pt>
                <c:pt idx="1">
                  <c:v>0.37435897435897436</c:v>
                </c:pt>
                <c:pt idx="2">
                  <c:v>0.29230769230769232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390-496A-B614-7703053655D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rgbClr val="375623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[The Excel project dataset - Copy.xlsx]high-value cx variations!PivotTable8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Distribution of High-Value Customers by Channel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rgbClr val="FFFFFF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'high-value cx variations'!$M$22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49D-4201-A83A-7C0756E1486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49D-4201-A83A-7C0756E1486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49D-4201-A83A-7C0756E14866}"/>
              </c:ext>
            </c:extLst>
          </c:dPt>
          <c:dLbls>
            <c:spPr>
              <a:solidFill>
                <a:srgbClr val="FFFFFF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multiLvlStrRef>
              <c:f>'high-value cx variations'!$K$23:$L$27</c:f>
              <c:multiLvlStrCache>
                <c:ptCount val="3"/>
                <c:lvl>
                  <c:pt idx="0">
                    <c:v>In-Store</c:v>
                  </c:pt>
                  <c:pt idx="1">
                    <c:v>Mixed</c:v>
                  </c:pt>
                  <c:pt idx="2">
                    <c:v>Online</c:v>
                  </c:pt>
                </c:lvl>
                <c:lvl>
                  <c:pt idx="0">
                    <c:v>True</c:v>
                  </c:pt>
                </c:lvl>
              </c:multiLvlStrCache>
            </c:multiLvlStrRef>
          </c:cat>
          <c:val>
            <c:numRef>
              <c:f>'high-value cx variations'!$M$23:$M$27</c:f>
              <c:numCache>
                <c:formatCode>0.00%</c:formatCode>
                <c:ptCount val="3"/>
                <c:pt idx="0">
                  <c:v>0.3282051282051282</c:v>
                </c:pt>
                <c:pt idx="1">
                  <c:v>0.30256410256410254</c:v>
                </c:pt>
                <c:pt idx="2">
                  <c:v>0.36923076923076925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49D-4201-A83A-7C0756E14866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rgbClr val="375623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[The Excel project dataset - Copy.xlsx]high-value cx variations!PivotTable6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Percentage of High-Value Customers (True)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rgbClr val="FFFFFF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'high-value cx variations'!$G$2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32E-4E19-80FE-EC6ED79EEF5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32E-4E19-80FE-EC6ED79EEF5C}"/>
              </c:ext>
            </c:extLst>
          </c:dPt>
          <c:dLbls>
            <c:spPr>
              <a:solidFill>
                <a:srgbClr val="FFFFFF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'high-value cx variations'!$F$3:$F$5</c:f>
              <c:strCache>
                <c:ptCount val="2"/>
                <c:pt idx="0">
                  <c:v>False</c:v>
                </c:pt>
                <c:pt idx="1">
                  <c:v>True</c:v>
                </c:pt>
              </c:strCache>
            </c:strRef>
          </c:cat>
          <c:val>
            <c:numRef>
              <c:f>'high-value cx variations'!$G$3:$G$5</c:f>
              <c:numCache>
                <c:formatCode>0.00%</c:formatCode>
                <c:ptCount val="2"/>
                <c:pt idx="0">
                  <c:v>0.80500000000000005</c:v>
                </c:pt>
                <c:pt idx="1">
                  <c:v>0.19500000000000001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32E-4E19-80FE-EC6ED79EEF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rgbClr val="375623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[The Excel project dataset - Copy.xlsx]high-value cx variations!PivotTable4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Distribution of High-Value Customers by Payment Method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rgbClr val="FFFFFF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'high-value cx variations'!$M$2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solidFill>
                <a:srgbClr val="FFFFFF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'high-value cx variations'!$K$3:$L$9</c:f>
              <c:multiLvlStrCache>
                <c:ptCount val="5"/>
                <c:lvl>
                  <c:pt idx="0">
                    <c:v>Cash</c:v>
                  </c:pt>
                  <c:pt idx="1">
                    <c:v>Credit Card</c:v>
                  </c:pt>
                  <c:pt idx="2">
                    <c:v>Debit Card</c:v>
                  </c:pt>
                  <c:pt idx="3">
                    <c:v>Other</c:v>
                  </c:pt>
                  <c:pt idx="4">
                    <c:v>PayPal</c:v>
                  </c:pt>
                </c:lvl>
                <c:lvl>
                  <c:pt idx="0">
                    <c:v>True</c:v>
                  </c:pt>
                </c:lvl>
              </c:multiLvlStrCache>
            </c:multiLvlStrRef>
          </c:cat>
          <c:val>
            <c:numRef>
              <c:f>'high-value cx variations'!$M$3:$M$9</c:f>
              <c:numCache>
                <c:formatCode>0.00%</c:formatCode>
                <c:ptCount val="5"/>
                <c:pt idx="0">
                  <c:v>0.15897435897435896</c:v>
                </c:pt>
                <c:pt idx="1">
                  <c:v>0.18974358974358974</c:v>
                </c:pt>
                <c:pt idx="2">
                  <c:v>0.22051282051282051</c:v>
                </c:pt>
                <c:pt idx="3">
                  <c:v>0.19487179487179487</c:v>
                </c:pt>
                <c:pt idx="4">
                  <c:v>0.23589743589743589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FE-4883-BB00-DA761B2543CF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674756104"/>
        <c:axId val="676985352"/>
      </c:barChart>
      <c:catAx>
        <c:axId val="6747561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6985352"/>
        <c:crosses val="autoZero"/>
        <c:auto val="1"/>
        <c:lblAlgn val="ctr"/>
        <c:lblOffset val="100"/>
        <c:noMultiLvlLbl val="0"/>
      </c:catAx>
      <c:valAx>
        <c:axId val="676985352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crossAx val="6747561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rgbClr val="375623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[The Excel project dataset - Copy.xlsx]purchase amount per weekday!PivotTable4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Purchase Amount per Weekday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'purchase amount per weekday'!$B$3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'purchase amount per weekday'!$A$4:$A$11</c:f>
              <c:strCache>
                <c:ptCount val="7"/>
                <c:pt idx="0">
                  <c:v>Monday</c:v>
                </c:pt>
                <c:pt idx="1">
                  <c:v>Wednesday</c:v>
                </c:pt>
                <c:pt idx="2">
                  <c:v>Tuesday</c:v>
                </c:pt>
                <c:pt idx="3">
                  <c:v>Thursday</c:v>
                </c:pt>
                <c:pt idx="4">
                  <c:v>Sunday</c:v>
                </c:pt>
                <c:pt idx="5">
                  <c:v>Saturday</c:v>
                </c:pt>
                <c:pt idx="6">
                  <c:v>Friday</c:v>
                </c:pt>
              </c:strCache>
            </c:strRef>
          </c:cat>
          <c:val>
            <c:numRef>
              <c:f>'purchase amount per weekday'!$B$4:$B$11</c:f>
              <c:numCache>
                <c:formatCode>"$"#,##0.00</c:formatCode>
                <c:ptCount val="7"/>
                <c:pt idx="0">
                  <c:v>289.56853146853166</c:v>
                </c:pt>
                <c:pt idx="1">
                  <c:v>281.10467741935486</c:v>
                </c:pt>
                <c:pt idx="2">
                  <c:v>278.2471069182389</c:v>
                </c:pt>
                <c:pt idx="3">
                  <c:v>276.65986928104576</c:v>
                </c:pt>
                <c:pt idx="4">
                  <c:v>268.27320512820512</c:v>
                </c:pt>
                <c:pt idx="5">
                  <c:v>266.30437499999994</c:v>
                </c:pt>
                <c:pt idx="6">
                  <c:v>264.89613138686127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CC-4FEB-A116-9C2C0FD4888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952396296"/>
        <c:axId val="1952398344"/>
      </c:barChart>
      <c:catAx>
        <c:axId val="19523962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2398344"/>
        <c:crosses val="autoZero"/>
        <c:auto val="1"/>
        <c:lblAlgn val="ctr"/>
        <c:lblOffset val="100"/>
        <c:noMultiLvlLbl val="0"/>
      </c:catAx>
      <c:valAx>
        <c:axId val="1952398344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crossAx val="1952396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rgbClr val="375623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[The Excel project dataset - Copy.xlsx]purchases per month &amp; season!PivotTable3</c:name>
    <c:fmtId val="2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Number of Purchases Made per Season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rgbClr val="FFFFFF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'purchases per month &amp; season'!$B$3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solidFill>
                <a:srgbClr val="FFFFFF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'purchases per month &amp; season'!$A$4:$A$8</c:f>
              <c:strCache>
                <c:ptCount val="4"/>
                <c:pt idx="0">
                  <c:v>Autumn</c:v>
                </c:pt>
                <c:pt idx="1">
                  <c:v>Spring</c:v>
                </c:pt>
                <c:pt idx="2">
                  <c:v>Summer</c:v>
                </c:pt>
                <c:pt idx="3">
                  <c:v>Winter</c:v>
                </c:pt>
              </c:strCache>
            </c:strRef>
          </c:cat>
          <c:val>
            <c:numRef>
              <c:f>'purchases per month &amp; season'!$B$4:$B$8</c:f>
              <c:numCache>
                <c:formatCode>General</c:formatCode>
                <c:ptCount val="4"/>
                <c:pt idx="0">
                  <c:v>243</c:v>
                </c:pt>
                <c:pt idx="1">
                  <c:v>269</c:v>
                </c:pt>
                <c:pt idx="2">
                  <c:v>281</c:v>
                </c:pt>
                <c:pt idx="3">
                  <c:v>207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EF-44FB-9CDB-236F9DE3FFDD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628495880"/>
        <c:axId val="1631061512"/>
      </c:barChart>
      <c:catAx>
        <c:axId val="16284958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1061512"/>
        <c:crosses val="autoZero"/>
        <c:auto val="1"/>
        <c:lblAlgn val="ctr"/>
        <c:lblOffset val="100"/>
        <c:noMultiLvlLbl val="0"/>
      </c:catAx>
      <c:valAx>
        <c:axId val="1631061512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6284958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rgbClr val="375623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[The Excel project dataset - Copy.xlsx]purchases per month &amp; season!PivotTable1</c:name>
    <c:fmtId val="2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Number of Purchases Made per Month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'purchases per month &amp; season'!$Q$3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'purchases per month &amp; season'!$P$4:$P$16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'purchases per month &amp; season'!$Q$4:$Q$16</c:f>
              <c:numCache>
                <c:formatCode>General</c:formatCode>
                <c:ptCount val="12"/>
                <c:pt idx="0">
                  <c:v>75</c:v>
                </c:pt>
                <c:pt idx="1">
                  <c:v>68</c:v>
                </c:pt>
                <c:pt idx="2">
                  <c:v>93</c:v>
                </c:pt>
                <c:pt idx="3">
                  <c:v>100</c:v>
                </c:pt>
                <c:pt idx="4">
                  <c:v>76</c:v>
                </c:pt>
                <c:pt idx="5">
                  <c:v>89</c:v>
                </c:pt>
                <c:pt idx="6">
                  <c:v>94</c:v>
                </c:pt>
                <c:pt idx="7">
                  <c:v>98</c:v>
                </c:pt>
                <c:pt idx="8">
                  <c:v>84</c:v>
                </c:pt>
                <c:pt idx="9">
                  <c:v>79</c:v>
                </c:pt>
                <c:pt idx="10">
                  <c:v>80</c:v>
                </c:pt>
                <c:pt idx="11">
                  <c:v>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673-4C15-B39A-32220F1E0DFB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606166023"/>
        <c:axId val="1606168071"/>
      </c:lineChart>
      <c:catAx>
        <c:axId val="16061660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6168071"/>
        <c:crosses val="autoZero"/>
        <c:auto val="1"/>
        <c:lblAlgn val="ctr"/>
        <c:lblOffset val="100"/>
        <c:noMultiLvlLbl val="0"/>
      </c:catAx>
      <c:valAx>
        <c:axId val="1606168071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6061660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rgbClr val="375623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[The Excel project dataset - Copy.xlsx]product categories popularity!PivotTable1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Number of Purchases Made by Product Category</a:t>
            </a:r>
          </a:p>
        </c:rich>
      </c:tx>
      <c:layout>
        <c:manualLayout>
          <c:xMode val="edge"/>
          <c:yMode val="edge"/>
          <c:x val="0.16253364099880263"/>
          <c:y val="3.206936211625231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'product categories popularity'!$B$3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'product categories popularity'!$A$4:$A$25</c:f>
              <c:strCache>
                <c:ptCount val="21"/>
                <c:pt idx="0">
                  <c:v>Luxury Goods &amp; Accessories</c:v>
                </c:pt>
                <c:pt idx="1">
                  <c:v>Health Care</c:v>
                </c:pt>
                <c:pt idx="2">
                  <c:v>Travel &amp; Leisure</c:v>
                </c:pt>
                <c:pt idx="3">
                  <c:v>Electronics</c:v>
                </c:pt>
                <c:pt idx="4">
                  <c:v>Sports &amp; Outdoors</c:v>
                </c:pt>
                <c:pt idx="5">
                  <c:v>Home Appliances</c:v>
                </c:pt>
                <c:pt idx="6">
                  <c:v>Toys &amp; Games</c:v>
                </c:pt>
                <c:pt idx="7">
                  <c:v>Food &amp; Beverages</c:v>
                </c:pt>
                <c:pt idx="8">
                  <c:v>Animal Feed</c:v>
                </c:pt>
                <c:pt idx="9">
                  <c:v>Gardening &amp; Outdoors</c:v>
                </c:pt>
                <c:pt idx="10">
                  <c:v>Software &amp; Apps</c:v>
                </c:pt>
                <c:pt idx="11">
                  <c:v>Packages</c:v>
                </c:pt>
                <c:pt idx="12">
                  <c:v>Furniture</c:v>
                </c:pt>
                <c:pt idx="13">
                  <c:v>Baby Products</c:v>
                </c:pt>
                <c:pt idx="14">
                  <c:v>Mobile Accessories</c:v>
                </c:pt>
                <c:pt idx="15">
                  <c:v>Groceries</c:v>
                </c:pt>
                <c:pt idx="16">
                  <c:v>Office Supplies</c:v>
                </c:pt>
                <c:pt idx="17">
                  <c:v>Books</c:v>
                </c:pt>
                <c:pt idx="18">
                  <c:v>Arts &amp; Crafts</c:v>
                </c:pt>
                <c:pt idx="19">
                  <c:v>Beauty &amp; Personal Care</c:v>
                </c:pt>
                <c:pt idx="20">
                  <c:v>Clothing</c:v>
                </c:pt>
              </c:strCache>
            </c:strRef>
          </c:cat>
          <c:val>
            <c:numRef>
              <c:f>'product categories popularity'!$B$4:$B$25</c:f>
              <c:numCache>
                <c:formatCode>General</c:formatCode>
                <c:ptCount val="21"/>
                <c:pt idx="0">
                  <c:v>87</c:v>
                </c:pt>
                <c:pt idx="1">
                  <c:v>82</c:v>
                </c:pt>
                <c:pt idx="2">
                  <c:v>74</c:v>
                </c:pt>
                <c:pt idx="3">
                  <c:v>54</c:v>
                </c:pt>
                <c:pt idx="4">
                  <c:v>51</c:v>
                </c:pt>
                <c:pt idx="5">
                  <c:v>50</c:v>
                </c:pt>
                <c:pt idx="6">
                  <c:v>47</c:v>
                </c:pt>
                <c:pt idx="7">
                  <c:v>44</c:v>
                </c:pt>
                <c:pt idx="8">
                  <c:v>44</c:v>
                </c:pt>
                <c:pt idx="9">
                  <c:v>44</c:v>
                </c:pt>
                <c:pt idx="10">
                  <c:v>43</c:v>
                </c:pt>
                <c:pt idx="11">
                  <c:v>43</c:v>
                </c:pt>
                <c:pt idx="12">
                  <c:v>41</c:v>
                </c:pt>
                <c:pt idx="13">
                  <c:v>41</c:v>
                </c:pt>
                <c:pt idx="14">
                  <c:v>41</c:v>
                </c:pt>
                <c:pt idx="15">
                  <c:v>41</c:v>
                </c:pt>
                <c:pt idx="16">
                  <c:v>38</c:v>
                </c:pt>
                <c:pt idx="17">
                  <c:v>37</c:v>
                </c:pt>
                <c:pt idx="18">
                  <c:v>34</c:v>
                </c:pt>
                <c:pt idx="19">
                  <c:v>34</c:v>
                </c:pt>
                <c:pt idx="20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AE5-4536-8075-8B9FBC55975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70536455"/>
        <c:axId val="1666756616"/>
      </c:barChart>
      <c:catAx>
        <c:axId val="1170536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6756616"/>
        <c:crosses val="autoZero"/>
        <c:auto val="1"/>
        <c:lblAlgn val="ctr"/>
        <c:lblOffset val="100"/>
        <c:noMultiLvlLbl val="0"/>
      </c:catAx>
      <c:valAx>
        <c:axId val="1666756616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Frequency of purchases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crossAx val="11705364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rgbClr val="375623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[The Excel project dataset - Copy.xlsx]education distribution!PivotTable3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Education Level Distribution of Customers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rgbClr val="FFFFFF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'education distribution'!$B$3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solidFill>
                <a:srgbClr val="FFFFFF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'education distribution'!$A$4:$A$7</c:f>
              <c:strCache>
                <c:ptCount val="3"/>
                <c:pt idx="0">
                  <c:v>Bachelor's</c:v>
                </c:pt>
                <c:pt idx="1">
                  <c:v>High School</c:v>
                </c:pt>
                <c:pt idx="2">
                  <c:v>Master's</c:v>
                </c:pt>
              </c:strCache>
            </c:strRef>
          </c:cat>
          <c:val>
            <c:numRef>
              <c:f>'education distribution'!$B$4:$B$7</c:f>
              <c:numCache>
                <c:formatCode>0.00%</c:formatCode>
                <c:ptCount val="3"/>
                <c:pt idx="0">
                  <c:v>0.34100000000000003</c:v>
                </c:pt>
                <c:pt idx="1">
                  <c:v>0.33100000000000002</c:v>
                </c:pt>
                <c:pt idx="2">
                  <c:v>0.32800000000000001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4A-4BEC-983A-A8A49B5322CB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41305608"/>
        <c:axId val="241337352"/>
      </c:barChart>
      <c:catAx>
        <c:axId val="2413056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1337352"/>
        <c:crosses val="autoZero"/>
        <c:auto val="1"/>
        <c:lblAlgn val="ctr"/>
        <c:lblOffset val="100"/>
        <c:noMultiLvlLbl val="0"/>
      </c:catAx>
      <c:valAx>
        <c:axId val="241337352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crossAx val="2413056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rgbClr val="375623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[The Excel project dataset - Copy.xlsx] income distribution!PivotTable2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Income Level Distribution of Customers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rgbClr val="FFFFFF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 income distribution'!$B$3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695-40B8-8E4F-47F07972140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695-40B8-8E4F-47F07972140A}"/>
              </c:ext>
            </c:extLst>
          </c:dPt>
          <c:dLbls>
            <c:spPr>
              <a:solidFill>
                <a:srgbClr val="FFFFFF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 income distribution'!$A$4:$A$6</c:f>
              <c:strCache>
                <c:ptCount val="2"/>
                <c:pt idx="0">
                  <c:v>High</c:v>
                </c:pt>
                <c:pt idx="1">
                  <c:v>Middle</c:v>
                </c:pt>
              </c:strCache>
            </c:strRef>
          </c:cat>
          <c:val>
            <c:numRef>
              <c:f>' income distribution'!$B$4:$B$6</c:f>
              <c:numCache>
                <c:formatCode>0.00%</c:formatCode>
                <c:ptCount val="2"/>
                <c:pt idx="0">
                  <c:v>0.51500000000000001</c:v>
                </c:pt>
                <c:pt idx="1">
                  <c:v>0.48499999999999999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695-40B8-8E4F-47F07972140A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rgbClr val="375623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[The Excel project dataset - Copy.xlsx]age distribution!PivotTable1</c:name>
    <c:fmtId val="1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Age Distribution of Customers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rgbClr val="FFFFFF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'age distribution'!$B$3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494-4EC1-8F82-30AB1A249ED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494-4EC1-8F82-30AB1A249ED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494-4EC1-8F82-30AB1A249ED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2494-4EC1-8F82-30AB1A249ED2}"/>
              </c:ext>
            </c:extLst>
          </c:dPt>
          <c:dLbls>
            <c:spPr>
              <a:solidFill>
                <a:srgbClr val="FFFFFF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'age distribution'!$A$4:$A$7</c:f>
              <c:strCache>
                <c:ptCount val="4"/>
                <c:pt idx="0">
                  <c:v>45-54</c:v>
                </c:pt>
                <c:pt idx="1">
                  <c:v>36-44</c:v>
                </c:pt>
                <c:pt idx="2">
                  <c:v>26-35</c:v>
                </c:pt>
                <c:pt idx="3">
                  <c:v>18-25</c:v>
                </c:pt>
              </c:strCache>
            </c:strRef>
          </c:cat>
          <c:val>
            <c:numRef>
              <c:f>'age distribution'!$B$4:$B$7</c:f>
              <c:numCache>
                <c:formatCode>0.00%</c:formatCode>
                <c:ptCount val="4"/>
                <c:pt idx="0">
                  <c:v>0.183</c:v>
                </c:pt>
                <c:pt idx="1">
                  <c:v>0.28699999999999998</c:v>
                </c:pt>
                <c:pt idx="2">
                  <c:v>0.308</c:v>
                </c:pt>
                <c:pt idx="3">
                  <c:v>0.222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494-4EC1-8F82-30AB1A249ED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rgbClr val="375623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[The Excel project dataset - Copy.xlsx]gender distribution!PivotTable2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Gender Distribution of Customers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rgbClr val="FFFFFF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'gender distribution'!$B$3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B1D-45BE-9476-1105F87458B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B1D-45BE-9476-1105F87458B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B1D-45BE-9476-1105F87458B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5B1D-45BE-9476-1105F87458B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5B1D-45BE-9476-1105F87458B4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5B1D-45BE-9476-1105F87458B4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5B1D-45BE-9476-1105F87458B4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5B1D-45BE-9476-1105F87458B4}"/>
              </c:ext>
            </c:extLst>
          </c:dPt>
          <c:dLbls>
            <c:spPr>
              <a:solidFill>
                <a:srgbClr val="FFFFFF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'gender distribution'!$A$4:$A$12</c:f>
              <c:strCache>
                <c:ptCount val="8"/>
                <c:pt idx="0">
                  <c:v>Female</c:v>
                </c:pt>
                <c:pt idx="1">
                  <c:v>Male</c:v>
                </c:pt>
                <c:pt idx="2">
                  <c:v>Bigender</c:v>
                </c:pt>
                <c:pt idx="3">
                  <c:v>Agender</c:v>
                </c:pt>
                <c:pt idx="4">
                  <c:v>Genderfluid</c:v>
                </c:pt>
                <c:pt idx="5">
                  <c:v>Non-binary</c:v>
                </c:pt>
                <c:pt idx="6">
                  <c:v>Polygender</c:v>
                </c:pt>
                <c:pt idx="7">
                  <c:v>Genderqueer</c:v>
                </c:pt>
              </c:strCache>
            </c:strRef>
          </c:cat>
          <c:val>
            <c:numRef>
              <c:f>'gender distribution'!$B$4:$B$12</c:f>
              <c:numCache>
                <c:formatCode>0.00%</c:formatCode>
                <c:ptCount val="8"/>
                <c:pt idx="0">
                  <c:v>0.45200000000000001</c:v>
                </c:pt>
                <c:pt idx="1">
                  <c:v>0.44900000000000001</c:v>
                </c:pt>
                <c:pt idx="2">
                  <c:v>0.02</c:v>
                </c:pt>
                <c:pt idx="3">
                  <c:v>1.9E-2</c:v>
                </c:pt>
                <c:pt idx="4">
                  <c:v>1.7000000000000001E-2</c:v>
                </c:pt>
                <c:pt idx="5">
                  <c:v>1.6E-2</c:v>
                </c:pt>
                <c:pt idx="6">
                  <c:v>1.4999999999999999E-2</c:v>
                </c:pt>
                <c:pt idx="7">
                  <c:v>1.2E-2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5B1D-45BE-9476-1105F87458B4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rgbClr val="375623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[The Excel project dataset - Copy.xlsx]avg purchase amount per channel!PivotTable2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Purchase Amount per Channel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'avg purchase amount per channel'!$B$3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'avg purchase amount per channel'!$A$4:$A$7</c:f>
              <c:strCache>
                <c:ptCount val="3"/>
                <c:pt idx="0">
                  <c:v>Mixed</c:v>
                </c:pt>
                <c:pt idx="1">
                  <c:v>Online</c:v>
                </c:pt>
                <c:pt idx="2">
                  <c:v>In-Store</c:v>
                </c:pt>
              </c:strCache>
            </c:strRef>
          </c:cat>
          <c:val>
            <c:numRef>
              <c:f>'avg purchase amount per channel'!$B$4:$B$7</c:f>
              <c:numCache>
                <c:formatCode>"$"#,##0.00</c:formatCode>
                <c:ptCount val="3"/>
                <c:pt idx="0">
                  <c:v>279.8951764705883</c:v>
                </c:pt>
                <c:pt idx="1">
                  <c:v>274.26416167664655</c:v>
                </c:pt>
                <c:pt idx="2">
                  <c:v>270.84444785276065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0B-4533-9F3C-1D4F1B2739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28480520"/>
        <c:axId val="1666732552"/>
      </c:barChart>
      <c:catAx>
        <c:axId val="16284805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6732552"/>
        <c:crosses val="autoZero"/>
        <c:auto val="1"/>
        <c:lblAlgn val="ctr"/>
        <c:lblOffset val="100"/>
        <c:noMultiLvlLbl val="0"/>
      </c:catAx>
      <c:valAx>
        <c:axId val="1666732552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crossAx val="16284805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rgbClr val="375623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[The Excel project dataset - Copy.xlsx]gender distribution!PivotTable2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Gender distribution of customers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'gender distribution'!$B$3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rgbClr val="637CE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275-4827-8BF1-FCFB7B0BD3F6}"/>
              </c:ext>
            </c:extLst>
          </c:dPt>
          <c:dPt>
            <c:idx val="1"/>
            <c:bubble3D val="0"/>
            <c:spPr>
              <a:solidFill>
                <a:srgbClr val="E3008C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275-4827-8BF1-FCFB7B0BD3F6}"/>
              </c:ext>
            </c:extLst>
          </c:dPt>
          <c:dPt>
            <c:idx val="2"/>
            <c:bubble3D val="0"/>
            <c:spPr>
              <a:solidFill>
                <a:srgbClr val="2AA0A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275-4827-8BF1-FCFB7B0BD3F6}"/>
              </c:ext>
            </c:extLst>
          </c:dPt>
          <c:dPt>
            <c:idx val="3"/>
            <c:bubble3D val="0"/>
            <c:spPr>
              <a:solidFill>
                <a:srgbClr val="9373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4275-4827-8BF1-FCFB7B0BD3F6}"/>
              </c:ext>
            </c:extLst>
          </c:dPt>
          <c:dPt>
            <c:idx val="4"/>
            <c:bubble3D val="0"/>
            <c:spPr>
              <a:solidFill>
                <a:srgbClr val="13A10E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4275-4827-8BF1-FCFB7B0BD3F6}"/>
              </c:ext>
            </c:extLst>
          </c:dPt>
          <c:dPt>
            <c:idx val="5"/>
            <c:bubble3D val="0"/>
            <c:spPr>
              <a:solidFill>
                <a:srgbClr val="3A96DD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4275-4827-8BF1-FCFB7B0BD3F6}"/>
              </c:ext>
            </c:extLst>
          </c:dPt>
          <c:dPt>
            <c:idx val="6"/>
            <c:bubble3D val="0"/>
            <c:spPr>
              <a:solidFill>
                <a:srgbClr val="CA501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4275-4827-8BF1-FCFB7B0BD3F6}"/>
              </c:ext>
            </c:extLst>
          </c:dPt>
          <c:dPt>
            <c:idx val="7"/>
            <c:bubble3D val="0"/>
            <c:spPr>
              <a:solidFill>
                <a:srgbClr val="57811B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4275-4827-8BF1-FCFB7B0BD3F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'gender distribution'!$A$4:$A$12</c:f>
              <c:strCache>
                <c:ptCount val="8"/>
                <c:pt idx="0">
                  <c:v>Female</c:v>
                </c:pt>
                <c:pt idx="1">
                  <c:v>Male</c:v>
                </c:pt>
                <c:pt idx="2">
                  <c:v>Bigender</c:v>
                </c:pt>
                <c:pt idx="3">
                  <c:v>Agender</c:v>
                </c:pt>
                <c:pt idx="4">
                  <c:v>Genderfluid</c:v>
                </c:pt>
                <c:pt idx="5">
                  <c:v>Non-binary</c:v>
                </c:pt>
                <c:pt idx="6">
                  <c:v>Polygender</c:v>
                </c:pt>
                <c:pt idx="7">
                  <c:v>Genderqueer</c:v>
                </c:pt>
              </c:strCache>
            </c:strRef>
          </c:cat>
          <c:val>
            <c:numRef>
              <c:f>'gender distribution'!$B$4:$B$12</c:f>
              <c:numCache>
                <c:formatCode>0.00%</c:formatCode>
                <c:ptCount val="8"/>
                <c:pt idx="0">
                  <c:v>0.45200000000000001</c:v>
                </c:pt>
                <c:pt idx="1">
                  <c:v>0.44900000000000001</c:v>
                </c:pt>
                <c:pt idx="2">
                  <c:v>0.02</c:v>
                </c:pt>
                <c:pt idx="3">
                  <c:v>1.9E-2</c:v>
                </c:pt>
                <c:pt idx="4">
                  <c:v>1.7000000000000001E-2</c:v>
                </c:pt>
                <c:pt idx="5">
                  <c:v>1.6E-2</c:v>
                </c:pt>
                <c:pt idx="6">
                  <c:v>1.4999999999999999E-2</c:v>
                </c:pt>
                <c:pt idx="7">
                  <c:v>1.2E-2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3E-41B9-9087-75A27E179EA5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[The Excel project dataset - Copy.xlsx]age distribution!PivotTable1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Age distribution of customers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'age distribution'!$B$3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rgbClr val="637CE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682-4F6E-BE04-BE56780421E0}"/>
              </c:ext>
            </c:extLst>
          </c:dPt>
          <c:dPt>
            <c:idx val="1"/>
            <c:bubble3D val="0"/>
            <c:spPr>
              <a:solidFill>
                <a:srgbClr val="E3008C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682-4F6E-BE04-BE56780421E0}"/>
              </c:ext>
            </c:extLst>
          </c:dPt>
          <c:dPt>
            <c:idx val="2"/>
            <c:bubble3D val="0"/>
            <c:spPr>
              <a:solidFill>
                <a:srgbClr val="2AA0A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682-4F6E-BE04-BE56780421E0}"/>
              </c:ext>
            </c:extLst>
          </c:dPt>
          <c:dPt>
            <c:idx val="3"/>
            <c:bubble3D val="0"/>
            <c:spPr>
              <a:solidFill>
                <a:srgbClr val="9373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3682-4F6E-BE04-BE56780421E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'age distribution'!$A$4:$A$7</c:f>
              <c:strCache>
                <c:ptCount val="4"/>
                <c:pt idx="0">
                  <c:v>45-54</c:v>
                </c:pt>
                <c:pt idx="1">
                  <c:v>36-44</c:v>
                </c:pt>
                <c:pt idx="2">
                  <c:v>26-35</c:v>
                </c:pt>
                <c:pt idx="3">
                  <c:v>18-25</c:v>
                </c:pt>
              </c:strCache>
            </c:strRef>
          </c:cat>
          <c:val>
            <c:numRef>
              <c:f>'age distribution'!$B$4:$B$7</c:f>
              <c:numCache>
                <c:formatCode>0.00%</c:formatCode>
                <c:ptCount val="4"/>
                <c:pt idx="0">
                  <c:v>0.183</c:v>
                </c:pt>
                <c:pt idx="1">
                  <c:v>0.28699999999999998</c:v>
                </c:pt>
                <c:pt idx="2">
                  <c:v>0.308</c:v>
                </c:pt>
                <c:pt idx="3">
                  <c:v>0.222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31-4789-A80E-4FBD64FC7FE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[The Excel project dataset - Copy.xlsx] income distribution!PivotTable2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income level distribution of customers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 income distribution'!$B$3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rgbClr val="637CE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DD5-4779-8F2B-F807D3475D5A}"/>
              </c:ext>
            </c:extLst>
          </c:dPt>
          <c:dPt>
            <c:idx val="1"/>
            <c:bubble3D val="0"/>
            <c:spPr>
              <a:solidFill>
                <a:srgbClr val="E3008C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DD5-4779-8F2B-F807D3475D5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 income distribution'!$A$4:$A$6</c:f>
              <c:strCache>
                <c:ptCount val="2"/>
                <c:pt idx="0">
                  <c:v>High</c:v>
                </c:pt>
                <c:pt idx="1">
                  <c:v>Middle</c:v>
                </c:pt>
              </c:strCache>
            </c:strRef>
          </c:cat>
          <c:val>
            <c:numRef>
              <c:f>' income distribution'!$B$4:$B$6</c:f>
              <c:numCache>
                <c:formatCode>0.00%</c:formatCode>
                <c:ptCount val="2"/>
                <c:pt idx="0">
                  <c:v>0.51500000000000001</c:v>
                </c:pt>
                <c:pt idx="1">
                  <c:v>0.48499999999999999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A3-4B4D-870C-D5F23CB0F1AF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[The Excel project dataset - Copy.xlsx]education distribution!PivotTable3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Education level distribution of customers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'education distribution'!$B$3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'education distribution'!$A$4:$A$7</c:f>
              <c:strCache>
                <c:ptCount val="3"/>
                <c:pt idx="0">
                  <c:v>Bachelor's</c:v>
                </c:pt>
                <c:pt idx="1">
                  <c:v>High School</c:v>
                </c:pt>
                <c:pt idx="2">
                  <c:v>Master's</c:v>
                </c:pt>
              </c:strCache>
            </c:strRef>
          </c:cat>
          <c:val>
            <c:numRef>
              <c:f>'education distribution'!$B$4:$B$7</c:f>
              <c:numCache>
                <c:formatCode>0.00%</c:formatCode>
                <c:ptCount val="3"/>
                <c:pt idx="0">
                  <c:v>0.34100000000000003</c:v>
                </c:pt>
                <c:pt idx="1">
                  <c:v>0.33100000000000002</c:v>
                </c:pt>
                <c:pt idx="2">
                  <c:v>0.32800000000000001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3E-4076-9CFE-232A6652B580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41305608"/>
        <c:axId val="241337352"/>
      </c:barChart>
      <c:catAx>
        <c:axId val="2413056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1337352"/>
        <c:crosses val="autoZero"/>
        <c:auto val="1"/>
        <c:lblAlgn val="ctr"/>
        <c:lblOffset val="100"/>
        <c:noMultiLvlLbl val="0"/>
      </c:catAx>
      <c:valAx>
        <c:axId val="241337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13056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[The Excel project dataset - Copy.xlsx]product categories popularity!PivotTable1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Number of purchases made by product category</a:t>
            </a:r>
          </a:p>
        </c:rich>
      </c:tx>
      <c:layout>
        <c:manualLayout>
          <c:xMode val="edge"/>
          <c:yMode val="edge"/>
          <c:x val="0.16253364099880263"/>
          <c:y val="3.206936211625231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'product categories popularity'!$B$3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cat>
            <c:strRef>
              <c:f>'product categories popularity'!$A$4:$A$25</c:f>
              <c:strCache>
                <c:ptCount val="21"/>
                <c:pt idx="0">
                  <c:v>Luxury Goods &amp; Accessories</c:v>
                </c:pt>
                <c:pt idx="1">
                  <c:v>Health Care</c:v>
                </c:pt>
                <c:pt idx="2">
                  <c:v>Travel &amp; Leisure</c:v>
                </c:pt>
                <c:pt idx="3">
                  <c:v>Electronics</c:v>
                </c:pt>
                <c:pt idx="4">
                  <c:v>Sports &amp; Outdoors</c:v>
                </c:pt>
                <c:pt idx="5">
                  <c:v>Home Appliances</c:v>
                </c:pt>
                <c:pt idx="6">
                  <c:v>Toys &amp; Games</c:v>
                </c:pt>
                <c:pt idx="7">
                  <c:v>Food &amp; Beverages</c:v>
                </c:pt>
                <c:pt idx="8">
                  <c:v>Animal Feed</c:v>
                </c:pt>
                <c:pt idx="9">
                  <c:v>Gardening &amp; Outdoors</c:v>
                </c:pt>
                <c:pt idx="10">
                  <c:v>Software &amp; Apps</c:v>
                </c:pt>
                <c:pt idx="11">
                  <c:v>Packages</c:v>
                </c:pt>
                <c:pt idx="12">
                  <c:v>Furniture</c:v>
                </c:pt>
                <c:pt idx="13">
                  <c:v>Baby Products</c:v>
                </c:pt>
                <c:pt idx="14">
                  <c:v>Mobile Accessories</c:v>
                </c:pt>
                <c:pt idx="15">
                  <c:v>Groceries</c:v>
                </c:pt>
                <c:pt idx="16">
                  <c:v>Office Supplies</c:v>
                </c:pt>
                <c:pt idx="17">
                  <c:v>Books</c:v>
                </c:pt>
                <c:pt idx="18">
                  <c:v>Arts &amp; Crafts</c:v>
                </c:pt>
                <c:pt idx="19">
                  <c:v>Beauty &amp; Personal Care</c:v>
                </c:pt>
                <c:pt idx="20">
                  <c:v>Clothing</c:v>
                </c:pt>
              </c:strCache>
            </c:strRef>
          </c:cat>
          <c:val>
            <c:numRef>
              <c:f>'product categories popularity'!$B$4:$B$25</c:f>
              <c:numCache>
                <c:formatCode>General</c:formatCode>
                <c:ptCount val="21"/>
                <c:pt idx="0">
                  <c:v>87</c:v>
                </c:pt>
                <c:pt idx="1">
                  <c:v>82</c:v>
                </c:pt>
                <c:pt idx="2">
                  <c:v>74</c:v>
                </c:pt>
                <c:pt idx="3">
                  <c:v>54</c:v>
                </c:pt>
                <c:pt idx="4">
                  <c:v>51</c:v>
                </c:pt>
                <c:pt idx="5">
                  <c:v>50</c:v>
                </c:pt>
                <c:pt idx="6">
                  <c:v>47</c:v>
                </c:pt>
                <c:pt idx="7">
                  <c:v>44</c:v>
                </c:pt>
                <c:pt idx="8">
                  <c:v>44</c:v>
                </c:pt>
                <c:pt idx="9">
                  <c:v>44</c:v>
                </c:pt>
                <c:pt idx="10">
                  <c:v>43</c:v>
                </c:pt>
                <c:pt idx="11">
                  <c:v>43</c:v>
                </c:pt>
                <c:pt idx="12">
                  <c:v>41</c:v>
                </c:pt>
                <c:pt idx="13">
                  <c:v>41</c:v>
                </c:pt>
                <c:pt idx="14">
                  <c:v>41</c:v>
                </c:pt>
                <c:pt idx="15">
                  <c:v>41</c:v>
                </c:pt>
                <c:pt idx="16">
                  <c:v>38</c:v>
                </c:pt>
                <c:pt idx="17">
                  <c:v>37</c:v>
                </c:pt>
                <c:pt idx="18">
                  <c:v>34</c:v>
                </c:pt>
                <c:pt idx="19">
                  <c:v>34</c:v>
                </c:pt>
                <c:pt idx="20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8E4-4734-958B-2191DD1BE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70536455"/>
        <c:axId val="1666756616"/>
      </c:barChart>
      <c:catAx>
        <c:axId val="1170536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6756616"/>
        <c:crosses val="autoZero"/>
        <c:auto val="1"/>
        <c:lblAlgn val="ctr"/>
        <c:lblOffset val="100"/>
        <c:noMultiLvlLbl val="0"/>
      </c:catAx>
      <c:valAx>
        <c:axId val="1666756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Frequency of purchases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05364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[The Excel project dataset - Copy.xlsx]avg purchase amount per channel!PivotTable2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purchase amount per channel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'avg purchase amount per channel'!$B$3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'avg purchase amount per channel'!$A$4:$A$7</c:f>
              <c:strCache>
                <c:ptCount val="3"/>
                <c:pt idx="0">
                  <c:v>Mixed</c:v>
                </c:pt>
                <c:pt idx="1">
                  <c:v>Online</c:v>
                </c:pt>
                <c:pt idx="2">
                  <c:v>In-Store</c:v>
                </c:pt>
              </c:strCache>
            </c:strRef>
          </c:cat>
          <c:val>
            <c:numRef>
              <c:f>'avg purchase amount per channel'!$B$4:$B$7</c:f>
              <c:numCache>
                <c:formatCode>"$"#,##0.00</c:formatCode>
                <c:ptCount val="3"/>
                <c:pt idx="0">
                  <c:v>279.8951764705883</c:v>
                </c:pt>
                <c:pt idx="1">
                  <c:v>274.26416167664655</c:v>
                </c:pt>
                <c:pt idx="2">
                  <c:v>270.84444785276065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90-4284-8944-3BAD7CDD93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28480520"/>
        <c:axId val="1666732552"/>
      </c:barChart>
      <c:catAx>
        <c:axId val="16284805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6732552"/>
        <c:crosses val="autoZero"/>
        <c:auto val="1"/>
        <c:lblAlgn val="ctr"/>
        <c:lblOffset val="100"/>
        <c:noMultiLvlLbl val="0"/>
      </c:catAx>
      <c:valAx>
        <c:axId val="1666732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84805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[The Excel project dataset - Copy.xlsx]purchases per month &amp; season!PivotTable3</c:name>
    <c:fmtId val="2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Number of purchases made per season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</c:pivotFmt>
      <c:pivotFmt>
        <c:idx val="13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'purchases per month &amp; season'!$B$3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'purchases per month &amp; season'!$A$4:$A$8</c:f>
              <c:strCache>
                <c:ptCount val="4"/>
                <c:pt idx="0">
                  <c:v>Autumn</c:v>
                </c:pt>
                <c:pt idx="1">
                  <c:v>Spring</c:v>
                </c:pt>
                <c:pt idx="2">
                  <c:v>Summer</c:v>
                </c:pt>
                <c:pt idx="3">
                  <c:v>Winter</c:v>
                </c:pt>
              </c:strCache>
            </c:strRef>
          </c:cat>
          <c:val>
            <c:numRef>
              <c:f>'purchases per month &amp; season'!$B$4:$B$8</c:f>
              <c:numCache>
                <c:formatCode>General</c:formatCode>
                <c:ptCount val="4"/>
                <c:pt idx="0">
                  <c:v>243</c:v>
                </c:pt>
                <c:pt idx="1">
                  <c:v>269</c:v>
                </c:pt>
                <c:pt idx="2">
                  <c:v>281</c:v>
                </c:pt>
                <c:pt idx="3">
                  <c:v>207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C71-4B69-8D7B-20B8029A4FE8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628495880"/>
        <c:axId val="1631061512"/>
      </c:barChart>
      <c:catAx>
        <c:axId val="16284958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1061512"/>
        <c:crosses val="autoZero"/>
        <c:auto val="1"/>
        <c:lblAlgn val="ctr"/>
        <c:lblOffset val="100"/>
        <c:noMultiLvlLbl val="0"/>
      </c:catAx>
      <c:valAx>
        <c:axId val="1631061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84958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[The Excel project dataset - Copy.xlsx]purchases per month &amp; season!PivotTable1</c:name>
    <c:fmtId val="2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Number of purchases made per month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'purchases per month &amp; season'!$Q$3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637CEF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637CEF"/>
              </a:solidFill>
              <a:ln w="9525">
                <a:solidFill>
                  <a:srgbClr val="637CEF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'purchases per month &amp; season'!$P$4:$P$16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'purchases per month &amp; season'!$Q$4:$Q$16</c:f>
              <c:numCache>
                <c:formatCode>General</c:formatCode>
                <c:ptCount val="12"/>
                <c:pt idx="0">
                  <c:v>75</c:v>
                </c:pt>
                <c:pt idx="1">
                  <c:v>68</c:v>
                </c:pt>
                <c:pt idx="2">
                  <c:v>93</c:v>
                </c:pt>
                <c:pt idx="3">
                  <c:v>100</c:v>
                </c:pt>
                <c:pt idx="4">
                  <c:v>76</c:v>
                </c:pt>
                <c:pt idx="5">
                  <c:v>89</c:v>
                </c:pt>
                <c:pt idx="6">
                  <c:v>94</c:v>
                </c:pt>
                <c:pt idx="7">
                  <c:v>98</c:v>
                </c:pt>
                <c:pt idx="8">
                  <c:v>84</c:v>
                </c:pt>
                <c:pt idx="9">
                  <c:v>79</c:v>
                </c:pt>
                <c:pt idx="10">
                  <c:v>80</c:v>
                </c:pt>
                <c:pt idx="11">
                  <c:v>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130-47F6-9235-32F2D0D22263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606166023"/>
        <c:axId val="1606168071"/>
      </c:lineChart>
      <c:catAx>
        <c:axId val="16061660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6168071"/>
        <c:crosses val="autoZero"/>
        <c:auto val="1"/>
        <c:lblAlgn val="ctr"/>
        <c:lblOffset val="100"/>
        <c:noMultiLvlLbl val="0"/>
      </c:catAx>
      <c:valAx>
        <c:axId val="1606168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61660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[The Excel project dataset - Copy.xlsx]purchase amount per weekday!PivotTable4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purchase amount per weekday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>
            <a:noFill/>
          </a:ln>
          <a:effectLst/>
        </c:spPr>
        <c:marker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'purchase amount per weekday'!$B$3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'purchase amount per weekday'!$A$4:$A$11</c:f>
              <c:strCache>
                <c:ptCount val="7"/>
                <c:pt idx="0">
                  <c:v>Monday</c:v>
                </c:pt>
                <c:pt idx="1">
                  <c:v>Wednesday</c:v>
                </c:pt>
                <c:pt idx="2">
                  <c:v>Tuesday</c:v>
                </c:pt>
                <c:pt idx="3">
                  <c:v>Thursday</c:v>
                </c:pt>
                <c:pt idx="4">
                  <c:v>Sunday</c:v>
                </c:pt>
                <c:pt idx="5">
                  <c:v>Saturday</c:v>
                </c:pt>
                <c:pt idx="6">
                  <c:v>Friday</c:v>
                </c:pt>
              </c:strCache>
            </c:strRef>
          </c:cat>
          <c:val>
            <c:numRef>
              <c:f>'purchase amount per weekday'!$B$4:$B$11</c:f>
              <c:numCache>
                <c:formatCode>"$"#,##0.00</c:formatCode>
                <c:ptCount val="7"/>
                <c:pt idx="0">
                  <c:v>289.56853146853166</c:v>
                </c:pt>
                <c:pt idx="1">
                  <c:v>281.10467741935486</c:v>
                </c:pt>
                <c:pt idx="2">
                  <c:v>278.2471069182389</c:v>
                </c:pt>
                <c:pt idx="3">
                  <c:v>276.65986928104576</c:v>
                </c:pt>
                <c:pt idx="4">
                  <c:v>268.27320512820512</c:v>
                </c:pt>
                <c:pt idx="5">
                  <c:v>266.30437499999994</c:v>
                </c:pt>
                <c:pt idx="6">
                  <c:v>264.89613138686127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8968-4B67-8BC5-F8A141FE0BA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952396296"/>
        <c:axId val="1952398344"/>
      </c:barChart>
      <c:catAx>
        <c:axId val="19523962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2398344"/>
        <c:crosses val="autoZero"/>
        <c:auto val="1"/>
        <c:lblAlgn val="ctr"/>
        <c:lblOffset val="100"/>
        <c:noMultiLvlLbl val="0"/>
      </c:catAx>
      <c:valAx>
        <c:axId val="1952398344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crossAx val="1952396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[The Excel project dataset - Copy.xlsx]high-value cx variations!PivotTable10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distribution of high-value customers by age and gender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'high-value cx variations'!$I$22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'high-value cx variations'!$F$23:$H$37</c:f>
              <c:multiLvlStrCache>
                <c:ptCount val="9"/>
                <c:lvl>
                  <c:pt idx="0">
                    <c:v>Female</c:v>
                  </c:pt>
                  <c:pt idx="1">
                    <c:v>Male</c:v>
                  </c:pt>
                  <c:pt idx="2">
                    <c:v>Female</c:v>
                  </c:pt>
                  <c:pt idx="3">
                    <c:v>Male</c:v>
                  </c:pt>
                  <c:pt idx="4">
                    <c:v>Non-binary</c:v>
                  </c:pt>
                  <c:pt idx="5">
                    <c:v>Female</c:v>
                  </c:pt>
                  <c:pt idx="6">
                    <c:v>Male</c:v>
                  </c:pt>
                  <c:pt idx="7">
                    <c:v>Female</c:v>
                  </c:pt>
                  <c:pt idx="8">
                    <c:v>Male</c:v>
                  </c:pt>
                </c:lvl>
                <c:lvl>
                  <c:pt idx="0">
                    <c:v>18-25</c:v>
                  </c:pt>
                  <c:pt idx="2">
                    <c:v>26-35</c:v>
                  </c:pt>
                  <c:pt idx="5">
                    <c:v>36-44</c:v>
                  </c:pt>
                  <c:pt idx="7">
                    <c:v>45-54</c:v>
                  </c:pt>
                </c:lvl>
                <c:lvl>
                  <c:pt idx="0">
                    <c:v>True</c:v>
                  </c:pt>
                </c:lvl>
              </c:multiLvlStrCache>
            </c:multiLvlStrRef>
          </c:cat>
          <c:val>
            <c:numRef>
              <c:f>'high-value cx variations'!$I$23:$I$37</c:f>
              <c:numCache>
                <c:formatCode>0.00%</c:formatCode>
                <c:ptCount val="9"/>
                <c:pt idx="0">
                  <c:v>0.13966480446927373</c:v>
                </c:pt>
                <c:pt idx="1">
                  <c:v>6.7039106145251395E-2</c:v>
                </c:pt>
                <c:pt idx="2">
                  <c:v>0.20670391061452514</c:v>
                </c:pt>
                <c:pt idx="3">
                  <c:v>0.12290502793296089</c:v>
                </c:pt>
                <c:pt idx="4">
                  <c:v>1.11731843575419E-2</c:v>
                </c:pt>
                <c:pt idx="5">
                  <c:v>0.12849162011173185</c:v>
                </c:pt>
                <c:pt idx="6">
                  <c:v>0.12849162011173185</c:v>
                </c:pt>
                <c:pt idx="7">
                  <c:v>8.9385474860335198E-2</c:v>
                </c:pt>
                <c:pt idx="8">
                  <c:v>0.10614525139664804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79-4470-BA24-2AF011CDC0E5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675080712"/>
        <c:axId val="676945416"/>
      </c:barChart>
      <c:catAx>
        <c:axId val="6750807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6945416"/>
        <c:crosses val="autoZero"/>
        <c:auto val="1"/>
        <c:lblAlgn val="ctr"/>
        <c:lblOffset val="100"/>
        <c:noMultiLvlLbl val="0"/>
      </c:catAx>
      <c:valAx>
        <c:axId val="676945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50807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[The Excel project dataset - Copy.xlsx]high-value cx variations!PivotTable8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distribution of high-value customers per channel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'high-value cx variations'!$M$22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rgbClr val="637CE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AFE-4186-92F5-F48CEF75036A}"/>
              </c:ext>
            </c:extLst>
          </c:dPt>
          <c:dPt>
            <c:idx val="1"/>
            <c:bubble3D val="0"/>
            <c:spPr>
              <a:solidFill>
                <a:srgbClr val="E3008C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AFE-4186-92F5-F48CEF75036A}"/>
              </c:ext>
            </c:extLst>
          </c:dPt>
          <c:dPt>
            <c:idx val="2"/>
            <c:bubble3D val="0"/>
            <c:spPr>
              <a:solidFill>
                <a:srgbClr val="2AA0A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AFE-4186-92F5-F48CEF75036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multiLvlStrRef>
              <c:f>'high-value cx variations'!$K$23:$L$27</c:f>
              <c:multiLvlStrCache>
                <c:ptCount val="3"/>
                <c:lvl>
                  <c:pt idx="0">
                    <c:v>In-Store</c:v>
                  </c:pt>
                  <c:pt idx="1">
                    <c:v>Mixed</c:v>
                  </c:pt>
                  <c:pt idx="2">
                    <c:v>Online</c:v>
                  </c:pt>
                </c:lvl>
                <c:lvl>
                  <c:pt idx="0">
                    <c:v>True</c:v>
                  </c:pt>
                </c:lvl>
              </c:multiLvlStrCache>
            </c:multiLvlStrRef>
          </c:cat>
          <c:val>
            <c:numRef>
              <c:f>'high-value cx variations'!$M$23:$M$27</c:f>
              <c:numCache>
                <c:formatCode>0.00%</c:formatCode>
                <c:ptCount val="3"/>
                <c:pt idx="0">
                  <c:v>0.3282051282051282</c:v>
                </c:pt>
                <c:pt idx="1">
                  <c:v>0.30256410256410254</c:v>
                </c:pt>
                <c:pt idx="2">
                  <c:v>0.36923076923076925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EAF-4C8E-B7EB-F2BC622C85F8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[The Excel project dataset - Copy.xlsx]high-value cx variations!PivotTable9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distribution of high-value customers by marital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'high-value cx variations'!$C$26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rgbClr val="637CE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127-4070-9CFB-222413A3CEBB}"/>
              </c:ext>
            </c:extLst>
          </c:dPt>
          <c:dPt>
            <c:idx val="1"/>
            <c:bubble3D val="0"/>
            <c:spPr>
              <a:solidFill>
                <a:srgbClr val="E3008C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127-4070-9CFB-222413A3CEBB}"/>
              </c:ext>
            </c:extLst>
          </c:dPt>
          <c:dPt>
            <c:idx val="2"/>
            <c:bubble3D val="0"/>
            <c:spPr>
              <a:solidFill>
                <a:srgbClr val="2AA0A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127-4070-9CFB-222413A3CEBB}"/>
              </c:ext>
            </c:extLst>
          </c:dPt>
          <c:dPt>
            <c:idx val="3"/>
            <c:bubble3D val="0"/>
            <c:spPr>
              <a:solidFill>
                <a:srgbClr val="9373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4127-4070-9CFB-222413A3CEB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multiLvlStrRef>
              <c:f>'high-value cx variations'!$A$27:$B$32</c:f>
              <c:multiLvlStrCache>
                <c:ptCount val="4"/>
                <c:lvl>
                  <c:pt idx="0">
                    <c:v>Divorced</c:v>
                  </c:pt>
                  <c:pt idx="1">
                    <c:v>Married</c:v>
                  </c:pt>
                  <c:pt idx="2">
                    <c:v>Single</c:v>
                  </c:pt>
                  <c:pt idx="3">
                    <c:v>Widowed</c:v>
                  </c:pt>
                </c:lvl>
                <c:lvl>
                  <c:pt idx="0">
                    <c:v>True</c:v>
                  </c:pt>
                </c:lvl>
              </c:multiLvlStrCache>
            </c:multiLvlStrRef>
          </c:cat>
          <c:val>
            <c:numRef>
              <c:f>'high-value cx variations'!$C$27:$C$32</c:f>
              <c:numCache>
                <c:formatCode>0.00%</c:formatCode>
                <c:ptCount val="4"/>
                <c:pt idx="0">
                  <c:v>0.24102564102564103</c:v>
                </c:pt>
                <c:pt idx="1">
                  <c:v>0.28717948717948716</c:v>
                </c:pt>
                <c:pt idx="2">
                  <c:v>0.23589743589743589</c:v>
                </c:pt>
                <c:pt idx="3">
                  <c:v>0.23589743589743589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66-4111-B117-B85520569E2F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[The Excel project dataset - Copy.xlsx]high-value cx variations!PivotTable3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distribution of high-value customers by education level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'high-value cx variations'!$C$19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rgbClr val="637CE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DC4-431D-8960-93ACB36F2D3F}"/>
              </c:ext>
            </c:extLst>
          </c:dPt>
          <c:dPt>
            <c:idx val="1"/>
            <c:bubble3D val="0"/>
            <c:spPr>
              <a:solidFill>
                <a:srgbClr val="E3008C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DC4-431D-8960-93ACB36F2D3F}"/>
              </c:ext>
            </c:extLst>
          </c:dPt>
          <c:dPt>
            <c:idx val="2"/>
            <c:bubble3D val="0"/>
            <c:spPr>
              <a:solidFill>
                <a:srgbClr val="2AA0A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DC4-431D-8960-93ACB36F2D3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multiLvlStrRef>
              <c:f>'high-value cx variations'!$A$20:$B$24</c:f>
              <c:multiLvlStrCache>
                <c:ptCount val="3"/>
                <c:lvl>
                  <c:pt idx="0">
                    <c:v>Bachelor's</c:v>
                  </c:pt>
                  <c:pt idx="1">
                    <c:v>High School</c:v>
                  </c:pt>
                  <c:pt idx="2">
                    <c:v>Master's</c:v>
                  </c:pt>
                </c:lvl>
                <c:lvl>
                  <c:pt idx="0">
                    <c:v>True</c:v>
                  </c:pt>
                </c:lvl>
              </c:multiLvlStrCache>
            </c:multiLvlStrRef>
          </c:cat>
          <c:val>
            <c:numRef>
              <c:f>'high-value cx variations'!$C$20:$C$24</c:f>
              <c:numCache>
                <c:formatCode>0.00%</c:formatCode>
                <c:ptCount val="3"/>
                <c:pt idx="0">
                  <c:v>0.33333333333333331</c:v>
                </c:pt>
                <c:pt idx="1">
                  <c:v>0.37435897435897436</c:v>
                </c:pt>
                <c:pt idx="2">
                  <c:v>0.29230769230769232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B8-42A3-A6B0-8DA6FE0F2CA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[The Excel project dataset - Copy.xlsx]high-value cx variations!PivotTable4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distribution of high-value customers by payment method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'high-value cx variations'!$M$2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'high-value cx variations'!$K$3:$L$9</c:f>
              <c:multiLvlStrCache>
                <c:ptCount val="5"/>
                <c:lvl>
                  <c:pt idx="0">
                    <c:v>Cash</c:v>
                  </c:pt>
                  <c:pt idx="1">
                    <c:v>Credit Card</c:v>
                  </c:pt>
                  <c:pt idx="2">
                    <c:v>Debit Card</c:v>
                  </c:pt>
                  <c:pt idx="3">
                    <c:v>Other</c:v>
                  </c:pt>
                  <c:pt idx="4">
                    <c:v>PayPal</c:v>
                  </c:pt>
                </c:lvl>
                <c:lvl>
                  <c:pt idx="0">
                    <c:v>True</c:v>
                  </c:pt>
                </c:lvl>
              </c:multiLvlStrCache>
            </c:multiLvlStrRef>
          </c:cat>
          <c:val>
            <c:numRef>
              <c:f>'high-value cx variations'!$M$3:$M$9</c:f>
              <c:numCache>
                <c:formatCode>0.00%</c:formatCode>
                <c:ptCount val="5"/>
                <c:pt idx="0">
                  <c:v>0.15897435897435896</c:v>
                </c:pt>
                <c:pt idx="1">
                  <c:v>0.18974358974358974</c:v>
                </c:pt>
                <c:pt idx="2">
                  <c:v>0.22051282051282051</c:v>
                </c:pt>
                <c:pt idx="3">
                  <c:v>0.19487179487179487</c:v>
                </c:pt>
                <c:pt idx="4">
                  <c:v>0.23589743589743589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08-4133-A9D0-A1DF3FCD57AB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674756104"/>
        <c:axId val="676985352"/>
      </c:barChart>
      <c:catAx>
        <c:axId val="6747561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6985352"/>
        <c:crosses val="autoZero"/>
        <c:auto val="1"/>
        <c:lblAlgn val="ctr"/>
        <c:lblOffset val="100"/>
        <c:noMultiLvlLbl val="0"/>
      </c:catAx>
      <c:valAx>
        <c:axId val="6769853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47561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[The Excel project dataset - Copy.xlsx]high-value cx variations!PivotTable6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Percentage of high-value customers (True)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'high-value cx variations'!$G$2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rgbClr val="637CE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1DB-487E-96DF-18EFC68D402D}"/>
              </c:ext>
            </c:extLst>
          </c:dPt>
          <c:dPt>
            <c:idx val="1"/>
            <c:bubble3D val="0"/>
            <c:spPr>
              <a:solidFill>
                <a:srgbClr val="E3008C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1DB-487E-96DF-18EFC68D402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'high-value cx variations'!$F$3:$F$5</c:f>
              <c:strCache>
                <c:ptCount val="2"/>
                <c:pt idx="0">
                  <c:v>False</c:v>
                </c:pt>
                <c:pt idx="1">
                  <c:v>True</c:v>
                </c:pt>
              </c:strCache>
            </c:strRef>
          </c:cat>
          <c:val>
            <c:numRef>
              <c:f>'high-value cx variations'!$G$3:$G$5</c:f>
              <c:numCache>
                <c:formatCode>0.00%</c:formatCode>
                <c:ptCount val="2"/>
                <c:pt idx="0">
                  <c:v>0.80500000000000005</c:v>
                </c:pt>
                <c:pt idx="1">
                  <c:v>0.19500000000000001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1C-40AD-9CA6-0B0B21A056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[The Excel project dataset - Copy.xlsx]income by gender!PivotTable3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distribution of income level by gender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'income by gender'!$B$3:$B$4</c:f>
              <c:strCache>
                <c:ptCount val="1"/>
                <c:pt idx="0">
                  <c:v>High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'income by gender'!$A$5:$A$8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Non-binary</c:v>
                </c:pt>
              </c:strCache>
            </c:strRef>
          </c:cat>
          <c:val>
            <c:numRef>
              <c:f>'income by gender'!$B$5:$B$8</c:f>
              <c:numCache>
                <c:formatCode>0.00%</c:formatCode>
                <c:ptCount val="3"/>
                <c:pt idx="0">
                  <c:v>0.25954198473282442</c:v>
                </c:pt>
                <c:pt idx="1">
                  <c:v>0.23882224645583425</c:v>
                </c:pt>
                <c:pt idx="2">
                  <c:v>8.7241003271537627E-3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AF-46C9-8F04-994593A977AB}"/>
            </c:ext>
          </c:extLst>
        </c:ser>
        <c:ser>
          <c:idx val="1"/>
          <c:order val="1"/>
          <c:tx>
            <c:strRef>
              <c:f>'income by gender'!$C$3:$C$4</c:f>
              <c:strCache>
                <c:ptCount val="1"/>
                <c:pt idx="0">
                  <c:v>Middle</c:v>
                </c:pt>
              </c:strCache>
            </c:strRef>
          </c:tx>
          <c:spPr>
            <a:solidFill>
              <a:srgbClr val="E3008C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'income by gender'!$A$5:$A$8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Non-binary</c:v>
                </c:pt>
              </c:strCache>
            </c:strRef>
          </c:cat>
          <c:val>
            <c:numRef>
              <c:f>'income by gender'!$C$5:$C$8</c:f>
              <c:numCache>
                <c:formatCode>0.00%</c:formatCode>
                <c:ptCount val="3"/>
                <c:pt idx="0">
                  <c:v>0.23336968375136313</c:v>
                </c:pt>
                <c:pt idx="1">
                  <c:v>0.25081788440567065</c:v>
                </c:pt>
                <c:pt idx="2">
                  <c:v>8.7241003271537627E-3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DAF-46C9-8F04-994593A977AB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702705159"/>
        <c:axId val="1702766599"/>
      </c:barChart>
      <c:catAx>
        <c:axId val="17027051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2766599"/>
        <c:crosses val="autoZero"/>
        <c:auto val="1"/>
        <c:lblAlgn val="ctr"/>
        <c:lblOffset val="100"/>
        <c:noMultiLvlLbl val="0"/>
      </c:catAx>
      <c:valAx>
        <c:axId val="1702766599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crossAx val="17027051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[The Excel project dataset - Copy.xlsx]behavior analysis!PivotTable1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distribution of product categories per purchases by marital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>
            <a:noFill/>
          </a:ln>
          <a:effectLst/>
        </c:spPr>
        <c:marker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'behavior analysis'!$AO$3:$AO$4</c:f>
              <c:strCache>
                <c:ptCount val="1"/>
                <c:pt idx="0">
                  <c:v>Animal Feed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'behavior analysis'!$AN$5:$AN$9</c:f>
              <c:strCache>
                <c:ptCount val="4"/>
                <c:pt idx="0">
                  <c:v>Widowed</c:v>
                </c:pt>
                <c:pt idx="1">
                  <c:v>Married</c:v>
                </c:pt>
                <c:pt idx="2">
                  <c:v>Divorced</c:v>
                </c:pt>
                <c:pt idx="3">
                  <c:v>Single</c:v>
                </c:pt>
              </c:strCache>
            </c:strRef>
          </c:cat>
          <c:val>
            <c:numRef>
              <c:f>'behavior analysis'!$AO$5:$AO$9</c:f>
              <c:numCache>
                <c:formatCode>0.00%</c:formatCode>
                <c:ptCount val="4"/>
                <c:pt idx="0">
                  <c:v>1.6E-2</c:v>
                </c:pt>
                <c:pt idx="1">
                  <c:v>1.4E-2</c:v>
                </c:pt>
                <c:pt idx="2">
                  <c:v>0.01</c:v>
                </c:pt>
                <c:pt idx="3">
                  <c:v>4.0000000000000001E-3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5F-4E2D-B463-B22D922449BA}"/>
            </c:ext>
          </c:extLst>
        </c:ser>
        <c:ser>
          <c:idx val="1"/>
          <c:order val="1"/>
          <c:tx>
            <c:strRef>
              <c:f>'behavior analysis'!$AP$3:$AP$4</c:f>
              <c:strCache>
                <c:ptCount val="1"/>
                <c:pt idx="0">
                  <c:v>Arts &amp; Crafts</c:v>
                </c:pt>
              </c:strCache>
            </c:strRef>
          </c:tx>
          <c:spPr>
            <a:solidFill>
              <a:srgbClr val="E3008C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'behavior analysis'!$AN$5:$AN$9</c:f>
              <c:strCache>
                <c:ptCount val="4"/>
                <c:pt idx="0">
                  <c:v>Widowed</c:v>
                </c:pt>
                <c:pt idx="1">
                  <c:v>Married</c:v>
                </c:pt>
                <c:pt idx="2">
                  <c:v>Divorced</c:v>
                </c:pt>
                <c:pt idx="3">
                  <c:v>Single</c:v>
                </c:pt>
              </c:strCache>
            </c:strRef>
          </c:cat>
          <c:val>
            <c:numRef>
              <c:f>'behavior analysis'!$AP$5:$AP$9</c:f>
              <c:numCache>
                <c:formatCode>0.00%</c:formatCode>
                <c:ptCount val="4"/>
                <c:pt idx="0">
                  <c:v>0.01</c:v>
                </c:pt>
                <c:pt idx="1">
                  <c:v>8.9999999999999993E-3</c:v>
                </c:pt>
                <c:pt idx="2">
                  <c:v>6.0000000000000001E-3</c:v>
                </c:pt>
                <c:pt idx="3">
                  <c:v>8.9999999999999993E-3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FE5F-4E2D-B463-B22D922449BA}"/>
            </c:ext>
          </c:extLst>
        </c:ser>
        <c:ser>
          <c:idx val="2"/>
          <c:order val="2"/>
          <c:tx>
            <c:strRef>
              <c:f>'behavior analysis'!$AQ$3:$AQ$4</c:f>
              <c:strCache>
                <c:ptCount val="1"/>
                <c:pt idx="0">
                  <c:v>Baby Products</c:v>
                </c:pt>
              </c:strCache>
            </c:strRef>
          </c:tx>
          <c:spPr>
            <a:solidFill>
              <a:srgbClr val="2AA0A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'behavior analysis'!$AN$5:$AN$9</c:f>
              <c:strCache>
                <c:ptCount val="4"/>
                <c:pt idx="0">
                  <c:v>Widowed</c:v>
                </c:pt>
                <c:pt idx="1">
                  <c:v>Married</c:v>
                </c:pt>
                <c:pt idx="2">
                  <c:v>Divorced</c:v>
                </c:pt>
                <c:pt idx="3">
                  <c:v>Single</c:v>
                </c:pt>
              </c:strCache>
            </c:strRef>
          </c:cat>
          <c:val>
            <c:numRef>
              <c:f>'behavior analysis'!$AQ$5:$AQ$9</c:f>
              <c:numCache>
                <c:formatCode>0.00%</c:formatCode>
                <c:ptCount val="4"/>
                <c:pt idx="0">
                  <c:v>7.0000000000000001E-3</c:v>
                </c:pt>
                <c:pt idx="1">
                  <c:v>1.2999999999999999E-2</c:v>
                </c:pt>
                <c:pt idx="2">
                  <c:v>1.0999999999999999E-2</c:v>
                </c:pt>
                <c:pt idx="3">
                  <c:v>0.01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FE5F-4E2D-B463-B22D922449BA}"/>
            </c:ext>
          </c:extLst>
        </c:ser>
        <c:ser>
          <c:idx val="3"/>
          <c:order val="3"/>
          <c:tx>
            <c:strRef>
              <c:f>'behavior analysis'!$AR$3:$AR$4</c:f>
              <c:strCache>
                <c:ptCount val="1"/>
                <c:pt idx="0">
                  <c:v>Beauty &amp; Personal Care</c:v>
                </c:pt>
              </c:strCache>
            </c:strRef>
          </c:tx>
          <c:spPr>
            <a:solidFill>
              <a:srgbClr val="9373C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'behavior analysis'!$AN$5:$AN$9</c:f>
              <c:strCache>
                <c:ptCount val="4"/>
                <c:pt idx="0">
                  <c:v>Widowed</c:v>
                </c:pt>
                <c:pt idx="1">
                  <c:v>Married</c:v>
                </c:pt>
                <c:pt idx="2">
                  <c:v>Divorced</c:v>
                </c:pt>
                <c:pt idx="3">
                  <c:v>Single</c:v>
                </c:pt>
              </c:strCache>
            </c:strRef>
          </c:cat>
          <c:val>
            <c:numRef>
              <c:f>'behavior analysis'!$AR$5:$AR$9</c:f>
              <c:numCache>
                <c:formatCode>0.00%</c:formatCode>
                <c:ptCount val="4"/>
                <c:pt idx="0">
                  <c:v>1.2999999999999999E-2</c:v>
                </c:pt>
                <c:pt idx="1">
                  <c:v>5.0000000000000001E-3</c:v>
                </c:pt>
                <c:pt idx="2">
                  <c:v>6.0000000000000001E-3</c:v>
                </c:pt>
                <c:pt idx="3">
                  <c:v>0.01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FE5F-4E2D-B463-B22D922449BA}"/>
            </c:ext>
          </c:extLst>
        </c:ser>
        <c:ser>
          <c:idx val="4"/>
          <c:order val="4"/>
          <c:tx>
            <c:strRef>
              <c:f>'behavior analysis'!$AS$3:$AS$4</c:f>
              <c:strCache>
                <c:ptCount val="1"/>
                <c:pt idx="0">
                  <c:v>Books</c:v>
                </c:pt>
              </c:strCache>
            </c:strRef>
          </c:tx>
          <c:spPr>
            <a:solidFill>
              <a:srgbClr val="13A10E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'behavior analysis'!$AN$5:$AN$9</c:f>
              <c:strCache>
                <c:ptCount val="4"/>
                <c:pt idx="0">
                  <c:v>Widowed</c:v>
                </c:pt>
                <c:pt idx="1">
                  <c:v>Married</c:v>
                </c:pt>
                <c:pt idx="2">
                  <c:v>Divorced</c:v>
                </c:pt>
                <c:pt idx="3">
                  <c:v>Single</c:v>
                </c:pt>
              </c:strCache>
            </c:strRef>
          </c:cat>
          <c:val>
            <c:numRef>
              <c:f>'behavior analysis'!$AS$5:$AS$9</c:f>
              <c:numCache>
                <c:formatCode>0.00%</c:formatCode>
                <c:ptCount val="4"/>
                <c:pt idx="0">
                  <c:v>1.2E-2</c:v>
                </c:pt>
                <c:pt idx="1">
                  <c:v>5.0000000000000001E-3</c:v>
                </c:pt>
                <c:pt idx="2">
                  <c:v>6.0000000000000001E-3</c:v>
                </c:pt>
                <c:pt idx="3">
                  <c:v>1.4E-2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FE5F-4E2D-B463-B22D922449BA}"/>
            </c:ext>
          </c:extLst>
        </c:ser>
        <c:ser>
          <c:idx val="5"/>
          <c:order val="5"/>
          <c:tx>
            <c:strRef>
              <c:f>'behavior analysis'!$AT$3:$AT$4</c:f>
              <c:strCache>
                <c:ptCount val="1"/>
                <c:pt idx="0">
                  <c:v>Clothing</c:v>
                </c:pt>
              </c:strCache>
            </c:strRef>
          </c:tx>
          <c:spPr>
            <a:solidFill>
              <a:srgbClr val="3A96DD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'behavior analysis'!$AN$5:$AN$9</c:f>
              <c:strCache>
                <c:ptCount val="4"/>
                <c:pt idx="0">
                  <c:v>Widowed</c:v>
                </c:pt>
                <c:pt idx="1">
                  <c:v>Married</c:v>
                </c:pt>
                <c:pt idx="2">
                  <c:v>Divorced</c:v>
                </c:pt>
                <c:pt idx="3">
                  <c:v>Single</c:v>
                </c:pt>
              </c:strCache>
            </c:strRef>
          </c:cat>
          <c:val>
            <c:numRef>
              <c:f>'behavior analysis'!$AT$5:$AT$9</c:f>
              <c:numCache>
                <c:formatCode>0.00%</c:formatCode>
                <c:ptCount val="4"/>
                <c:pt idx="0">
                  <c:v>5.0000000000000001E-3</c:v>
                </c:pt>
                <c:pt idx="1">
                  <c:v>8.0000000000000002E-3</c:v>
                </c:pt>
                <c:pt idx="2">
                  <c:v>1.2999999999999999E-2</c:v>
                </c:pt>
                <c:pt idx="3">
                  <c:v>4.0000000000000001E-3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FE5F-4E2D-B463-B22D922449BA}"/>
            </c:ext>
          </c:extLst>
        </c:ser>
        <c:ser>
          <c:idx val="6"/>
          <c:order val="6"/>
          <c:tx>
            <c:strRef>
              <c:f>'behavior analysis'!$AU$3:$AU$4</c:f>
              <c:strCache>
                <c:ptCount val="1"/>
                <c:pt idx="0">
                  <c:v>Electronics</c:v>
                </c:pt>
              </c:strCache>
            </c:strRef>
          </c:tx>
          <c:spPr>
            <a:solidFill>
              <a:srgbClr val="CA501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'behavior analysis'!$AN$5:$AN$9</c:f>
              <c:strCache>
                <c:ptCount val="4"/>
                <c:pt idx="0">
                  <c:v>Widowed</c:v>
                </c:pt>
                <c:pt idx="1">
                  <c:v>Married</c:v>
                </c:pt>
                <c:pt idx="2">
                  <c:v>Divorced</c:v>
                </c:pt>
                <c:pt idx="3">
                  <c:v>Single</c:v>
                </c:pt>
              </c:strCache>
            </c:strRef>
          </c:cat>
          <c:val>
            <c:numRef>
              <c:f>'behavior analysis'!$AU$5:$AU$9</c:f>
              <c:numCache>
                <c:formatCode>0.00%</c:formatCode>
                <c:ptCount val="4"/>
                <c:pt idx="0">
                  <c:v>1.4E-2</c:v>
                </c:pt>
                <c:pt idx="1">
                  <c:v>1.4999999999999999E-2</c:v>
                </c:pt>
                <c:pt idx="2">
                  <c:v>1.2999999999999999E-2</c:v>
                </c:pt>
                <c:pt idx="3">
                  <c:v>1.2E-2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FE5F-4E2D-B463-B22D922449BA}"/>
            </c:ext>
          </c:extLst>
        </c:ser>
        <c:ser>
          <c:idx val="7"/>
          <c:order val="7"/>
          <c:tx>
            <c:strRef>
              <c:f>'behavior analysis'!$AV$3:$AV$4</c:f>
              <c:strCache>
                <c:ptCount val="1"/>
                <c:pt idx="0">
                  <c:v>Food &amp; Beverages</c:v>
                </c:pt>
              </c:strCache>
            </c:strRef>
          </c:tx>
          <c:spPr>
            <a:solidFill>
              <a:srgbClr val="57811B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'behavior analysis'!$AN$5:$AN$9</c:f>
              <c:strCache>
                <c:ptCount val="4"/>
                <c:pt idx="0">
                  <c:v>Widowed</c:v>
                </c:pt>
                <c:pt idx="1">
                  <c:v>Married</c:v>
                </c:pt>
                <c:pt idx="2">
                  <c:v>Divorced</c:v>
                </c:pt>
                <c:pt idx="3">
                  <c:v>Single</c:v>
                </c:pt>
              </c:strCache>
            </c:strRef>
          </c:cat>
          <c:val>
            <c:numRef>
              <c:f>'behavior analysis'!$AV$5:$AV$9</c:f>
              <c:numCache>
                <c:formatCode>0.00%</c:formatCode>
                <c:ptCount val="4"/>
                <c:pt idx="0">
                  <c:v>1.0999999999999999E-2</c:v>
                </c:pt>
                <c:pt idx="1">
                  <c:v>1.2999999999999999E-2</c:v>
                </c:pt>
                <c:pt idx="2">
                  <c:v>1.2E-2</c:v>
                </c:pt>
                <c:pt idx="3">
                  <c:v>8.0000000000000002E-3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FE5F-4E2D-B463-B22D922449BA}"/>
            </c:ext>
          </c:extLst>
        </c:ser>
        <c:ser>
          <c:idx val="8"/>
          <c:order val="8"/>
          <c:tx>
            <c:strRef>
              <c:f>'behavior analysis'!$AW$3:$AW$4</c:f>
              <c:strCache>
                <c:ptCount val="1"/>
                <c:pt idx="0">
                  <c:v>Furniture</c:v>
                </c:pt>
              </c:strCache>
            </c:strRef>
          </c:tx>
          <c:spPr>
            <a:solidFill>
              <a:srgbClr val="B146C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'behavior analysis'!$AN$5:$AN$9</c:f>
              <c:strCache>
                <c:ptCount val="4"/>
                <c:pt idx="0">
                  <c:v>Widowed</c:v>
                </c:pt>
                <c:pt idx="1">
                  <c:v>Married</c:v>
                </c:pt>
                <c:pt idx="2">
                  <c:v>Divorced</c:v>
                </c:pt>
                <c:pt idx="3">
                  <c:v>Single</c:v>
                </c:pt>
              </c:strCache>
            </c:strRef>
          </c:cat>
          <c:val>
            <c:numRef>
              <c:f>'behavior analysis'!$AW$5:$AW$9</c:f>
              <c:numCache>
                <c:formatCode>0.00%</c:formatCode>
                <c:ptCount val="4"/>
                <c:pt idx="0">
                  <c:v>1.2E-2</c:v>
                </c:pt>
                <c:pt idx="1">
                  <c:v>8.9999999999999993E-3</c:v>
                </c:pt>
                <c:pt idx="2">
                  <c:v>8.9999999999999993E-3</c:v>
                </c:pt>
                <c:pt idx="3">
                  <c:v>1.0999999999999999E-2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FE5F-4E2D-B463-B22D922449BA}"/>
            </c:ext>
          </c:extLst>
        </c:ser>
        <c:ser>
          <c:idx val="9"/>
          <c:order val="9"/>
          <c:tx>
            <c:strRef>
              <c:f>'behavior analysis'!$AX$3:$AX$4</c:f>
              <c:strCache>
                <c:ptCount val="1"/>
                <c:pt idx="0">
                  <c:v>Gardening &amp; Outdoors</c:v>
                </c:pt>
              </c:strCache>
            </c:strRef>
          </c:tx>
          <c:spPr>
            <a:solidFill>
              <a:srgbClr val="AE8C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'behavior analysis'!$AN$5:$AN$9</c:f>
              <c:strCache>
                <c:ptCount val="4"/>
                <c:pt idx="0">
                  <c:v>Widowed</c:v>
                </c:pt>
                <c:pt idx="1">
                  <c:v>Married</c:v>
                </c:pt>
                <c:pt idx="2">
                  <c:v>Divorced</c:v>
                </c:pt>
                <c:pt idx="3">
                  <c:v>Single</c:v>
                </c:pt>
              </c:strCache>
            </c:strRef>
          </c:cat>
          <c:val>
            <c:numRef>
              <c:f>'behavior analysis'!$AX$5:$AX$9</c:f>
              <c:numCache>
                <c:formatCode>0.00%</c:formatCode>
                <c:ptCount val="4"/>
                <c:pt idx="0">
                  <c:v>8.0000000000000002E-3</c:v>
                </c:pt>
                <c:pt idx="1">
                  <c:v>1.2999999999999999E-2</c:v>
                </c:pt>
                <c:pt idx="2">
                  <c:v>0.01</c:v>
                </c:pt>
                <c:pt idx="3">
                  <c:v>1.2999999999999999E-2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FE5F-4E2D-B463-B22D922449BA}"/>
            </c:ext>
          </c:extLst>
        </c:ser>
        <c:ser>
          <c:idx val="10"/>
          <c:order val="10"/>
          <c:tx>
            <c:strRef>
              <c:f>'behavior analysis'!$AY$3:$AY$4</c:f>
              <c:strCache>
                <c:ptCount val="1"/>
                <c:pt idx="0">
                  <c:v>Groceries</c:v>
                </c:pt>
              </c:strCache>
            </c:strRef>
          </c:tx>
          <c:spPr>
            <a:solidFill>
              <a:srgbClr val="AE8C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'behavior analysis'!$AN$5:$AN$9</c:f>
              <c:strCache>
                <c:ptCount val="4"/>
                <c:pt idx="0">
                  <c:v>Widowed</c:v>
                </c:pt>
                <c:pt idx="1">
                  <c:v>Married</c:v>
                </c:pt>
                <c:pt idx="2">
                  <c:v>Divorced</c:v>
                </c:pt>
                <c:pt idx="3">
                  <c:v>Single</c:v>
                </c:pt>
              </c:strCache>
            </c:strRef>
          </c:cat>
          <c:val>
            <c:numRef>
              <c:f>'behavior analysis'!$AY$5:$AY$9</c:f>
              <c:numCache>
                <c:formatCode>0.00%</c:formatCode>
                <c:ptCount val="4"/>
                <c:pt idx="0">
                  <c:v>8.0000000000000002E-3</c:v>
                </c:pt>
                <c:pt idx="1">
                  <c:v>1.2E-2</c:v>
                </c:pt>
                <c:pt idx="2">
                  <c:v>1.0999999999999999E-2</c:v>
                </c:pt>
                <c:pt idx="3">
                  <c:v>0.01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FE5F-4E2D-B463-B22D922449BA}"/>
            </c:ext>
          </c:extLst>
        </c:ser>
        <c:ser>
          <c:idx val="11"/>
          <c:order val="11"/>
          <c:tx>
            <c:strRef>
              <c:f>'behavior analysis'!$AZ$3:$AZ$4</c:f>
              <c:strCache>
                <c:ptCount val="1"/>
                <c:pt idx="0">
                  <c:v>Health Care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'behavior analysis'!$AN$5:$AN$9</c:f>
              <c:strCache>
                <c:ptCount val="4"/>
                <c:pt idx="0">
                  <c:v>Widowed</c:v>
                </c:pt>
                <c:pt idx="1">
                  <c:v>Married</c:v>
                </c:pt>
                <c:pt idx="2">
                  <c:v>Divorced</c:v>
                </c:pt>
                <c:pt idx="3">
                  <c:v>Single</c:v>
                </c:pt>
              </c:strCache>
            </c:strRef>
          </c:cat>
          <c:val>
            <c:numRef>
              <c:f>'behavior analysis'!$AZ$5:$AZ$9</c:f>
              <c:numCache>
                <c:formatCode>0.00%</c:formatCode>
                <c:ptCount val="4"/>
                <c:pt idx="0">
                  <c:v>2.1999999999999999E-2</c:v>
                </c:pt>
                <c:pt idx="1">
                  <c:v>1.4E-2</c:v>
                </c:pt>
                <c:pt idx="2">
                  <c:v>2.1000000000000001E-2</c:v>
                </c:pt>
                <c:pt idx="3">
                  <c:v>2.5000000000000001E-2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1-FE5F-4E2D-B463-B22D922449BA}"/>
            </c:ext>
          </c:extLst>
        </c:ser>
        <c:ser>
          <c:idx val="12"/>
          <c:order val="12"/>
          <c:tx>
            <c:strRef>
              <c:f>'behavior analysis'!$BA$3:$BA$4</c:f>
              <c:strCache>
                <c:ptCount val="1"/>
                <c:pt idx="0">
                  <c:v>Home Appliances</c:v>
                </c:pt>
              </c:strCache>
            </c:strRef>
          </c:tx>
          <c:spPr>
            <a:solidFill>
              <a:srgbClr val="EE5FB7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'behavior analysis'!$AN$5:$AN$9</c:f>
              <c:strCache>
                <c:ptCount val="4"/>
                <c:pt idx="0">
                  <c:v>Widowed</c:v>
                </c:pt>
                <c:pt idx="1">
                  <c:v>Married</c:v>
                </c:pt>
                <c:pt idx="2">
                  <c:v>Divorced</c:v>
                </c:pt>
                <c:pt idx="3">
                  <c:v>Single</c:v>
                </c:pt>
              </c:strCache>
            </c:strRef>
          </c:cat>
          <c:val>
            <c:numRef>
              <c:f>'behavior analysis'!$BA$5:$BA$9</c:f>
              <c:numCache>
                <c:formatCode>0.00%</c:formatCode>
                <c:ptCount val="4"/>
                <c:pt idx="0">
                  <c:v>1.4E-2</c:v>
                </c:pt>
                <c:pt idx="1">
                  <c:v>1.2E-2</c:v>
                </c:pt>
                <c:pt idx="2">
                  <c:v>1.0999999999999999E-2</c:v>
                </c:pt>
                <c:pt idx="3">
                  <c:v>1.2999999999999999E-2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2-FE5F-4E2D-B463-B22D922449BA}"/>
            </c:ext>
          </c:extLst>
        </c:ser>
        <c:ser>
          <c:idx val="13"/>
          <c:order val="13"/>
          <c:tx>
            <c:strRef>
              <c:f>'behavior analysis'!$BB$3:$BB$4</c:f>
              <c:strCache>
                <c:ptCount val="1"/>
                <c:pt idx="0">
                  <c:v>Luxury Goods &amp; Accessories</c:v>
                </c:pt>
              </c:strCache>
            </c:strRef>
          </c:tx>
          <c:spPr>
            <a:solidFill>
              <a:srgbClr val="008B9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'behavior analysis'!$AN$5:$AN$9</c:f>
              <c:strCache>
                <c:ptCount val="4"/>
                <c:pt idx="0">
                  <c:v>Widowed</c:v>
                </c:pt>
                <c:pt idx="1">
                  <c:v>Married</c:v>
                </c:pt>
                <c:pt idx="2">
                  <c:v>Divorced</c:v>
                </c:pt>
                <c:pt idx="3">
                  <c:v>Single</c:v>
                </c:pt>
              </c:strCache>
            </c:strRef>
          </c:cat>
          <c:val>
            <c:numRef>
              <c:f>'behavior analysis'!$BB$5:$BB$9</c:f>
              <c:numCache>
                <c:formatCode>0.00%</c:formatCode>
                <c:ptCount val="4"/>
                <c:pt idx="0">
                  <c:v>2.9000000000000001E-2</c:v>
                </c:pt>
                <c:pt idx="1">
                  <c:v>1.9E-2</c:v>
                </c:pt>
                <c:pt idx="2">
                  <c:v>2.5000000000000001E-2</c:v>
                </c:pt>
                <c:pt idx="3">
                  <c:v>1.4E-2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3-FE5F-4E2D-B463-B22D922449BA}"/>
            </c:ext>
          </c:extLst>
        </c:ser>
        <c:ser>
          <c:idx val="14"/>
          <c:order val="14"/>
          <c:tx>
            <c:strRef>
              <c:f>'behavior analysis'!$BC$3:$BC$4</c:f>
              <c:strCache>
                <c:ptCount val="1"/>
                <c:pt idx="0">
                  <c:v>Mobile Accessories</c:v>
                </c:pt>
              </c:strCache>
            </c:strRef>
          </c:tx>
          <c:spPr>
            <a:solidFill>
              <a:srgbClr val="D7744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'behavior analysis'!$AN$5:$AN$9</c:f>
              <c:strCache>
                <c:ptCount val="4"/>
                <c:pt idx="0">
                  <c:v>Widowed</c:v>
                </c:pt>
                <c:pt idx="1">
                  <c:v>Married</c:v>
                </c:pt>
                <c:pt idx="2">
                  <c:v>Divorced</c:v>
                </c:pt>
                <c:pt idx="3">
                  <c:v>Single</c:v>
                </c:pt>
              </c:strCache>
            </c:strRef>
          </c:cat>
          <c:val>
            <c:numRef>
              <c:f>'behavior analysis'!$BC$5:$BC$9</c:f>
              <c:numCache>
                <c:formatCode>0.00%</c:formatCode>
                <c:ptCount val="4"/>
                <c:pt idx="0">
                  <c:v>6.0000000000000001E-3</c:v>
                </c:pt>
                <c:pt idx="1">
                  <c:v>1.7000000000000001E-2</c:v>
                </c:pt>
                <c:pt idx="2">
                  <c:v>1.2E-2</c:v>
                </c:pt>
                <c:pt idx="3">
                  <c:v>6.0000000000000001E-3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4-FE5F-4E2D-B463-B22D922449BA}"/>
            </c:ext>
          </c:extLst>
        </c:ser>
        <c:ser>
          <c:idx val="15"/>
          <c:order val="15"/>
          <c:tx>
            <c:strRef>
              <c:f>'behavior analysis'!$BD$3:$BD$4</c:f>
              <c:strCache>
                <c:ptCount val="1"/>
                <c:pt idx="0">
                  <c:v>Office Supplies</c:v>
                </c:pt>
              </c:strCache>
            </c:strRef>
          </c:tx>
          <c:spPr>
            <a:solidFill>
              <a:srgbClr val="BA58C9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'behavior analysis'!$AN$5:$AN$9</c:f>
              <c:strCache>
                <c:ptCount val="4"/>
                <c:pt idx="0">
                  <c:v>Widowed</c:v>
                </c:pt>
                <c:pt idx="1">
                  <c:v>Married</c:v>
                </c:pt>
                <c:pt idx="2">
                  <c:v>Divorced</c:v>
                </c:pt>
                <c:pt idx="3">
                  <c:v>Single</c:v>
                </c:pt>
              </c:strCache>
            </c:strRef>
          </c:cat>
          <c:val>
            <c:numRef>
              <c:f>'behavior analysis'!$BD$5:$BD$9</c:f>
              <c:numCache>
                <c:formatCode>0.00%</c:formatCode>
                <c:ptCount val="4"/>
                <c:pt idx="0">
                  <c:v>8.0000000000000002E-3</c:v>
                </c:pt>
                <c:pt idx="1">
                  <c:v>0.01</c:v>
                </c:pt>
                <c:pt idx="2">
                  <c:v>0.01</c:v>
                </c:pt>
                <c:pt idx="3">
                  <c:v>0.01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5-FE5F-4E2D-B463-B22D922449BA}"/>
            </c:ext>
          </c:extLst>
        </c:ser>
        <c:ser>
          <c:idx val="16"/>
          <c:order val="16"/>
          <c:tx>
            <c:strRef>
              <c:f>'behavior analysis'!$BE$3:$BE$4</c:f>
              <c:strCache>
                <c:ptCount val="1"/>
                <c:pt idx="0">
                  <c:v>Packages</c:v>
                </c:pt>
              </c:strCache>
            </c:strRef>
          </c:tx>
          <c:spPr>
            <a:solidFill>
              <a:srgbClr val="3A96DD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'behavior analysis'!$AN$5:$AN$9</c:f>
              <c:strCache>
                <c:ptCount val="4"/>
                <c:pt idx="0">
                  <c:v>Widowed</c:v>
                </c:pt>
                <c:pt idx="1">
                  <c:v>Married</c:v>
                </c:pt>
                <c:pt idx="2">
                  <c:v>Divorced</c:v>
                </c:pt>
                <c:pt idx="3">
                  <c:v>Single</c:v>
                </c:pt>
              </c:strCache>
            </c:strRef>
          </c:cat>
          <c:val>
            <c:numRef>
              <c:f>'behavior analysis'!$BE$5:$BE$9</c:f>
              <c:numCache>
                <c:formatCode>0.00%</c:formatCode>
                <c:ptCount val="4"/>
                <c:pt idx="0">
                  <c:v>1.0999999999999999E-2</c:v>
                </c:pt>
                <c:pt idx="1">
                  <c:v>1.2E-2</c:v>
                </c:pt>
                <c:pt idx="2">
                  <c:v>8.9999999999999993E-3</c:v>
                </c:pt>
                <c:pt idx="3">
                  <c:v>1.0999999999999999E-2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6-FE5F-4E2D-B463-B22D922449BA}"/>
            </c:ext>
          </c:extLst>
        </c:ser>
        <c:ser>
          <c:idx val="17"/>
          <c:order val="17"/>
          <c:tx>
            <c:strRef>
              <c:f>'behavior analysis'!$BF$3:$BF$4</c:f>
              <c:strCache>
                <c:ptCount val="1"/>
                <c:pt idx="0">
                  <c:v>Software &amp; Apps</c:v>
                </c:pt>
              </c:strCache>
            </c:strRef>
          </c:tx>
          <c:spPr>
            <a:solidFill>
              <a:srgbClr val="E3008C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'behavior analysis'!$AN$5:$AN$9</c:f>
              <c:strCache>
                <c:ptCount val="4"/>
                <c:pt idx="0">
                  <c:v>Widowed</c:v>
                </c:pt>
                <c:pt idx="1">
                  <c:v>Married</c:v>
                </c:pt>
                <c:pt idx="2">
                  <c:v>Divorced</c:v>
                </c:pt>
                <c:pt idx="3">
                  <c:v>Single</c:v>
                </c:pt>
              </c:strCache>
            </c:strRef>
          </c:cat>
          <c:val>
            <c:numRef>
              <c:f>'behavior analysis'!$BF$5:$BF$9</c:f>
              <c:numCache>
                <c:formatCode>0.00%</c:formatCode>
                <c:ptCount val="4"/>
                <c:pt idx="0">
                  <c:v>0.01</c:v>
                </c:pt>
                <c:pt idx="1">
                  <c:v>0.01</c:v>
                </c:pt>
                <c:pt idx="2">
                  <c:v>8.0000000000000002E-3</c:v>
                </c:pt>
                <c:pt idx="3">
                  <c:v>1.4999999999999999E-2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7-FE5F-4E2D-B463-B22D922449BA}"/>
            </c:ext>
          </c:extLst>
        </c:ser>
        <c:ser>
          <c:idx val="18"/>
          <c:order val="18"/>
          <c:tx>
            <c:strRef>
              <c:f>'behavior analysis'!$BG$3:$BG$4</c:f>
              <c:strCache>
                <c:ptCount val="1"/>
                <c:pt idx="0">
                  <c:v>Sports &amp; Outdoors</c:v>
                </c:pt>
              </c:strCache>
            </c:strRef>
          </c:tx>
          <c:spPr>
            <a:solidFill>
              <a:srgbClr val="C36BD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'behavior analysis'!$AN$5:$AN$9</c:f>
              <c:strCache>
                <c:ptCount val="4"/>
                <c:pt idx="0">
                  <c:v>Widowed</c:v>
                </c:pt>
                <c:pt idx="1">
                  <c:v>Married</c:v>
                </c:pt>
                <c:pt idx="2">
                  <c:v>Divorced</c:v>
                </c:pt>
                <c:pt idx="3">
                  <c:v>Single</c:v>
                </c:pt>
              </c:strCache>
            </c:strRef>
          </c:cat>
          <c:val>
            <c:numRef>
              <c:f>'behavior analysis'!$BG$5:$BG$9</c:f>
              <c:numCache>
                <c:formatCode>0.00%</c:formatCode>
                <c:ptCount val="4"/>
                <c:pt idx="0">
                  <c:v>1.7999999999999999E-2</c:v>
                </c:pt>
                <c:pt idx="1">
                  <c:v>1.2E-2</c:v>
                </c:pt>
                <c:pt idx="2">
                  <c:v>1.0999999999999999E-2</c:v>
                </c:pt>
                <c:pt idx="3">
                  <c:v>0.01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8-FE5F-4E2D-B463-B22D922449BA}"/>
            </c:ext>
          </c:extLst>
        </c:ser>
        <c:ser>
          <c:idx val="19"/>
          <c:order val="19"/>
          <c:tx>
            <c:strRef>
              <c:f>'behavior analysis'!$BH$3:$BH$4</c:f>
              <c:strCache>
                <c:ptCount val="1"/>
                <c:pt idx="0">
                  <c:v>Toys &amp; Games</c:v>
                </c:pt>
              </c:strCache>
            </c:strRef>
          </c:tx>
          <c:spPr>
            <a:solidFill>
              <a:srgbClr val="D062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'behavior analysis'!$AN$5:$AN$9</c:f>
              <c:strCache>
                <c:ptCount val="4"/>
                <c:pt idx="0">
                  <c:v>Widowed</c:v>
                </c:pt>
                <c:pt idx="1">
                  <c:v>Married</c:v>
                </c:pt>
                <c:pt idx="2">
                  <c:v>Divorced</c:v>
                </c:pt>
                <c:pt idx="3">
                  <c:v>Single</c:v>
                </c:pt>
              </c:strCache>
            </c:strRef>
          </c:cat>
          <c:val>
            <c:numRef>
              <c:f>'behavior analysis'!$BH$5:$BH$9</c:f>
              <c:numCache>
                <c:formatCode>0.00%</c:formatCode>
                <c:ptCount val="4"/>
                <c:pt idx="0">
                  <c:v>1.4E-2</c:v>
                </c:pt>
                <c:pt idx="1">
                  <c:v>0.01</c:v>
                </c:pt>
                <c:pt idx="2">
                  <c:v>1.2999999999999999E-2</c:v>
                </c:pt>
                <c:pt idx="3">
                  <c:v>0.01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9-FE5F-4E2D-B463-B22D922449BA}"/>
            </c:ext>
          </c:extLst>
        </c:ser>
        <c:ser>
          <c:idx val="20"/>
          <c:order val="20"/>
          <c:tx>
            <c:strRef>
              <c:f>'behavior analysis'!$BI$3:$BI$4</c:f>
              <c:strCache>
                <c:ptCount val="1"/>
                <c:pt idx="0">
                  <c:v>Travel &amp; Leisure</c:v>
                </c:pt>
              </c:strCache>
            </c:strRef>
          </c:tx>
          <c:spPr>
            <a:solidFill>
              <a:srgbClr val="57811B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'behavior analysis'!$AN$5:$AN$9</c:f>
              <c:strCache>
                <c:ptCount val="4"/>
                <c:pt idx="0">
                  <c:v>Widowed</c:v>
                </c:pt>
                <c:pt idx="1">
                  <c:v>Married</c:v>
                </c:pt>
                <c:pt idx="2">
                  <c:v>Divorced</c:v>
                </c:pt>
                <c:pt idx="3">
                  <c:v>Single</c:v>
                </c:pt>
              </c:strCache>
            </c:strRef>
          </c:cat>
          <c:val>
            <c:numRef>
              <c:f>'behavior analysis'!$BI$5:$BI$9</c:f>
              <c:numCache>
                <c:formatCode>0.00%</c:formatCode>
                <c:ptCount val="4"/>
                <c:pt idx="0">
                  <c:v>1.2E-2</c:v>
                </c:pt>
                <c:pt idx="1">
                  <c:v>2.1000000000000001E-2</c:v>
                </c:pt>
                <c:pt idx="2">
                  <c:v>1.7999999999999999E-2</c:v>
                </c:pt>
                <c:pt idx="3">
                  <c:v>2.3E-2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A-FE5F-4E2D-B463-B22D922449BA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925627400"/>
        <c:axId val="925629960"/>
      </c:barChart>
      <c:catAx>
        <c:axId val="925627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5629960"/>
        <c:crosses val="autoZero"/>
        <c:auto val="1"/>
        <c:lblAlgn val="ctr"/>
        <c:lblOffset val="100"/>
        <c:noMultiLvlLbl val="0"/>
      </c:catAx>
      <c:valAx>
        <c:axId val="925629960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crossAx val="9256274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[The Excel project dataset - Copy.xlsx]behavior analysis!PivotTable13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distribution of product categories per purchases by 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'behavior analysis'!$P$2:$P$3</c:f>
              <c:strCache>
                <c:ptCount val="1"/>
                <c:pt idx="0">
                  <c:v>Animal Feed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'behavior analysis'!$O$4:$O$8</c:f>
              <c:strCache>
                <c:ptCount val="4"/>
                <c:pt idx="0">
                  <c:v>18-25</c:v>
                </c:pt>
                <c:pt idx="1">
                  <c:v>26-35</c:v>
                </c:pt>
                <c:pt idx="2">
                  <c:v>36-44</c:v>
                </c:pt>
                <c:pt idx="3">
                  <c:v>45-54</c:v>
                </c:pt>
              </c:strCache>
            </c:strRef>
          </c:cat>
          <c:val>
            <c:numRef>
              <c:f>'behavior analysis'!$P$4:$P$8</c:f>
              <c:numCache>
                <c:formatCode>0.00%</c:formatCode>
                <c:ptCount val="4"/>
                <c:pt idx="0">
                  <c:v>5.0000000000000001E-3</c:v>
                </c:pt>
                <c:pt idx="1">
                  <c:v>1.7000000000000001E-2</c:v>
                </c:pt>
                <c:pt idx="2">
                  <c:v>1.4E-2</c:v>
                </c:pt>
                <c:pt idx="3">
                  <c:v>8.0000000000000002E-3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FC-4FFB-9425-A6685888E53F}"/>
            </c:ext>
          </c:extLst>
        </c:ser>
        <c:ser>
          <c:idx val="1"/>
          <c:order val="1"/>
          <c:tx>
            <c:strRef>
              <c:f>'behavior analysis'!$Q$2:$Q$3</c:f>
              <c:strCache>
                <c:ptCount val="1"/>
                <c:pt idx="0">
                  <c:v>Arts &amp; Crafts</c:v>
                </c:pt>
              </c:strCache>
            </c:strRef>
          </c:tx>
          <c:spPr>
            <a:solidFill>
              <a:srgbClr val="E3008C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'behavior analysis'!$O$4:$O$8</c:f>
              <c:strCache>
                <c:ptCount val="4"/>
                <c:pt idx="0">
                  <c:v>18-25</c:v>
                </c:pt>
                <c:pt idx="1">
                  <c:v>26-35</c:v>
                </c:pt>
                <c:pt idx="2">
                  <c:v>36-44</c:v>
                </c:pt>
                <c:pt idx="3">
                  <c:v>45-54</c:v>
                </c:pt>
              </c:strCache>
            </c:strRef>
          </c:cat>
          <c:val>
            <c:numRef>
              <c:f>'behavior analysis'!$Q$4:$Q$8</c:f>
              <c:numCache>
                <c:formatCode>0.00%</c:formatCode>
                <c:ptCount val="4"/>
                <c:pt idx="0">
                  <c:v>2E-3</c:v>
                </c:pt>
                <c:pt idx="1">
                  <c:v>8.9999999999999993E-3</c:v>
                </c:pt>
                <c:pt idx="2">
                  <c:v>1.4999999999999999E-2</c:v>
                </c:pt>
                <c:pt idx="3">
                  <c:v>8.0000000000000002E-3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4FC-4FFB-9425-A6685888E53F}"/>
            </c:ext>
          </c:extLst>
        </c:ser>
        <c:ser>
          <c:idx val="2"/>
          <c:order val="2"/>
          <c:tx>
            <c:strRef>
              <c:f>'behavior analysis'!$R$2:$R$3</c:f>
              <c:strCache>
                <c:ptCount val="1"/>
                <c:pt idx="0">
                  <c:v>Baby Products</c:v>
                </c:pt>
              </c:strCache>
            </c:strRef>
          </c:tx>
          <c:spPr>
            <a:solidFill>
              <a:srgbClr val="2AA0A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'behavior analysis'!$O$4:$O$8</c:f>
              <c:strCache>
                <c:ptCount val="4"/>
                <c:pt idx="0">
                  <c:v>18-25</c:v>
                </c:pt>
                <c:pt idx="1">
                  <c:v>26-35</c:v>
                </c:pt>
                <c:pt idx="2">
                  <c:v>36-44</c:v>
                </c:pt>
                <c:pt idx="3">
                  <c:v>45-54</c:v>
                </c:pt>
              </c:strCache>
            </c:strRef>
          </c:cat>
          <c:val>
            <c:numRef>
              <c:f>'behavior analysis'!$R$4:$R$8</c:f>
              <c:numCache>
                <c:formatCode>0.00%</c:formatCode>
                <c:ptCount val="4"/>
                <c:pt idx="0">
                  <c:v>8.0000000000000002E-3</c:v>
                </c:pt>
                <c:pt idx="1">
                  <c:v>1.2E-2</c:v>
                </c:pt>
                <c:pt idx="2">
                  <c:v>1.0999999999999999E-2</c:v>
                </c:pt>
                <c:pt idx="3">
                  <c:v>0.01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4FC-4FFB-9425-A6685888E53F}"/>
            </c:ext>
          </c:extLst>
        </c:ser>
        <c:ser>
          <c:idx val="3"/>
          <c:order val="3"/>
          <c:tx>
            <c:strRef>
              <c:f>'behavior analysis'!$S$2:$S$3</c:f>
              <c:strCache>
                <c:ptCount val="1"/>
                <c:pt idx="0">
                  <c:v>Beauty &amp; Personal Care</c:v>
                </c:pt>
              </c:strCache>
            </c:strRef>
          </c:tx>
          <c:spPr>
            <a:solidFill>
              <a:srgbClr val="9373C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'behavior analysis'!$O$4:$O$8</c:f>
              <c:strCache>
                <c:ptCount val="4"/>
                <c:pt idx="0">
                  <c:v>18-25</c:v>
                </c:pt>
                <c:pt idx="1">
                  <c:v>26-35</c:v>
                </c:pt>
                <c:pt idx="2">
                  <c:v>36-44</c:v>
                </c:pt>
                <c:pt idx="3">
                  <c:v>45-54</c:v>
                </c:pt>
              </c:strCache>
            </c:strRef>
          </c:cat>
          <c:val>
            <c:numRef>
              <c:f>'behavior analysis'!$S$4:$S$8</c:f>
              <c:numCache>
                <c:formatCode>0.00%</c:formatCode>
                <c:ptCount val="4"/>
                <c:pt idx="0">
                  <c:v>5.0000000000000001E-3</c:v>
                </c:pt>
                <c:pt idx="1">
                  <c:v>8.9999999999999993E-3</c:v>
                </c:pt>
                <c:pt idx="2">
                  <c:v>1.0999999999999999E-2</c:v>
                </c:pt>
                <c:pt idx="3">
                  <c:v>8.9999999999999993E-3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4FC-4FFB-9425-A6685888E53F}"/>
            </c:ext>
          </c:extLst>
        </c:ser>
        <c:ser>
          <c:idx val="4"/>
          <c:order val="4"/>
          <c:tx>
            <c:strRef>
              <c:f>'behavior analysis'!$T$2:$T$3</c:f>
              <c:strCache>
                <c:ptCount val="1"/>
                <c:pt idx="0">
                  <c:v>Books</c:v>
                </c:pt>
              </c:strCache>
            </c:strRef>
          </c:tx>
          <c:spPr>
            <a:solidFill>
              <a:srgbClr val="13A10E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'behavior analysis'!$O$4:$O$8</c:f>
              <c:strCache>
                <c:ptCount val="4"/>
                <c:pt idx="0">
                  <c:v>18-25</c:v>
                </c:pt>
                <c:pt idx="1">
                  <c:v>26-35</c:v>
                </c:pt>
                <c:pt idx="2">
                  <c:v>36-44</c:v>
                </c:pt>
                <c:pt idx="3">
                  <c:v>45-54</c:v>
                </c:pt>
              </c:strCache>
            </c:strRef>
          </c:cat>
          <c:val>
            <c:numRef>
              <c:f>'behavior analysis'!$T$4:$T$8</c:f>
              <c:numCache>
                <c:formatCode>0.00%</c:formatCode>
                <c:ptCount val="4"/>
                <c:pt idx="0">
                  <c:v>8.9999999999999993E-3</c:v>
                </c:pt>
                <c:pt idx="1">
                  <c:v>8.9999999999999993E-3</c:v>
                </c:pt>
                <c:pt idx="2">
                  <c:v>1.4E-2</c:v>
                </c:pt>
                <c:pt idx="3">
                  <c:v>5.0000000000000001E-3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E4FC-4FFB-9425-A6685888E53F}"/>
            </c:ext>
          </c:extLst>
        </c:ser>
        <c:ser>
          <c:idx val="5"/>
          <c:order val="5"/>
          <c:tx>
            <c:strRef>
              <c:f>'behavior analysis'!$U$2:$U$3</c:f>
              <c:strCache>
                <c:ptCount val="1"/>
                <c:pt idx="0">
                  <c:v>Clothing</c:v>
                </c:pt>
              </c:strCache>
            </c:strRef>
          </c:tx>
          <c:spPr>
            <a:solidFill>
              <a:srgbClr val="3A96DD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'behavior analysis'!$O$4:$O$8</c:f>
              <c:strCache>
                <c:ptCount val="4"/>
                <c:pt idx="0">
                  <c:v>18-25</c:v>
                </c:pt>
                <c:pt idx="1">
                  <c:v>26-35</c:v>
                </c:pt>
                <c:pt idx="2">
                  <c:v>36-44</c:v>
                </c:pt>
                <c:pt idx="3">
                  <c:v>45-54</c:v>
                </c:pt>
              </c:strCache>
            </c:strRef>
          </c:cat>
          <c:val>
            <c:numRef>
              <c:f>'behavior analysis'!$U$4:$U$8</c:f>
              <c:numCache>
                <c:formatCode>0.00%</c:formatCode>
                <c:ptCount val="4"/>
                <c:pt idx="0">
                  <c:v>1E-3</c:v>
                </c:pt>
                <c:pt idx="1">
                  <c:v>1.4E-2</c:v>
                </c:pt>
                <c:pt idx="2">
                  <c:v>1.2E-2</c:v>
                </c:pt>
                <c:pt idx="3">
                  <c:v>3.0000000000000001E-3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E4FC-4FFB-9425-A6685888E53F}"/>
            </c:ext>
          </c:extLst>
        </c:ser>
        <c:ser>
          <c:idx val="6"/>
          <c:order val="6"/>
          <c:tx>
            <c:strRef>
              <c:f>'behavior analysis'!$V$2:$V$3</c:f>
              <c:strCache>
                <c:ptCount val="1"/>
                <c:pt idx="0">
                  <c:v>Electronics</c:v>
                </c:pt>
              </c:strCache>
            </c:strRef>
          </c:tx>
          <c:spPr>
            <a:solidFill>
              <a:srgbClr val="CA501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'behavior analysis'!$O$4:$O$8</c:f>
              <c:strCache>
                <c:ptCount val="4"/>
                <c:pt idx="0">
                  <c:v>18-25</c:v>
                </c:pt>
                <c:pt idx="1">
                  <c:v>26-35</c:v>
                </c:pt>
                <c:pt idx="2">
                  <c:v>36-44</c:v>
                </c:pt>
                <c:pt idx="3">
                  <c:v>45-54</c:v>
                </c:pt>
              </c:strCache>
            </c:strRef>
          </c:cat>
          <c:val>
            <c:numRef>
              <c:f>'behavior analysis'!$V$4:$V$8</c:f>
              <c:numCache>
                <c:formatCode>0.00%</c:formatCode>
                <c:ptCount val="4"/>
                <c:pt idx="0">
                  <c:v>1.2E-2</c:v>
                </c:pt>
                <c:pt idx="1">
                  <c:v>1.6E-2</c:v>
                </c:pt>
                <c:pt idx="2">
                  <c:v>1.7999999999999999E-2</c:v>
                </c:pt>
                <c:pt idx="3">
                  <c:v>8.0000000000000002E-3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E4FC-4FFB-9425-A6685888E53F}"/>
            </c:ext>
          </c:extLst>
        </c:ser>
        <c:ser>
          <c:idx val="7"/>
          <c:order val="7"/>
          <c:tx>
            <c:strRef>
              <c:f>'behavior analysis'!$W$2:$W$3</c:f>
              <c:strCache>
                <c:ptCount val="1"/>
                <c:pt idx="0">
                  <c:v>Food &amp; Beverages</c:v>
                </c:pt>
              </c:strCache>
            </c:strRef>
          </c:tx>
          <c:spPr>
            <a:solidFill>
              <a:srgbClr val="57811B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'behavior analysis'!$O$4:$O$8</c:f>
              <c:strCache>
                <c:ptCount val="4"/>
                <c:pt idx="0">
                  <c:v>18-25</c:v>
                </c:pt>
                <c:pt idx="1">
                  <c:v>26-35</c:v>
                </c:pt>
                <c:pt idx="2">
                  <c:v>36-44</c:v>
                </c:pt>
                <c:pt idx="3">
                  <c:v>45-54</c:v>
                </c:pt>
              </c:strCache>
            </c:strRef>
          </c:cat>
          <c:val>
            <c:numRef>
              <c:f>'behavior analysis'!$W$4:$W$8</c:f>
              <c:numCache>
                <c:formatCode>0.00%</c:formatCode>
                <c:ptCount val="4"/>
                <c:pt idx="0">
                  <c:v>7.0000000000000001E-3</c:v>
                </c:pt>
                <c:pt idx="1">
                  <c:v>1.7000000000000001E-2</c:v>
                </c:pt>
                <c:pt idx="2">
                  <c:v>0.01</c:v>
                </c:pt>
                <c:pt idx="3">
                  <c:v>0.01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E4FC-4FFB-9425-A6685888E53F}"/>
            </c:ext>
          </c:extLst>
        </c:ser>
        <c:ser>
          <c:idx val="8"/>
          <c:order val="8"/>
          <c:tx>
            <c:strRef>
              <c:f>'behavior analysis'!$X$2:$X$3</c:f>
              <c:strCache>
                <c:ptCount val="1"/>
                <c:pt idx="0">
                  <c:v>Furniture</c:v>
                </c:pt>
              </c:strCache>
            </c:strRef>
          </c:tx>
          <c:spPr>
            <a:solidFill>
              <a:srgbClr val="B146C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'behavior analysis'!$O$4:$O$8</c:f>
              <c:strCache>
                <c:ptCount val="4"/>
                <c:pt idx="0">
                  <c:v>18-25</c:v>
                </c:pt>
                <c:pt idx="1">
                  <c:v>26-35</c:v>
                </c:pt>
                <c:pt idx="2">
                  <c:v>36-44</c:v>
                </c:pt>
                <c:pt idx="3">
                  <c:v>45-54</c:v>
                </c:pt>
              </c:strCache>
            </c:strRef>
          </c:cat>
          <c:val>
            <c:numRef>
              <c:f>'behavior analysis'!$X$4:$X$8</c:f>
              <c:numCache>
                <c:formatCode>0.00%</c:formatCode>
                <c:ptCount val="4"/>
                <c:pt idx="0">
                  <c:v>1.0999999999999999E-2</c:v>
                </c:pt>
                <c:pt idx="1">
                  <c:v>8.0000000000000002E-3</c:v>
                </c:pt>
                <c:pt idx="2">
                  <c:v>1.2999999999999999E-2</c:v>
                </c:pt>
                <c:pt idx="3">
                  <c:v>8.9999999999999993E-3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E4FC-4FFB-9425-A6685888E53F}"/>
            </c:ext>
          </c:extLst>
        </c:ser>
        <c:ser>
          <c:idx val="9"/>
          <c:order val="9"/>
          <c:tx>
            <c:strRef>
              <c:f>'behavior analysis'!$Y$2:$Y$3</c:f>
              <c:strCache>
                <c:ptCount val="1"/>
                <c:pt idx="0">
                  <c:v>Gardening &amp; Outdoors</c:v>
                </c:pt>
              </c:strCache>
            </c:strRef>
          </c:tx>
          <c:spPr>
            <a:solidFill>
              <a:srgbClr val="AE8C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'behavior analysis'!$O$4:$O$8</c:f>
              <c:strCache>
                <c:ptCount val="4"/>
                <c:pt idx="0">
                  <c:v>18-25</c:v>
                </c:pt>
                <c:pt idx="1">
                  <c:v>26-35</c:v>
                </c:pt>
                <c:pt idx="2">
                  <c:v>36-44</c:v>
                </c:pt>
                <c:pt idx="3">
                  <c:v>45-54</c:v>
                </c:pt>
              </c:strCache>
            </c:strRef>
          </c:cat>
          <c:val>
            <c:numRef>
              <c:f>'behavior analysis'!$Y$4:$Y$8</c:f>
              <c:numCache>
                <c:formatCode>0.00%</c:formatCode>
                <c:ptCount val="4"/>
                <c:pt idx="0">
                  <c:v>1.0999999999999999E-2</c:v>
                </c:pt>
                <c:pt idx="1">
                  <c:v>1.7000000000000001E-2</c:v>
                </c:pt>
                <c:pt idx="2">
                  <c:v>1.0999999999999999E-2</c:v>
                </c:pt>
                <c:pt idx="3">
                  <c:v>5.0000000000000001E-3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E4FC-4FFB-9425-A6685888E53F}"/>
            </c:ext>
          </c:extLst>
        </c:ser>
        <c:ser>
          <c:idx val="10"/>
          <c:order val="10"/>
          <c:tx>
            <c:strRef>
              <c:f>'behavior analysis'!$Z$2:$Z$3</c:f>
              <c:strCache>
                <c:ptCount val="1"/>
                <c:pt idx="0">
                  <c:v>Groceries</c:v>
                </c:pt>
              </c:strCache>
            </c:strRef>
          </c:tx>
          <c:spPr>
            <a:solidFill>
              <a:srgbClr val="AE8C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'behavior analysis'!$O$4:$O$8</c:f>
              <c:strCache>
                <c:ptCount val="4"/>
                <c:pt idx="0">
                  <c:v>18-25</c:v>
                </c:pt>
                <c:pt idx="1">
                  <c:v>26-35</c:v>
                </c:pt>
                <c:pt idx="2">
                  <c:v>36-44</c:v>
                </c:pt>
                <c:pt idx="3">
                  <c:v>45-54</c:v>
                </c:pt>
              </c:strCache>
            </c:strRef>
          </c:cat>
          <c:val>
            <c:numRef>
              <c:f>'behavior analysis'!$Z$4:$Z$8</c:f>
              <c:numCache>
                <c:formatCode>0.00%</c:formatCode>
                <c:ptCount val="4"/>
                <c:pt idx="0">
                  <c:v>6.0000000000000001E-3</c:v>
                </c:pt>
                <c:pt idx="1">
                  <c:v>1.7999999999999999E-2</c:v>
                </c:pt>
                <c:pt idx="2">
                  <c:v>1.0999999999999999E-2</c:v>
                </c:pt>
                <c:pt idx="3">
                  <c:v>6.0000000000000001E-3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E4FC-4FFB-9425-A6685888E53F}"/>
            </c:ext>
          </c:extLst>
        </c:ser>
        <c:ser>
          <c:idx val="11"/>
          <c:order val="11"/>
          <c:tx>
            <c:strRef>
              <c:f>'behavior analysis'!$AA$2:$AA$3</c:f>
              <c:strCache>
                <c:ptCount val="1"/>
                <c:pt idx="0">
                  <c:v>Health Care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'behavior analysis'!$O$4:$O$8</c:f>
              <c:strCache>
                <c:ptCount val="4"/>
                <c:pt idx="0">
                  <c:v>18-25</c:v>
                </c:pt>
                <c:pt idx="1">
                  <c:v>26-35</c:v>
                </c:pt>
                <c:pt idx="2">
                  <c:v>36-44</c:v>
                </c:pt>
                <c:pt idx="3">
                  <c:v>45-54</c:v>
                </c:pt>
              </c:strCache>
            </c:strRef>
          </c:cat>
          <c:val>
            <c:numRef>
              <c:f>'behavior analysis'!$AA$4:$AA$8</c:f>
              <c:numCache>
                <c:formatCode>0.00%</c:formatCode>
                <c:ptCount val="4"/>
                <c:pt idx="0">
                  <c:v>1.7999999999999999E-2</c:v>
                </c:pt>
                <c:pt idx="1">
                  <c:v>3.2000000000000001E-2</c:v>
                </c:pt>
                <c:pt idx="2">
                  <c:v>1.7999999999999999E-2</c:v>
                </c:pt>
                <c:pt idx="3">
                  <c:v>1.4E-2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E4FC-4FFB-9425-A6685888E53F}"/>
            </c:ext>
          </c:extLst>
        </c:ser>
        <c:ser>
          <c:idx val="12"/>
          <c:order val="12"/>
          <c:tx>
            <c:strRef>
              <c:f>'behavior analysis'!$AB$2:$AB$3</c:f>
              <c:strCache>
                <c:ptCount val="1"/>
                <c:pt idx="0">
                  <c:v>Home Appliances</c:v>
                </c:pt>
              </c:strCache>
            </c:strRef>
          </c:tx>
          <c:spPr>
            <a:solidFill>
              <a:srgbClr val="EE5FB7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'behavior analysis'!$O$4:$O$8</c:f>
              <c:strCache>
                <c:ptCount val="4"/>
                <c:pt idx="0">
                  <c:v>18-25</c:v>
                </c:pt>
                <c:pt idx="1">
                  <c:v>26-35</c:v>
                </c:pt>
                <c:pt idx="2">
                  <c:v>36-44</c:v>
                </c:pt>
                <c:pt idx="3">
                  <c:v>45-54</c:v>
                </c:pt>
              </c:strCache>
            </c:strRef>
          </c:cat>
          <c:val>
            <c:numRef>
              <c:f>'behavior analysis'!$AB$4:$AB$8</c:f>
              <c:numCache>
                <c:formatCode>0.00%</c:formatCode>
                <c:ptCount val="4"/>
                <c:pt idx="0">
                  <c:v>1.2E-2</c:v>
                </c:pt>
                <c:pt idx="1">
                  <c:v>1.7000000000000001E-2</c:v>
                </c:pt>
                <c:pt idx="2">
                  <c:v>1.2E-2</c:v>
                </c:pt>
                <c:pt idx="3">
                  <c:v>8.9999999999999993E-3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E4FC-4FFB-9425-A6685888E53F}"/>
            </c:ext>
          </c:extLst>
        </c:ser>
        <c:ser>
          <c:idx val="13"/>
          <c:order val="13"/>
          <c:tx>
            <c:strRef>
              <c:f>'behavior analysis'!$AC$2:$AC$3</c:f>
              <c:strCache>
                <c:ptCount val="1"/>
                <c:pt idx="0">
                  <c:v>Luxury Goods &amp; Accessories</c:v>
                </c:pt>
              </c:strCache>
            </c:strRef>
          </c:tx>
          <c:spPr>
            <a:solidFill>
              <a:srgbClr val="008B9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'behavior analysis'!$O$4:$O$8</c:f>
              <c:strCache>
                <c:ptCount val="4"/>
                <c:pt idx="0">
                  <c:v>18-25</c:v>
                </c:pt>
                <c:pt idx="1">
                  <c:v>26-35</c:v>
                </c:pt>
                <c:pt idx="2">
                  <c:v>36-44</c:v>
                </c:pt>
                <c:pt idx="3">
                  <c:v>45-54</c:v>
                </c:pt>
              </c:strCache>
            </c:strRef>
          </c:cat>
          <c:val>
            <c:numRef>
              <c:f>'behavior analysis'!$AC$4:$AC$8</c:f>
              <c:numCache>
                <c:formatCode>0.00%</c:formatCode>
                <c:ptCount val="4"/>
                <c:pt idx="0">
                  <c:v>1.7000000000000001E-2</c:v>
                </c:pt>
                <c:pt idx="1">
                  <c:v>2.8000000000000001E-2</c:v>
                </c:pt>
                <c:pt idx="2">
                  <c:v>2.5999999999999999E-2</c:v>
                </c:pt>
                <c:pt idx="3">
                  <c:v>1.6E-2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E4FC-4FFB-9425-A6685888E53F}"/>
            </c:ext>
          </c:extLst>
        </c:ser>
        <c:ser>
          <c:idx val="14"/>
          <c:order val="14"/>
          <c:tx>
            <c:strRef>
              <c:f>'behavior analysis'!$AD$2:$AD$3</c:f>
              <c:strCache>
                <c:ptCount val="1"/>
                <c:pt idx="0">
                  <c:v>Mobile Accessories</c:v>
                </c:pt>
              </c:strCache>
            </c:strRef>
          </c:tx>
          <c:spPr>
            <a:solidFill>
              <a:srgbClr val="D7744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'behavior analysis'!$O$4:$O$8</c:f>
              <c:strCache>
                <c:ptCount val="4"/>
                <c:pt idx="0">
                  <c:v>18-25</c:v>
                </c:pt>
                <c:pt idx="1">
                  <c:v>26-35</c:v>
                </c:pt>
                <c:pt idx="2">
                  <c:v>36-44</c:v>
                </c:pt>
                <c:pt idx="3">
                  <c:v>45-54</c:v>
                </c:pt>
              </c:strCache>
            </c:strRef>
          </c:cat>
          <c:val>
            <c:numRef>
              <c:f>'behavior analysis'!$AD$4:$AD$8</c:f>
              <c:numCache>
                <c:formatCode>0.00%</c:formatCode>
                <c:ptCount val="4"/>
                <c:pt idx="0">
                  <c:v>1.6E-2</c:v>
                </c:pt>
                <c:pt idx="1">
                  <c:v>8.0000000000000002E-3</c:v>
                </c:pt>
                <c:pt idx="2">
                  <c:v>0.01</c:v>
                </c:pt>
                <c:pt idx="3">
                  <c:v>7.0000000000000001E-3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E4FC-4FFB-9425-A6685888E53F}"/>
            </c:ext>
          </c:extLst>
        </c:ser>
        <c:ser>
          <c:idx val="15"/>
          <c:order val="15"/>
          <c:tx>
            <c:strRef>
              <c:f>'behavior analysis'!$AE$2:$AE$3</c:f>
              <c:strCache>
                <c:ptCount val="1"/>
                <c:pt idx="0">
                  <c:v>Office Supplies</c:v>
                </c:pt>
              </c:strCache>
            </c:strRef>
          </c:tx>
          <c:spPr>
            <a:solidFill>
              <a:srgbClr val="BA58C9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'behavior analysis'!$O$4:$O$8</c:f>
              <c:strCache>
                <c:ptCount val="4"/>
                <c:pt idx="0">
                  <c:v>18-25</c:v>
                </c:pt>
                <c:pt idx="1">
                  <c:v>26-35</c:v>
                </c:pt>
                <c:pt idx="2">
                  <c:v>36-44</c:v>
                </c:pt>
                <c:pt idx="3">
                  <c:v>45-54</c:v>
                </c:pt>
              </c:strCache>
            </c:strRef>
          </c:cat>
          <c:val>
            <c:numRef>
              <c:f>'behavior analysis'!$AE$4:$AE$8</c:f>
              <c:numCache>
                <c:formatCode>0.00%</c:formatCode>
                <c:ptCount val="4"/>
                <c:pt idx="0">
                  <c:v>1.4E-2</c:v>
                </c:pt>
                <c:pt idx="1">
                  <c:v>8.9999999999999993E-3</c:v>
                </c:pt>
                <c:pt idx="2">
                  <c:v>7.0000000000000001E-3</c:v>
                </c:pt>
                <c:pt idx="3">
                  <c:v>8.0000000000000002E-3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E4FC-4FFB-9425-A6685888E53F}"/>
            </c:ext>
          </c:extLst>
        </c:ser>
        <c:ser>
          <c:idx val="16"/>
          <c:order val="16"/>
          <c:tx>
            <c:strRef>
              <c:f>'behavior analysis'!$AF$2:$AF$3</c:f>
              <c:strCache>
                <c:ptCount val="1"/>
                <c:pt idx="0">
                  <c:v>Packages</c:v>
                </c:pt>
              </c:strCache>
            </c:strRef>
          </c:tx>
          <c:spPr>
            <a:solidFill>
              <a:srgbClr val="3A96DD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'behavior analysis'!$O$4:$O$8</c:f>
              <c:strCache>
                <c:ptCount val="4"/>
                <c:pt idx="0">
                  <c:v>18-25</c:v>
                </c:pt>
                <c:pt idx="1">
                  <c:v>26-35</c:v>
                </c:pt>
                <c:pt idx="2">
                  <c:v>36-44</c:v>
                </c:pt>
                <c:pt idx="3">
                  <c:v>45-54</c:v>
                </c:pt>
              </c:strCache>
            </c:strRef>
          </c:cat>
          <c:val>
            <c:numRef>
              <c:f>'behavior analysis'!$AF$4:$AF$8</c:f>
              <c:numCache>
                <c:formatCode>0.00%</c:formatCode>
                <c:ptCount val="4"/>
                <c:pt idx="0">
                  <c:v>8.0000000000000002E-3</c:v>
                </c:pt>
                <c:pt idx="1">
                  <c:v>1.2999999999999999E-2</c:v>
                </c:pt>
                <c:pt idx="2">
                  <c:v>1.7000000000000001E-2</c:v>
                </c:pt>
                <c:pt idx="3">
                  <c:v>5.0000000000000001E-3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E4FC-4FFB-9425-A6685888E53F}"/>
            </c:ext>
          </c:extLst>
        </c:ser>
        <c:ser>
          <c:idx val="17"/>
          <c:order val="17"/>
          <c:tx>
            <c:strRef>
              <c:f>'behavior analysis'!$AG$2:$AG$3</c:f>
              <c:strCache>
                <c:ptCount val="1"/>
                <c:pt idx="0">
                  <c:v>Software &amp; Apps</c:v>
                </c:pt>
              </c:strCache>
            </c:strRef>
          </c:tx>
          <c:spPr>
            <a:solidFill>
              <a:srgbClr val="E3008C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'behavior analysis'!$O$4:$O$8</c:f>
              <c:strCache>
                <c:ptCount val="4"/>
                <c:pt idx="0">
                  <c:v>18-25</c:v>
                </c:pt>
                <c:pt idx="1">
                  <c:v>26-35</c:v>
                </c:pt>
                <c:pt idx="2">
                  <c:v>36-44</c:v>
                </c:pt>
                <c:pt idx="3">
                  <c:v>45-54</c:v>
                </c:pt>
              </c:strCache>
            </c:strRef>
          </c:cat>
          <c:val>
            <c:numRef>
              <c:f>'behavior analysis'!$AG$4:$AG$8</c:f>
              <c:numCache>
                <c:formatCode>0.00%</c:formatCode>
                <c:ptCount val="4"/>
                <c:pt idx="0">
                  <c:v>1.4E-2</c:v>
                </c:pt>
                <c:pt idx="1">
                  <c:v>0.01</c:v>
                </c:pt>
                <c:pt idx="2">
                  <c:v>8.0000000000000002E-3</c:v>
                </c:pt>
                <c:pt idx="3">
                  <c:v>1.0999999999999999E-2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2-E4FC-4FFB-9425-A6685888E53F}"/>
            </c:ext>
          </c:extLst>
        </c:ser>
        <c:ser>
          <c:idx val="18"/>
          <c:order val="18"/>
          <c:tx>
            <c:strRef>
              <c:f>'behavior analysis'!$AH$2:$AH$3</c:f>
              <c:strCache>
                <c:ptCount val="1"/>
                <c:pt idx="0">
                  <c:v>Sports &amp; Outdoors</c:v>
                </c:pt>
              </c:strCache>
            </c:strRef>
          </c:tx>
          <c:spPr>
            <a:solidFill>
              <a:srgbClr val="C36BD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'behavior analysis'!$O$4:$O$8</c:f>
              <c:strCache>
                <c:ptCount val="4"/>
                <c:pt idx="0">
                  <c:v>18-25</c:v>
                </c:pt>
                <c:pt idx="1">
                  <c:v>26-35</c:v>
                </c:pt>
                <c:pt idx="2">
                  <c:v>36-44</c:v>
                </c:pt>
                <c:pt idx="3">
                  <c:v>45-54</c:v>
                </c:pt>
              </c:strCache>
            </c:strRef>
          </c:cat>
          <c:val>
            <c:numRef>
              <c:f>'behavior analysis'!$AH$4:$AH$8</c:f>
              <c:numCache>
                <c:formatCode>0.00%</c:formatCode>
                <c:ptCount val="4"/>
                <c:pt idx="0">
                  <c:v>1.7000000000000001E-2</c:v>
                </c:pt>
                <c:pt idx="1">
                  <c:v>1.0999999999999999E-2</c:v>
                </c:pt>
                <c:pt idx="2">
                  <c:v>1.2E-2</c:v>
                </c:pt>
                <c:pt idx="3">
                  <c:v>1.0999999999999999E-2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4-E4FC-4FFB-9425-A6685888E53F}"/>
            </c:ext>
          </c:extLst>
        </c:ser>
        <c:ser>
          <c:idx val="19"/>
          <c:order val="19"/>
          <c:tx>
            <c:strRef>
              <c:f>'behavior analysis'!$AI$2:$AI$3</c:f>
              <c:strCache>
                <c:ptCount val="1"/>
                <c:pt idx="0">
                  <c:v>Toys &amp; Games</c:v>
                </c:pt>
              </c:strCache>
            </c:strRef>
          </c:tx>
          <c:spPr>
            <a:solidFill>
              <a:srgbClr val="D062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'behavior analysis'!$O$4:$O$8</c:f>
              <c:strCache>
                <c:ptCount val="4"/>
                <c:pt idx="0">
                  <c:v>18-25</c:v>
                </c:pt>
                <c:pt idx="1">
                  <c:v>26-35</c:v>
                </c:pt>
                <c:pt idx="2">
                  <c:v>36-44</c:v>
                </c:pt>
                <c:pt idx="3">
                  <c:v>45-54</c:v>
                </c:pt>
              </c:strCache>
            </c:strRef>
          </c:cat>
          <c:val>
            <c:numRef>
              <c:f>'behavior analysis'!$AI$4:$AI$8</c:f>
              <c:numCache>
                <c:formatCode>0.00%</c:formatCode>
                <c:ptCount val="4"/>
                <c:pt idx="0">
                  <c:v>1.4E-2</c:v>
                </c:pt>
                <c:pt idx="1">
                  <c:v>8.0000000000000002E-3</c:v>
                </c:pt>
                <c:pt idx="2">
                  <c:v>1.4E-2</c:v>
                </c:pt>
                <c:pt idx="3">
                  <c:v>1.0999999999999999E-2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6-E4FC-4FFB-9425-A6685888E53F}"/>
            </c:ext>
          </c:extLst>
        </c:ser>
        <c:ser>
          <c:idx val="20"/>
          <c:order val="20"/>
          <c:tx>
            <c:strRef>
              <c:f>'behavior analysis'!$AJ$2:$AJ$3</c:f>
              <c:strCache>
                <c:ptCount val="1"/>
                <c:pt idx="0">
                  <c:v>Travel &amp; Leisure</c:v>
                </c:pt>
              </c:strCache>
            </c:strRef>
          </c:tx>
          <c:spPr>
            <a:solidFill>
              <a:srgbClr val="57811B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'behavior analysis'!$O$4:$O$8</c:f>
              <c:strCache>
                <c:ptCount val="4"/>
                <c:pt idx="0">
                  <c:v>18-25</c:v>
                </c:pt>
                <c:pt idx="1">
                  <c:v>26-35</c:v>
                </c:pt>
                <c:pt idx="2">
                  <c:v>36-44</c:v>
                </c:pt>
                <c:pt idx="3">
                  <c:v>45-54</c:v>
                </c:pt>
              </c:strCache>
            </c:strRef>
          </c:cat>
          <c:val>
            <c:numRef>
              <c:f>'behavior analysis'!$AJ$4:$AJ$8</c:f>
              <c:numCache>
                <c:formatCode>0.00%</c:formatCode>
                <c:ptCount val="4"/>
                <c:pt idx="0">
                  <c:v>1.4999999999999999E-2</c:v>
                </c:pt>
                <c:pt idx="1">
                  <c:v>2.5999999999999999E-2</c:v>
                </c:pt>
                <c:pt idx="2">
                  <c:v>2.3E-2</c:v>
                </c:pt>
                <c:pt idx="3">
                  <c:v>0.01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8-E4FC-4FFB-9425-A6685888E53F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788646920"/>
        <c:axId val="788657160"/>
      </c:barChart>
      <c:catAx>
        <c:axId val="788646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8657160"/>
        <c:crosses val="autoZero"/>
        <c:auto val="1"/>
        <c:lblAlgn val="ctr"/>
        <c:lblOffset val="100"/>
        <c:noMultiLvlLbl val="0"/>
      </c:catAx>
      <c:valAx>
        <c:axId val="788657160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crossAx val="788646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[The Excel project dataset - Copy.xlsx]behavior analysis!PivotTable2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distribution of product categories per purchases by gender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'behavior analysis'!$P$10:$P$11</c:f>
              <c:strCache>
                <c:ptCount val="1"/>
                <c:pt idx="0">
                  <c:v>Animal Feed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'behavior analysis'!$O$12:$O$15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Non-binary</c:v>
                </c:pt>
              </c:strCache>
            </c:strRef>
          </c:cat>
          <c:val>
            <c:numRef>
              <c:f>'behavior analysis'!$P$12:$P$15</c:f>
              <c:numCache>
                <c:formatCode>0.00%</c:formatCode>
                <c:ptCount val="3"/>
                <c:pt idx="0">
                  <c:v>2.2900763358778626E-2</c:v>
                </c:pt>
                <c:pt idx="1">
                  <c:v>2.1810250817884406E-2</c:v>
                </c:pt>
                <c:pt idx="2">
                  <c:v>1.0905125408942203E-3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97-481F-81D5-53349E796CB7}"/>
            </c:ext>
          </c:extLst>
        </c:ser>
        <c:ser>
          <c:idx val="1"/>
          <c:order val="1"/>
          <c:tx>
            <c:strRef>
              <c:f>'behavior analysis'!$Q$10:$Q$11</c:f>
              <c:strCache>
                <c:ptCount val="1"/>
                <c:pt idx="0">
                  <c:v>Arts &amp; Crafts</c:v>
                </c:pt>
              </c:strCache>
            </c:strRef>
          </c:tx>
          <c:spPr>
            <a:solidFill>
              <a:srgbClr val="E3008C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'behavior analysis'!$O$12:$O$15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Non-binary</c:v>
                </c:pt>
              </c:strCache>
            </c:strRef>
          </c:cat>
          <c:val>
            <c:numRef>
              <c:f>'behavior analysis'!$Q$12:$Q$15</c:f>
              <c:numCache>
                <c:formatCode>0.00%</c:formatCode>
                <c:ptCount val="3"/>
                <c:pt idx="0">
                  <c:v>1.8538713195201745E-2</c:v>
                </c:pt>
                <c:pt idx="1">
                  <c:v>1.4176663031624863E-2</c:v>
                </c:pt>
                <c:pt idx="2">
                  <c:v>2.1810250817884407E-3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697-481F-81D5-53349E796CB7}"/>
            </c:ext>
          </c:extLst>
        </c:ser>
        <c:ser>
          <c:idx val="2"/>
          <c:order val="2"/>
          <c:tx>
            <c:strRef>
              <c:f>'behavior analysis'!$R$10:$R$11</c:f>
              <c:strCache>
                <c:ptCount val="1"/>
                <c:pt idx="0">
                  <c:v>Baby Products</c:v>
                </c:pt>
              </c:strCache>
            </c:strRef>
          </c:tx>
          <c:spPr>
            <a:solidFill>
              <a:srgbClr val="2AA0A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'behavior analysis'!$O$12:$O$15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Non-binary</c:v>
                </c:pt>
              </c:strCache>
            </c:strRef>
          </c:cat>
          <c:val>
            <c:numRef>
              <c:f>'behavior analysis'!$R$12:$R$15</c:f>
              <c:numCache>
                <c:formatCode>0.00%</c:formatCode>
                <c:ptCount val="3"/>
                <c:pt idx="0">
                  <c:v>2.1810250817884406E-2</c:v>
                </c:pt>
                <c:pt idx="1">
                  <c:v>2.0719738276990186E-2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697-481F-81D5-53349E796CB7}"/>
            </c:ext>
          </c:extLst>
        </c:ser>
        <c:ser>
          <c:idx val="3"/>
          <c:order val="3"/>
          <c:tx>
            <c:strRef>
              <c:f>'behavior analysis'!$S$10:$S$11</c:f>
              <c:strCache>
                <c:ptCount val="1"/>
                <c:pt idx="0">
                  <c:v>Beauty &amp; Personal Care</c:v>
                </c:pt>
              </c:strCache>
            </c:strRef>
          </c:tx>
          <c:spPr>
            <a:solidFill>
              <a:srgbClr val="9373C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'behavior analysis'!$O$12:$O$15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Non-binary</c:v>
                </c:pt>
              </c:strCache>
            </c:strRef>
          </c:cat>
          <c:val>
            <c:numRef>
              <c:f>'behavior analysis'!$S$12:$S$15</c:f>
              <c:numCache>
                <c:formatCode>0.00%</c:formatCode>
                <c:ptCount val="3"/>
                <c:pt idx="0">
                  <c:v>1.9629225736095966E-2</c:v>
                </c:pt>
                <c:pt idx="1">
                  <c:v>1.4176663031624863E-2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697-481F-81D5-53349E796CB7}"/>
            </c:ext>
          </c:extLst>
        </c:ser>
        <c:ser>
          <c:idx val="4"/>
          <c:order val="4"/>
          <c:tx>
            <c:strRef>
              <c:f>'behavior analysis'!$T$10:$T$11</c:f>
              <c:strCache>
                <c:ptCount val="1"/>
                <c:pt idx="0">
                  <c:v>Books</c:v>
                </c:pt>
              </c:strCache>
            </c:strRef>
          </c:tx>
          <c:spPr>
            <a:solidFill>
              <a:srgbClr val="13A10E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'behavior analysis'!$O$12:$O$15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Non-binary</c:v>
                </c:pt>
              </c:strCache>
            </c:strRef>
          </c:cat>
          <c:val>
            <c:numRef>
              <c:f>'behavior analysis'!$T$12:$T$15</c:f>
              <c:numCache>
                <c:formatCode>0.00%</c:formatCode>
                <c:ptCount val="3"/>
                <c:pt idx="0">
                  <c:v>1.7448200654307525E-2</c:v>
                </c:pt>
                <c:pt idx="1">
                  <c:v>2.2900763358778626E-2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697-481F-81D5-53349E796CB7}"/>
            </c:ext>
          </c:extLst>
        </c:ser>
        <c:ser>
          <c:idx val="5"/>
          <c:order val="5"/>
          <c:tx>
            <c:strRef>
              <c:f>'behavior analysis'!$U$10:$U$11</c:f>
              <c:strCache>
                <c:ptCount val="1"/>
                <c:pt idx="0">
                  <c:v>Clothing</c:v>
                </c:pt>
              </c:strCache>
            </c:strRef>
          </c:tx>
          <c:spPr>
            <a:solidFill>
              <a:srgbClr val="3A96DD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'behavior analysis'!$O$12:$O$15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Non-binary</c:v>
                </c:pt>
              </c:strCache>
            </c:strRef>
          </c:cat>
          <c:val>
            <c:numRef>
              <c:f>'behavior analysis'!$U$12:$U$15</c:f>
              <c:numCache>
                <c:formatCode>0.00%</c:formatCode>
                <c:ptCount val="3"/>
                <c:pt idx="0">
                  <c:v>1.0905125408942203E-2</c:v>
                </c:pt>
                <c:pt idx="1">
                  <c:v>1.6357688113413305E-2</c:v>
                </c:pt>
                <c:pt idx="2">
                  <c:v>1.0905125408942203E-3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1697-481F-81D5-53349E796CB7}"/>
            </c:ext>
          </c:extLst>
        </c:ser>
        <c:ser>
          <c:idx val="6"/>
          <c:order val="6"/>
          <c:tx>
            <c:strRef>
              <c:f>'behavior analysis'!$V$10:$V$11</c:f>
              <c:strCache>
                <c:ptCount val="1"/>
                <c:pt idx="0">
                  <c:v>Electronics</c:v>
                </c:pt>
              </c:strCache>
            </c:strRef>
          </c:tx>
          <c:spPr>
            <a:solidFill>
              <a:srgbClr val="CA501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'behavior analysis'!$O$12:$O$15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Non-binary</c:v>
                </c:pt>
              </c:strCache>
            </c:strRef>
          </c:cat>
          <c:val>
            <c:numRef>
              <c:f>'behavior analysis'!$V$12:$V$15</c:f>
              <c:numCache>
                <c:formatCode>0.00%</c:formatCode>
                <c:ptCount val="3"/>
                <c:pt idx="0">
                  <c:v>3.0534351145038167E-2</c:v>
                </c:pt>
                <c:pt idx="1">
                  <c:v>2.1810250817884406E-2</c:v>
                </c:pt>
                <c:pt idx="2">
                  <c:v>1.0905125408942203E-3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1697-481F-81D5-53349E796CB7}"/>
            </c:ext>
          </c:extLst>
        </c:ser>
        <c:ser>
          <c:idx val="7"/>
          <c:order val="7"/>
          <c:tx>
            <c:strRef>
              <c:f>'behavior analysis'!$W$10:$W$11</c:f>
              <c:strCache>
                <c:ptCount val="1"/>
                <c:pt idx="0">
                  <c:v>Food &amp; Beverages</c:v>
                </c:pt>
              </c:strCache>
            </c:strRef>
          </c:tx>
          <c:spPr>
            <a:solidFill>
              <a:srgbClr val="57811B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'behavior analysis'!$O$12:$O$15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Non-binary</c:v>
                </c:pt>
              </c:strCache>
            </c:strRef>
          </c:cat>
          <c:val>
            <c:numRef>
              <c:f>'behavior analysis'!$W$12:$W$15</c:f>
              <c:numCache>
                <c:formatCode>0.00%</c:formatCode>
                <c:ptCount val="3"/>
                <c:pt idx="0">
                  <c:v>2.2900763358778626E-2</c:v>
                </c:pt>
                <c:pt idx="1">
                  <c:v>2.0719738276990186E-2</c:v>
                </c:pt>
                <c:pt idx="2">
                  <c:v>1.0905125408942203E-3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1697-481F-81D5-53349E796CB7}"/>
            </c:ext>
          </c:extLst>
        </c:ser>
        <c:ser>
          <c:idx val="8"/>
          <c:order val="8"/>
          <c:tx>
            <c:strRef>
              <c:f>'behavior analysis'!$X$10:$X$11</c:f>
              <c:strCache>
                <c:ptCount val="1"/>
                <c:pt idx="0">
                  <c:v>Furniture</c:v>
                </c:pt>
              </c:strCache>
            </c:strRef>
          </c:tx>
          <c:spPr>
            <a:solidFill>
              <a:srgbClr val="B146C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'behavior analysis'!$O$12:$O$15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Non-binary</c:v>
                </c:pt>
              </c:strCache>
            </c:strRef>
          </c:cat>
          <c:val>
            <c:numRef>
              <c:f>'behavior analysis'!$X$12:$X$15</c:f>
              <c:numCache>
                <c:formatCode>0.00%</c:formatCode>
                <c:ptCount val="3"/>
                <c:pt idx="0">
                  <c:v>2.1810250817884406E-2</c:v>
                </c:pt>
                <c:pt idx="1">
                  <c:v>1.8538713195201745E-2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1697-481F-81D5-53349E796CB7}"/>
            </c:ext>
          </c:extLst>
        </c:ser>
        <c:ser>
          <c:idx val="9"/>
          <c:order val="9"/>
          <c:tx>
            <c:strRef>
              <c:f>'behavior analysis'!$Y$10:$Y$11</c:f>
              <c:strCache>
                <c:ptCount val="1"/>
                <c:pt idx="0">
                  <c:v>Gardening &amp; Outdoors</c:v>
                </c:pt>
              </c:strCache>
            </c:strRef>
          </c:tx>
          <c:spPr>
            <a:solidFill>
              <a:srgbClr val="AE8C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'behavior analysis'!$O$12:$O$15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Non-binary</c:v>
                </c:pt>
              </c:strCache>
            </c:strRef>
          </c:cat>
          <c:val>
            <c:numRef>
              <c:f>'behavior analysis'!$Y$12:$Y$15</c:f>
              <c:numCache>
                <c:formatCode>0.00%</c:formatCode>
                <c:ptCount val="3"/>
                <c:pt idx="0">
                  <c:v>1.8538713195201745E-2</c:v>
                </c:pt>
                <c:pt idx="1">
                  <c:v>2.6172300981461286E-2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1697-481F-81D5-53349E796CB7}"/>
            </c:ext>
          </c:extLst>
        </c:ser>
        <c:ser>
          <c:idx val="10"/>
          <c:order val="10"/>
          <c:tx>
            <c:strRef>
              <c:f>'behavior analysis'!$Z$10:$Z$11</c:f>
              <c:strCache>
                <c:ptCount val="1"/>
                <c:pt idx="0">
                  <c:v>Groceries</c:v>
                </c:pt>
              </c:strCache>
            </c:strRef>
          </c:tx>
          <c:spPr>
            <a:solidFill>
              <a:srgbClr val="AE8C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'behavior analysis'!$O$12:$O$15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Non-binary</c:v>
                </c:pt>
              </c:strCache>
            </c:strRef>
          </c:cat>
          <c:val>
            <c:numRef>
              <c:f>'behavior analysis'!$Z$12:$Z$15</c:f>
              <c:numCache>
                <c:formatCode>0.00%</c:formatCode>
                <c:ptCount val="3"/>
                <c:pt idx="0">
                  <c:v>1.8538713195201745E-2</c:v>
                </c:pt>
                <c:pt idx="1">
                  <c:v>1.9629225736095966E-2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1697-481F-81D5-53349E796CB7}"/>
            </c:ext>
          </c:extLst>
        </c:ser>
        <c:ser>
          <c:idx val="11"/>
          <c:order val="11"/>
          <c:tx>
            <c:strRef>
              <c:f>'behavior analysis'!$AA$10:$AA$11</c:f>
              <c:strCache>
                <c:ptCount val="1"/>
                <c:pt idx="0">
                  <c:v>Health Care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'behavior analysis'!$O$12:$O$15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Non-binary</c:v>
                </c:pt>
              </c:strCache>
            </c:strRef>
          </c:cat>
          <c:val>
            <c:numRef>
              <c:f>'behavior analysis'!$AA$12:$AA$15</c:f>
              <c:numCache>
                <c:formatCode>0.00%</c:formatCode>
                <c:ptCount val="3"/>
                <c:pt idx="0">
                  <c:v>3.9258451472191931E-2</c:v>
                </c:pt>
                <c:pt idx="1">
                  <c:v>4.0348964013086151E-2</c:v>
                </c:pt>
                <c:pt idx="2">
                  <c:v>1.0905125408942203E-3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1697-481F-81D5-53349E796CB7}"/>
            </c:ext>
          </c:extLst>
        </c:ser>
        <c:ser>
          <c:idx val="12"/>
          <c:order val="12"/>
          <c:tx>
            <c:strRef>
              <c:f>'behavior analysis'!$AB$10:$AB$11</c:f>
              <c:strCache>
                <c:ptCount val="1"/>
                <c:pt idx="0">
                  <c:v>Home Appliances</c:v>
                </c:pt>
              </c:strCache>
            </c:strRef>
          </c:tx>
          <c:spPr>
            <a:solidFill>
              <a:srgbClr val="EE5FB7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'behavior analysis'!$O$12:$O$15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Non-binary</c:v>
                </c:pt>
              </c:strCache>
            </c:strRef>
          </c:cat>
          <c:val>
            <c:numRef>
              <c:f>'behavior analysis'!$AB$12:$AB$15</c:f>
              <c:numCache>
                <c:formatCode>0.00%</c:formatCode>
                <c:ptCount val="3"/>
                <c:pt idx="0">
                  <c:v>1.6357688113413305E-2</c:v>
                </c:pt>
                <c:pt idx="1">
                  <c:v>3.0534351145038167E-2</c:v>
                </c:pt>
                <c:pt idx="2">
                  <c:v>1.0905125408942203E-3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1697-481F-81D5-53349E796CB7}"/>
            </c:ext>
          </c:extLst>
        </c:ser>
        <c:ser>
          <c:idx val="13"/>
          <c:order val="13"/>
          <c:tx>
            <c:strRef>
              <c:f>'behavior analysis'!$AC$10:$AC$11</c:f>
              <c:strCache>
                <c:ptCount val="1"/>
                <c:pt idx="0">
                  <c:v>Luxury Goods &amp; Accessories</c:v>
                </c:pt>
              </c:strCache>
            </c:strRef>
          </c:tx>
          <c:spPr>
            <a:solidFill>
              <a:srgbClr val="008B9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'behavior analysis'!$O$12:$O$15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Non-binary</c:v>
                </c:pt>
              </c:strCache>
            </c:strRef>
          </c:cat>
          <c:val>
            <c:numRef>
              <c:f>'behavior analysis'!$AC$12:$AC$15</c:f>
              <c:numCache>
                <c:formatCode>0.00%</c:formatCode>
                <c:ptCount val="3"/>
                <c:pt idx="0">
                  <c:v>5.4525627044711013E-2</c:v>
                </c:pt>
                <c:pt idx="1">
                  <c:v>3.3805888767720831E-2</c:v>
                </c:pt>
                <c:pt idx="2">
                  <c:v>2.1810250817884407E-3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1697-481F-81D5-53349E796CB7}"/>
            </c:ext>
          </c:extLst>
        </c:ser>
        <c:ser>
          <c:idx val="14"/>
          <c:order val="14"/>
          <c:tx>
            <c:strRef>
              <c:f>'behavior analysis'!$AD$10:$AD$11</c:f>
              <c:strCache>
                <c:ptCount val="1"/>
                <c:pt idx="0">
                  <c:v>Mobile Accessories</c:v>
                </c:pt>
              </c:strCache>
            </c:strRef>
          </c:tx>
          <c:spPr>
            <a:solidFill>
              <a:srgbClr val="D7744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'behavior analysis'!$O$12:$O$15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Non-binary</c:v>
                </c:pt>
              </c:strCache>
            </c:strRef>
          </c:cat>
          <c:val>
            <c:numRef>
              <c:f>'behavior analysis'!$AD$12:$AD$15</c:f>
              <c:numCache>
                <c:formatCode>0.00%</c:formatCode>
                <c:ptCount val="3"/>
                <c:pt idx="0">
                  <c:v>1.7448200654307525E-2</c:v>
                </c:pt>
                <c:pt idx="1">
                  <c:v>2.2900763358778626E-2</c:v>
                </c:pt>
                <c:pt idx="2">
                  <c:v>3.2715376226826608E-3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1697-481F-81D5-53349E796CB7}"/>
            </c:ext>
          </c:extLst>
        </c:ser>
        <c:ser>
          <c:idx val="15"/>
          <c:order val="15"/>
          <c:tx>
            <c:strRef>
              <c:f>'behavior analysis'!$AE$10:$AE$11</c:f>
              <c:strCache>
                <c:ptCount val="1"/>
                <c:pt idx="0">
                  <c:v>Office Supplies</c:v>
                </c:pt>
              </c:strCache>
            </c:strRef>
          </c:tx>
          <c:spPr>
            <a:solidFill>
              <a:srgbClr val="BA58C9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'behavior analysis'!$O$12:$O$15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Non-binary</c:v>
                </c:pt>
              </c:strCache>
            </c:strRef>
          </c:cat>
          <c:val>
            <c:numRef>
              <c:f>'behavior analysis'!$AE$12:$AE$15</c:f>
              <c:numCache>
                <c:formatCode>0.00%</c:formatCode>
                <c:ptCount val="3"/>
                <c:pt idx="0">
                  <c:v>2.0719738276990186E-2</c:v>
                </c:pt>
                <c:pt idx="1">
                  <c:v>1.7448200654307525E-2</c:v>
                </c:pt>
                <c:pt idx="2">
                  <c:v>1.0905125408942203E-3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1697-481F-81D5-53349E796CB7}"/>
            </c:ext>
          </c:extLst>
        </c:ser>
        <c:ser>
          <c:idx val="16"/>
          <c:order val="16"/>
          <c:tx>
            <c:strRef>
              <c:f>'behavior analysis'!$AF$10:$AF$11</c:f>
              <c:strCache>
                <c:ptCount val="1"/>
                <c:pt idx="0">
                  <c:v>Packages</c:v>
                </c:pt>
              </c:strCache>
            </c:strRef>
          </c:tx>
          <c:spPr>
            <a:solidFill>
              <a:srgbClr val="3A96DD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'behavior analysis'!$O$12:$O$15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Non-binary</c:v>
                </c:pt>
              </c:strCache>
            </c:strRef>
          </c:cat>
          <c:val>
            <c:numRef>
              <c:f>'behavior analysis'!$AF$12:$AF$15</c:f>
              <c:numCache>
                <c:formatCode>0.00%</c:formatCode>
                <c:ptCount val="3"/>
                <c:pt idx="0">
                  <c:v>2.1810250817884406E-2</c:v>
                </c:pt>
                <c:pt idx="1">
                  <c:v>1.4176663031624863E-2</c:v>
                </c:pt>
                <c:pt idx="2">
                  <c:v>1.0905125408942203E-3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1697-481F-81D5-53349E796CB7}"/>
            </c:ext>
          </c:extLst>
        </c:ser>
        <c:ser>
          <c:idx val="17"/>
          <c:order val="17"/>
          <c:tx>
            <c:strRef>
              <c:f>'behavior analysis'!$AG$10:$AG$11</c:f>
              <c:strCache>
                <c:ptCount val="1"/>
                <c:pt idx="0">
                  <c:v>Software &amp; Apps</c:v>
                </c:pt>
              </c:strCache>
            </c:strRef>
          </c:tx>
          <c:spPr>
            <a:solidFill>
              <a:srgbClr val="E3008C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'behavior analysis'!$O$12:$O$15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Non-binary</c:v>
                </c:pt>
              </c:strCache>
            </c:strRef>
          </c:cat>
          <c:val>
            <c:numRef>
              <c:f>'behavior analysis'!$AG$12:$AG$15</c:f>
              <c:numCache>
                <c:formatCode>0.00%</c:formatCode>
                <c:ptCount val="3"/>
                <c:pt idx="0">
                  <c:v>1.6357688113413305E-2</c:v>
                </c:pt>
                <c:pt idx="1">
                  <c:v>2.5081788440567066E-2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2-1697-481F-81D5-53349E796CB7}"/>
            </c:ext>
          </c:extLst>
        </c:ser>
        <c:ser>
          <c:idx val="18"/>
          <c:order val="18"/>
          <c:tx>
            <c:strRef>
              <c:f>'behavior analysis'!$AH$10:$AH$11</c:f>
              <c:strCache>
                <c:ptCount val="1"/>
                <c:pt idx="0">
                  <c:v>Sports &amp; Outdoors</c:v>
                </c:pt>
              </c:strCache>
            </c:strRef>
          </c:tx>
          <c:spPr>
            <a:solidFill>
              <a:srgbClr val="C36BD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'behavior analysis'!$O$12:$O$15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Non-binary</c:v>
                </c:pt>
              </c:strCache>
            </c:strRef>
          </c:cat>
          <c:val>
            <c:numRef>
              <c:f>'behavior analysis'!$AH$12:$AH$15</c:f>
              <c:numCache>
                <c:formatCode>0.00%</c:formatCode>
                <c:ptCount val="3"/>
                <c:pt idx="0">
                  <c:v>2.5081788440567066E-2</c:v>
                </c:pt>
                <c:pt idx="1">
                  <c:v>2.5081788440567066E-2</c:v>
                </c:pt>
                <c:pt idx="2">
                  <c:v>1.0905125408942203E-3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4-1697-481F-81D5-53349E796CB7}"/>
            </c:ext>
          </c:extLst>
        </c:ser>
        <c:ser>
          <c:idx val="19"/>
          <c:order val="19"/>
          <c:tx>
            <c:strRef>
              <c:f>'behavior analysis'!$AI$10:$AI$11</c:f>
              <c:strCache>
                <c:ptCount val="1"/>
                <c:pt idx="0">
                  <c:v>Toys &amp; Games</c:v>
                </c:pt>
              </c:strCache>
            </c:strRef>
          </c:tx>
          <c:spPr>
            <a:solidFill>
              <a:srgbClr val="D062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'behavior analysis'!$O$12:$O$15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Non-binary</c:v>
                </c:pt>
              </c:strCache>
            </c:strRef>
          </c:cat>
          <c:val>
            <c:numRef>
              <c:f>'behavior analysis'!$AI$12:$AI$15</c:f>
              <c:numCache>
                <c:formatCode>0.00%</c:formatCode>
                <c:ptCount val="3"/>
                <c:pt idx="0">
                  <c:v>2.6172300981461286E-2</c:v>
                </c:pt>
                <c:pt idx="1">
                  <c:v>2.2900763358778626E-2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6-1697-481F-81D5-53349E796CB7}"/>
            </c:ext>
          </c:extLst>
        </c:ser>
        <c:ser>
          <c:idx val="20"/>
          <c:order val="20"/>
          <c:tx>
            <c:strRef>
              <c:f>'behavior analysis'!$AJ$10:$AJ$11</c:f>
              <c:strCache>
                <c:ptCount val="1"/>
                <c:pt idx="0">
                  <c:v>Travel &amp; Leisure</c:v>
                </c:pt>
              </c:strCache>
            </c:strRef>
          </c:tx>
          <c:spPr>
            <a:solidFill>
              <a:srgbClr val="57811B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'behavior analysis'!$O$12:$O$15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Non-binary</c:v>
                </c:pt>
              </c:strCache>
            </c:strRef>
          </c:cat>
          <c:val>
            <c:numRef>
              <c:f>'behavior analysis'!$AJ$12:$AJ$15</c:f>
              <c:numCache>
                <c:formatCode>0.00%</c:formatCode>
                <c:ptCount val="3"/>
                <c:pt idx="0">
                  <c:v>3.162486368593239E-2</c:v>
                </c:pt>
                <c:pt idx="1">
                  <c:v>4.0348964013086151E-2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8-1697-481F-81D5-53349E796CB7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2011219975"/>
        <c:axId val="2011230215"/>
      </c:barChart>
      <c:catAx>
        <c:axId val="20112199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1230215"/>
        <c:crosses val="autoZero"/>
        <c:auto val="1"/>
        <c:lblAlgn val="ctr"/>
        <c:lblOffset val="100"/>
        <c:noMultiLvlLbl val="0"/>
      </c:catAx>
      <c:valAx>
        <c:axId val="2011230215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crossAx val="20112199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[The Excel project dataset - Copy.xlsx]behavior analysis!PivotTable12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distribution of discount sensitivity by Age and Gender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'behavior analysis'!$J$2:$J$3</c:f>
              <c:strCache>
                <c:ptCount val="1"/>
                <c:pt idx="0">
                  <c:v>Not Sensitive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'behavior analysis'!$H$4:$I$20</c:f>
              <c:multiLvlStrCache>
                <c:ptCount val="12"/>
                <c:lvl>
                  <c:pt idx="0">
                    <c:v>Female</c:v>
                  </c:pt>
                  <c:pt idx="1">
                    <c:v>Male</c:v>
                  </c:pt>
                  <c:pt idx="2">
                    <c:v>Non-binary</c:v>
                  </c:pt>
                  <c:pt idx="3">
                    <c:v>Female</c:v>
                  </c:pt>
                  <c:pt idx="4">
                    <c:v>Male</c:v>
                  </c:pt>
                  <c:pt idx="5">
                    <c:v>Non-binary</c:v>
                  </c:pt>
                  <c:pt idx="6">
                    <c:v>Female</c:v>
                  </c:pt>
                  <c:pt idx="7">
                    <c:v>Male</c:v>
                  </c:pt>
                  <c:pt idx="8">
                    <c:v>Non-binary</c:v>
                  </c:pt>
                  <c:pt idx="9">
                    <c:v>Female</c:v>
                  </c:pt>
                  <c:pt idx="10">
                    <c:v>Male</c:v>
                  </c:pt>
                  <c:pt idx="11">
                    <c:v>Non-binary</c:v>
                  </c:pt>
                </c:lvl>
                <c:lvl>
                  <c:pt idx="0">
                    <c:v>18-25</c:v>
                  </c:pt>
                  <c:pt idx="3">
                    <c:v>26-35</c:v>
                  </c:pt>
                  <c:pt idx="6">
                    <c:v>36-44</c:v>
                  </c:pt>
                  <c:pt idx="9">
                    <c:v>45-54</c:v>
                  </c:pt>
                </c:lvl>
              </c:multiLvlStrCache>
            </c:multiLvlStrRef>
          </c:cat>
          <c:val>
            <c:numRef>
              <c:f>'behavior analysis'!$J$4:$J$20</c:f>
              <c:numCache>
                <c:formatCode>0.00%</c:formatCode>
                <c:ptCount val="12"/>
                <c:pt idx="0">
                  <c:v>3.5986913849509271E-2</c:v>
                </c:pt>
                <c:pt idx="1">
                  <c:v>3.3805888767720831E-2</c:v>
                </c:pt>
                <c:pt idx="2">
                  <c:v>0</c:v>
                </c:pt>
                <c:pt idx="3">
                  <c:v>4.9073064340239912E-2</c:v>
                </c:pt>
                <c:pt idx="4">
                  <c:v>5.5616139585605233E-2</c:v>
                </c:pt>
                <c:pt idx="5">
                  <c:v>4.3620501635768813E-3</c:v>
                </c:pt>
                <c:pt idx="6">
                  <c:v>5.5616139585605233E-2</c:v>
                </c:pt>
                <c:pt idx="7">
                  <c:v>4.6892039258451472E-2</c:v>
                </c:pt>
                <c:pt idx="8">
                  <c:v>1.0905125408942203E-3</c:v>
                </c:pt>
                <c:pt idx="9">
                  <c:v>1.9629225736095966E-2</c:v>
                </c:pt>
                <c:pt idx="10">
                  <c:v>2.3991275899672846E-2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E6C-4C33-A31E-DACF5191970C}"/>
            </c:ext>
          </c:extLst>
        </c:ser>
        <c:ser>
          <c:idx val="1"/>
          <c:order val="1"/>
          <c:tx>
            <c:strRef>
              <c:f>'behavior analysis'!$K$2:$K$3</c:f>
              <c:strCache>
                <c:ptCount val="1"/>
                <c:pt idx="0">
                  <c:v>Somewhat Sensitive</c:v>
                </c:pt>
              </c:strCache>
            </c:strRef>
          </c:tx>
          <c:spPr>
            <a:solidFill>
              <a:srgbClr val="E3008C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'behavior analysis'!$H$4:$I$20</c:f>
              <c:multiLvlStrCache>
                <c:ptCount val="12"/>
                <c:lvl>
                  <c:pt idx="0">
                    <c:v>Female</c:v>
                  </c:pt>
                  <c:pt idx="1">
                    <c:v>Male</c:v>
                  </c:pt>
                  <c:pt idx="2">
                    <c:v>Non-binary</c:v>
                  </c:pt>
                  <c:pt idx="3">
                    <c:v>Female</c:v>
                  </c:pt>
                  <c:pt idx="4">
                    <c:v>Male</c:v>
                  </c:pt>
                  <c:pt idx="5">
                    <c:v>Non-binary</c:v>
                  </c:pt>
                  <c:pt idx="6">
                    <c:v>Female</c:v>
                  </c:pt>
                  <c:pt idx="7">
                    <c:v>Male</c:v>
                  </c:pt>
                  <c:pt idx="8">
                    <c:v>Non-binary</c:v>
                  </c:pt>
                  <c:pt idx="9">
                    <c:v>Female</c:v>
                  </c:pt>
                  <c:pt idx="10">
                    <c:v>Male</c:v>
                  </c:pt>
                  <c:pt idx="11">
                    <c:v>Non-binary</c:v>
                  </c:pt>
                </c:lvl>
                <c:lvl>
                  <c:pt idx="0">
                    <c:v>18-25</c:v>
                  </c:pt>
                  <c:pt idx="3">
                    <c:v>26-35</c:v>
                  </c:pt>
                  <c:pt idx="6">
                    <c:v>36-44</c:v>
                  </c:pt>
                  <c:pt idx="9">
                    <c:v>45-54</c:v>
                  </c:pt>
                </c:lvl>
              </c:multiLvlStrCache>
            </c:multiLvlStrRef>
          </c:cat>
          <c:val>
            <c:numRef>
              <c:f>'behavior analysis'!$K$4:$K$20</c:f>
              <c:numCache>
                <c:formatCode>0.00%</c:formatCode>
                <c:ptCount val="12"/>
                <c:pt idx="0">
                  <c:v>3.4896401308615051E-2</c:v>
                </c:pt>
                <c:pt idx="1">
                  <c:v>2.9443838604143947E-2</c:v>
                </c:pt>
                <c:pt idx="2">
                  <c:v>3.2715376226826608E-3</c:v>
                </c:pt>
                <c:pt idx="3">
                  <c:v>4.5801526717557252E-2</c:v>
                </c:pt>
                <c:pt idx="4">
                  <c:v>5.0163576881134132E-2</c:v>
                </c:pt>
                <c:pt idx="5">
                  <c:v>1.0905125408942203E-3</c:v>
                </c:pt>
                <c:pt idx="6">
                  <c:v>3.8167938931297711E-2</c:v>
                </c:pt>
                <c:pt idx="7">
                  <c:v>4.5801526717557252E-2</c:v>
                </c:pt>
                <c:pt idx="8">
                  <c:v>2.1810250817884407E-3</c:v>
                </c:pt>
                <c:pt idx="9">
                  <c:v>2.8353326063249727E-2</c:v>
                </c:pt>
                <c:pt idx="10">
                  <c:v>4.2529989094874592E-2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E6C-4C33-A31E-DACF5191970C}"/>
            </c:ext>
          </c:extLst>
        </c:ser>
        <c:ser>
          <c:idx val="2"/>
          <c:order val="2"/>
          <c:tx>
            <c:strRef>
              <c:f>'behavior analysis'!$L$2:$L$3</c:f>
              <c:strCache>
                <c:ptCount val="1"/>
                <c:pt idx="0">
                  <c:v>Very Sensitive</c:v>
                </c:pt>
              </c:strCache>
            </c:strRef>
          </c:tx>
          <c:spPr>
            <a:solidFill>
              <a:srgbClr val="2AA0A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'behavior analysis'!$H$4:$I$20</c:f>
              <c:multiLvlStrCache>
                <c:ptCount val="12"/>
                <c:lvl>
                  <c:pt idx="0">
                    <c:v>Female</c:v>
                  </c:pt>
                  <c:pt idx="1">
                    <c:v>Male</c:v>
                  </c:pt>
                  <c:pt idx="2">
                    <c:v>Non-binary</c:v>
                  </c:pt>
                  <c:pt idx="3">
                    <c:v>Female</c:v>
                  </c:pt>
                  <c:pt idx="4">
                    <c:v>Male</c:v>
                  </c:pt>
                  <c:pt idx="5">
                    <c:v>Non-binary</c:v>
                  </c:pt>
                  <c:pt idx="6">
                    <c:v>Female</c:v>
                  </c:pt>
                  <c:pt idx="7">
                    <c:v>Male</c:v>
                  </c:pt>
                  <c:pt idx="8">
                    <c:v>Non-binary</c:v>
                  </c:pt>
                  <c:pt idx="9">
                    <c:v>Female</c:v>
                  </c:pt>
                  <c:pt idx="10">
                    <c:v>Male</c:v>
                  </c:pt>
                  <c:pt idx="11">
                    <c:v>Non-binary</c:v>
                  </c:pt>
                </c:lvl>
                <c:lvl>
                  <c:pt idx="0">
                    <c:v>18-25</c:v>
                  </c:pt>
                  <c:pt idx="3">
                    <c:v>26-35</c:v>
                  </c:pt>
                  <c:pt idx="6">
                    <c:v>36-44</c:v>
                  </c:pt>
                  <c:pt idx="9">
                    <c:v>45-54</c:v>
                  </c:pt>
                </c:lvl>
              </c:multiLvlStrCache>
            </c:multiLvlStrRef>
          </c:cat>
          <c:val>
            <c:numRef>
              <c:f>'behavior analysis'!$L$4:$L$20</c:f>
              <c:numCache>
                <c:formatCode>0.00%</c:formatCode>
                <c:ptCount val="12"/>
                <c:pt idx="0">
                  <c:v>4.4711014176663032E-2</c:v>
                </c:pt>
                <c:pt idx="1">
                  <c:v>3.3805888767720831E-2</c:v>
                </c:pt>
                <c:pt idx="2">
                  <c:v>1.0905125408942203E-3</c:v>
                </c:pt>
                <c:pt idx="3">
                  <c:v>5.4525627044711013E-2</c:v>
                </c:pt>
                <c:pt idx="4">
                  <c:v>5.1254089422028352E-2</c:v>
                </c:pt>
                <c:pt idx="5">
                  <c:v>0</c:v>
                </c:pt>
                <c:pt idx="6">
                  <c:v>5.1254089422028352E-2</c:v>
                </c:pt>
                <c:pt idx="7">
                  <c:v>4.6892039258451472E-2</c:v>
                </c:pt>
                <c:pt idx="8">
                  <c:v>1.0905125408942203E-3</c:v>
                </c:pt>
                <c:pt idx="9">
                  <c:v>3.4896401308615051E-2</c:v>
                </c:pt>
                <c:pt idx="10">
                  <c:v>2.9443838604143947E-2</c:v>
                </c:pt>
                <c:pt idx="11">
                  <c:v>3.2715376226826608E-3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E6C-4C33-A31E-DACF5191970C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633142279"/>
        <c:axId val="1681675783"/>
      </c:barChart>
      <c:catAx>
        <c:axId val="163314227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1675783"/>
        <c:crosses val="autoZero"/>
        <c:auto val="1"/>
        <c:lblAlgn val="ctr"/>
        <c:lblOffset val="100"/>
        <c:noMultiLvlLbl val="0"/>
      </c:catAx>
      <c:valAx>
        <c:axId val="1681675783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crossAx val="16331422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[The Excel project dataset - Copy.xlsx]behavior analysis!PivotTable11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distribution of social media influence by age and gender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'behavior analysis'!$C$3:$C$4</c:f>
              <c:strCache>
                <c:ptCount val="1"/>
                <c:pt idx="0">
                  <c:v>High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'behavior analysis'!$A$5:$B$21</c:f>
              <c:multiLvlStrCache>
                <c:ptCount val="12"/>
                <c:lvl>
                  <c:pt idx="0">
                    <c:v>Female</c:v>
                  </c:pt>
                  <c:pt idx="1">
                    <c:v>Male</c:v>
                  </c:pt>
                  <c:pt idx="2">
                    <c:v>Non-binary</c:v>
                  </c:pt>
                  <c:pt idx="3">
                    <c:v>Female</c:v>
                  </c:pt>
                  <c:pt idx="4">
                    <c:v>Male</c:v>
                  </c:pt>
                  <c:pt idx="5">
                    <c:v>Non-binary</c:v>
                  </c:pt>
                  <c:pt idx="6">
                    <c:v>Female</c:v>
                  </c:pt>
                  <c:pt idx="7">
                    <c:v>Male</c:v>
                  </c:pt>
                  <c:pt idx="8">
                    <c:v>Non-binary</c:v>
                  </c:pt>
                  <c:pt idx="9">
                    <c:v>Female</c:v>
                  </c:pt>
                  <c:pt idx="10">
                    <c:v>Male</c:v>
                  </c:pt>
                  <c:pt idx="11">
                    <c:v>Non-binary</c:v>
                  </c:pt>
                </c:lvl>
                <c:lvl>
                  <c:pt idx="0">
                    <c:v>26-35</c:v>
                  </c:pt>
                  <c:pt idx="3">
                    <c:v>36-44</c:v>
                  </c:pt>
                  <c:pt idx="6">
                    <c:v>18-25</c:v>
                  </c:pt>
                  <c:pt idx="9">
                    <c:v>45-54</c:v>
                  </c:pt>
                </c:lvl>
              </c:multiLvlStrCache>
            </c:multiLvlStrRef>
          </c:cat>
          <c:val>
            <c:numRef>
              <c:f>'behavior analysis'!$C$5:$C$21</c:f>
              <c:numCache>
                <c:formatCode>0.00%</c:formatCode>
                <c:ptCount val="12"/>
                <c:pt idx="0">
                  <c:v>4.7982551799345692E-2</c:v>
                </c:pt>
                <c:pt idx="1">
                  <c:v>4.5801526717557252E-2</c:v>
                </c:pt>
                <c:pt idx="2">
                  <c:v>1.0905125408942203E-3</c:v>
                </c:pt>
                <c:pt idx="3">
                  <c:v>3.5986913849509271E-2</c:v>
                </c:pt>
                <c:pt idx="4">
                  <c:v>3.4896401308615051E-2</c:v>
                </c:pt>
                <c:pt idx="5">
                  <c:v>1.0905125408942203E-3</c:v>
                </c:pt>
                <c:pt idx="6">
                  <c:v>2.0719738276990186E-2</c:v>
                </c:pt>
                <c:pt idx="7">
                  <c:v>3.0534351145038167E-2</c:v>
                </c:pt>
                <c:pt idx="8">
                  <c:v>0</c:v>
                </c:pt>
                <c:pt idx="9">
                  <c:v>1.9629225736095966E-2</c:v>
                </c:pt>
                <c:pt idx="10">
                  <c:v>2.8353326063249727E-2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A9-4373-9B8A-141A58E50A15}"/>
            </c:ext>
          </c:extLst>
        </c:ser>
        <c:ser>
          <c:idx val="1"/>
          <c:order val="1"/>
          <c:tx>
            <c:strRef>
              <c:f>'behavior analysis'!$D$3:$D$4</c:f>
              <c:strCache>
                <c:ptCount val="1"/>
                <c:pt idx="0">
                  <c:v>Low</c:v>
                </c:pt>
              </c:strCache>
            </c:strRef>
          </c:tx>
          <c:spPr>
            <a:solidFill>
              <a:srgbClr val="E3008C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'behavior analysis'!$A$5:$B$21</c:f>
              <c:multiLvlStrCache>
                <c:ptCount val="12"/>
                <c:lvl>
                  <c:pt idx="0">
                    <c:v>Female</c:v>
                  </c:pt>
                  <c:pt idx="1">
                    <c:v>Male</c:v>
                  </c:pt>
                  <c:pt idx="2">
                    <c:v>Non-binary</c:v>
                  </c:pt>
                  <c:pt idx="3">
                    <c:v>Female</c:v>
                  </c:pt>
                  <c:pt idx="4">
                    <c:v>Male</c:v>
                  </c:pt>
                  <c:pt idx="5">
                    <c:v>Non-binary</c:v>
                  </c:pt>
                  <c:pt idx="6">
                    <c:v>Female</c:v>
                  </c:pt>
                  <c:pt idx="7">
                    <c:v>Male</c:v>
                  </c:pt>
                  <c:pt idx="8">
                    <c:v>Non-binary</c:v>
                  </c:pt>
                  <c:pt idx="9">
                    <c:v>Female</c:v>
                  </c:pt>
                  <c:pt idx="10">
                    <c:v>Male</c:v>
                  </c:pt>
                  <c:pt idx="11">
                    <c:v>Non-binary</c:v>
                  </c:pt>
                </c:lvl>
                <c:lvl>
                  <c:pt idx="0">
                    <c:v>26-35</c:v>
                  </c:pt>
                  <c:pt idx="3">
                    <c:v>36-44</c:v>
                  </c:pt>
                  <c:pt idx="6">
                    <c:v>18-25</c:v>
                  </c:pt>
                  <c:pt idx="9">
                    <c:v>45-54</c:v>
                  </c:pt>
                </c:lvl>
              </c:multiLvlStrCache>
            </c:multiLvlStrRef>
          </c:cat>
          <c:val>
            <c:numRef>
              <c:f>'behavior analysis'!$D$5:$D$21</c:f>
              <c:numCache>
                <c:formatCode>0.00%</c:formatCode>
                <c:ptCount val="12"/>
                <c:pt idx="0">
                  <c:v>3.0534351145038167E-2</c:v>
                </c:pt>
                <c:pt idx="1">
                  <c:v>3.9258451472191931E-2</c:v>
                </c:pt>
                <c:pt idx="2">
                  <c:v>1.0905125408942203E-3</c:v>
                </c:pt>
                <c:pt idx="3">
                  <c:v>3.3805888767720831E-2</c:v>
                </c:pt>
                <c:pt idx="4">
                  <c:v>4.0348964013086151E-2</c:v>
                </c:pt>
                <c:pt idx="5">
                  <c:v>1.0905125408942203E-3</c:v>
                </c:pt>
                <c:pt idx="6">
                  <c:v>3.7077426390403491E-2</c:v>
                </c:pt>
                <c:pt idx="7">
                  <c:v>2.7262813522355506E-2</c:v>
                </c:pt>
                <c:pt idx="8">
                  <c:v>1.0905125408942203E-3</c:v>
                </c:pt>
                <c:pt idx="9">
                  <c:v>1.5267175572519083E-2</c:v>
                </c:pt>
                <c:pt idx="10">
                  <c:v>2.6172300981461286E-2</c:v>
                </c:pt>
                <c:pt idx="11">
                  <c:v>1.0905125408942203E-3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5A9-4373-9B8A-141A58E50A15}"/>
            </c:ext>
          </c:extLst>
        </c:ser>
        <c:ser>
          <c:idx val="2"/>
          <c:order val="2"/>
          <c:tx>
            <c:strRef>
              <c:f>'behavior analysis'!$E$3:$E$4</c:f>
              <c:strCache>
                <c:ptCount val="1"/>
                <c:pt idx="0">
                  <c:v>Medium</c:v>
                </c:pt>
              </c:strCache>
            </c:strRef>
          </c:tx>
          <c:spPr>
            <a:solidFill>
              <a:srgbClr val="2AA0A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'behavior analysis'!$A$5:$B$21</c:f>
              <c:multiLvlStrCache>
                <c:ptCount val="12"/>
                <c:lvl>
                  <c:pt idx="0">
                    <c:v>Female</c:v>
                  </c:pt>
                  <c:pt idx="1">
                    <c:v>Male</c:v>
                  </c:pt>
                  <c:pt idx="2">
                    <c:v>Non-binary</c:v>
                  </c:pt>
                  <c:pt idx="3">
                    <c:v>Female</c:v>
                  </c:pt>
                  <c:pt idx="4">
                    <c:v>Male</c:v>
                  </c:pt>
                  <c:pt idx="5">
                    <c:v>Non-binary</c:v>
                  </c:pt>
                  <c:pt idx="6">
                    <c:v>Female</c:v>
                  </c:pt>
                  <c:pt idx="7">
                    <c:v>Male</c:v>
                  </c:pt>
                  <c:pt idx="8">
                    <c:v>Non-binary</c:v>
                  </c:pt>
                  <c:pt idx="9">
                    <c:v>Female</c:v>
                  </c:pt>
                  <c:pt idx="10">
                    <c:v>Male</c:v>
                  </c:pt>
                  <c:pt idx="11">
                    <c:v>Non-binary</c:v>
                  </c:pt>
                </c:lvl>
                <c:lvl>
                  <c:pt idx="0">
                    <c:v>26-35</c:v>
                  </c:pt>
                  <c:pt idx="3">
                    <c:v>36-44</c:v>
                  </c:pt>
                  <c:pt idx="6">
                    <c:v>18-25</c:v>
                  </c:pt>
                  <c:pt idx="9">
                    <c:v>45-54</c:v>
                  </c:pt>
                </c:lvl>
              </c:multiLvlStrCache>
            </c:multiLvlStrRef>
          </c:cat>
          <c:val>
            <c:numRef>
              <c:f>'behavior analysis'!$E$5:$E$21</c:f>
              <c:numCache>
                <c:formatCode>0.00%</c:formatCode>
                <c:ptCount val="12"/>
                <c:pt idx="0">
                  <c:v>4.0348964013086151E-2</c:v>
                </c:pt>
                <c:pt idx="1">
                  <c:v>4.0348964013086151E-2</c:v>
                </c:pt>
                <c:pt idx="2">
                  <c:v>2.1810250817884407E-3</c:v>
                </c:pt>
                <c:pt idx="3">
                  <c:v>3.4896401308615051E-2</c:v>
                </c:pt>
                <c:pt idx="4">
                  <c:v>2.8353326063249727E-2</c:v>
                </c:pt>
                <c:pt idx="5">
                  <c:v>1.0905125408942203E-3</c:v>
                </c:pt>
                <c:pt idx="6">
                  <c:v>2.7262813522355506E-2</c:v>
                </c:pt>
                <c:pt idx="7">
                  <c:v>1.4176663031624863E-2</c:v>
                </c:pt>
                <c:pt idx="8">
                  <c:v>2.1810250817884407E-3</c:v>
                </c:pt>
                <c:pt idx="9">
                  <c:v>1.8538713195201745E-2</c:v>
                </c:pt>
                <c:pt idx="10">
                  <c:v>2.3991275899672846E-2</c:v>
                </c:pt>
                <c:pt idx="11">
                  <c:v>2.1810250817884407E-3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5A9-4373-9B8A-141A58E50A15}"/>
            </c:ext>
          </c:extLst>
        </c:ser>
        <c:ser>
          <c:idx val="3"/>
          <c:order val="3"/>
          <c:tx>
            <c:strRef>
              <c:f>'behavior analysis'!$F$3:$F$4</c:f>
              <c:strCache>
                <c:ptCount val="1"/>
                <c:pt idx="0">
                  <c:v>None</c:v>
                </c:pt>
              </c:strCache>
            </c:strRef>
          </c:tx>
          <c:spPr>
            <a:solidFill>
              <a:srgbClr val="9373C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'behavior analysis'!$A$5:$B$21</c:f>
              <c:multiLvlStrCache>
                <c:ptCount val="12"/>
                <c:lvl>
                  <c:pt idx="0">
                    <c:v>Female</c:v>
                  </c:pt>
                  <c:pt idx="1">
                    <c:v>Male</c:v>
                  </c:pt>
                  <c:pt idx="2">
                    <c:v>Non-binary</c:v>
                  </c:pt>
                  <c:pt idx="3">
                    <c:v>Female</c:v>
                  </c:pt>
                  <c:pt idx="4">
                    <c:v>Male</c:v>
                  </c:pt>
                  <c:pt idx="5">
                    <c:v>Non-binary</c:v>
                  </c:pt>
                  <c:pt idx="6">
                    <c:v>Female</c:v>
                  </c:pt>
                  <c:pt idx="7">
                    <c:v>Male</c:v>
                  </c:pt>
                  <c:pt idx="8">
                    <c:v>Non-binary</c:v>
                  </c:pt>
                  <c:pt idx="9">
                    <c:v>Female</c:v>
                  </c:pt>
                  <c:pt idx="10">
                    <c:v>Male</c:v>
                  </c:pt>
                  <c:pt idx="11">
                    <c:v>Non-binary</c:v>
                  </c:pt>
                </c:lvl>
                <c:lvl>
                  <c:pt idx="0">
                    <c:v>26-35</c:v>
                  </c:pt>
                  <c:pt idx="3">
                    <c:v>36-44</c:v>
                  </c:pt>
                  <c:pt idx="6">
                    <c:v>18-25</c:v>
                  </c:pt>
                  <c:pt idx="9">
                    <c:v>45-54</c:v>
                  </c:pt>
                </c:lvl>
              </c:multiLvlStrCache>
            </c:multiLvlStrRef>
          </c:cat>
          <c:val>
            <c:numRef>
              <c:f>'behavior analysis'!$F$5:$F$21</c:f>
              <c:numCache>
                <c:formatCode>0.00%</c:formatCode>
                <c:ptCount val="12"/>
                <c:pt idx="0">
                  <c:v>3.0534351145038167E-2</c:v>
                </c:pt>
                <c:pt idx="1">
                  <c:v>3.162486368593239E-2</c:v>
                </c:pt>
                <c:pt idx="2">
                  <c:v>1.0905125408942203E-3</c:v>
                </c:pt>
                <c:pt idx="3">
                  <c:v>4.0348964013086151E-2</c:v>
                </c:pt>
                <c:pt idx="4">
                  <c:v>3.5986913849509271E-2</c:v>
                </c:pt>
                <c:pt idx="5">
                  <c:v>1.0905125408942203E-3</c:v>
                </c:pt>
                <c:pt idx="6">
                  <c:v>3.0534351145038167E-2</c:v>
                </c:pt>
                <c:pt idx="7">
                  <c:v>2.5081788440567066E-2</c:v>
                </c:pt>
                <c:pt idx="8">
                  <c:v>1.0905125408942203E-3</c:v>
                </c:pt>
                <c:pt idx="9">
                  <c:v>2.9443838604143947E-2</c:v>
                </c:pt>
                <c:pt idx="10">
                  <c:v>1.7448200654307525E-2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5A9-4373-9B8A-141A58E50A15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982246407"/>
        <c:axId val="1982248455"/>
      </c:barChart>
      <c:catAx>
        <c:axId val="1982246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2248455"/>
        <c:crosses val="autoZero"/>
        <c:auto val="1"/>
        <c:lblAlgn val="ctr"/>
        <c:lblOffset val="100"/>
        <c:noMultiLvlLbl val="0"/>
      </c:catAx>
      <c:valAx>
        <c:axId val="1982248455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crossAx val="1982246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23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24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25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26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27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28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29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30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31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32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33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34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35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36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37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38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39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40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41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42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chart" Target="../charts/chart13.xml"/><Relationship Id="rId18" Type="http://schemas.openxmlformats.org/officeDocument/2006/relationships/chart" Target="../charts/chart18.xml"/><Relationship Id="rId26" Type="http://schemas.openxmlformats.org/officeDocument/2006/relationships/image" Target="../media/image6.png"/><Relationship Id="rId3" Type="http://schemas.openxmlformats.org/officeDocument/2006/relationships/chart" Target="../charts/chart3.xml"/><Relationship Id="rId21" Type="http://schemas.openxmlformats.org/officeDocument/2006/relationships/image" Target="../media/image1.png"/><Relationship Id="rId34" Type="http://schemas.openxmlformats.org/officeDocument/2006/relationships/image" Target="../media/image14.png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5" Type="http://schemas.openxmlformats.org/officeDocument/2006/relationships/image" Target="../media/image5.png"/><Relationship Id="rId33" Type="http://schemas.openxmlformats.org/officeDocument/2006/relationships/image" Target="../media/image13.png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20" Type="http://schemas.openxmlformats.org/officeDocument/2006/relationships/chart" Target="../charts/chart20.xml"/><Relationship Id="rId29" Type="http://schemas.openxmlformats.org/officeDocument/2006/relationships/image" Target="../media/image9.png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24" Type="http://schemas.openxmlformats.org/officeDocument/2006/relationships/image" Target="../media/image4.png"/><Relationship Id="rId32" Type="http://schemas.openxmlformats.org/officeDocument/2006/relationships/image" Target="../media/image12.png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23" Type="http://schemas.openxmlformats.org/officeDocument/2006/relationships/image" Target="../media/image3.png"/><Relationship Id="rId28" Type="http://schemas.openxmlformats.org/officeDocument/2006/relationships/image" Target="../media/image8.png"/><Relationship Id="rId10" Type="http://schemas.openxmlformats.org/officeDocument/2006/relationships/chart" Target="../charts/chart10.xml"/><Relationship Id="rId19" Type="http://schemas.openxmlformats.org/officeDocument/2006/relationships/chart" Target="../charts/chart19.xml"/><Relationship Id="rId31" Type="http://schemas.openxmlformats.org/officeDocument/2006/relationships/image" Target="../media/image11.png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Relationship Id="rId22" Type="http://schemas.openxmlformats.org/officeDocument/2006/relationships/image" Target="../media/image2.png"/><Relationship Id="rId27" Type="http://schemas.openxmlformats.org/officeDocument/2006/relationships/image" Target="../media/image7.png"/><Relationship Id="rId30" Type="http://schemas.openxmlformats.org/officeDocument/2006/relationships/image" Target="../media/image10.png"/><Relationship Id="rId35" Type="http://schemas.openxmlformats.org/officeDocument/2006/relationships/chart" Target="../charts/chart21.xml"/><Relationship Id="rId8" Type="http://schemas.openxmlformats.org/officeDocument/2006/relationships/chart" Target="../charts/chart8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9.xml"/><Relationship Id="rId1" Type="http://schemas.openxmlformats.org/officeDocument/2006/relationships/chart" Target="../charts/chart2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0.xml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3.xml"/><Relationship Id="rId2" Type="http://schemas.openxmlformats.org/officeDocument/2006/relationships/chart" Target="../charts/chart32.xml"/><Relationship Id="rId1" Type="http://schemas.openxmlformats.org/officeDocument/2006/relationships/chart" Target="../charts/chart31.xml"/><Relationship Id="rId6" Type="http://schemas.openxmlformats.org/officeDocument/2006/relationships/chart" Target="../charts/chart36.xml"/><Relationship Id="rId5" Type="http://schemas.openxmlformats.org/officeDocument/2006/relationships/chart" Target="../charts/chart35.xml"/><Relationship Id="rId4" Type="http://schemas.openxmlformats.org/officeDocument/2006/relationships/chart" Target="../charts/chart34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7.xml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0.xml"/><Relationship Id="rId2" Type="http://schemas.openxmlformats.org/officeDocument/2006/relationships/chart" Target="../charts/chart39.xml"/><Relationship Id="rId1" Type="http://schemas.openxmlformats.org/officeDocument/2006/relationships/chart" Target="../charts/chart38.xml"/><Relationship Id="rId5" Type="http://schemas.openxmlformats.org/officeDocument/2006/relationships/chart" Target="../charts/chart42.xml"/><Relationship Id="rId4" Type="http://schemas.openxmlformats.org/officeDocument/2006/relationships/chart" Target="../charts/chart4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85725</xdr:colOff>
      <xdr:row>9</xdr:row>
      <xdr:rowOff>161925</xdr:rowOff>
    </xdr:from>
    <xdr:to>
      <xdr:col>4</xdr:col>
      <xdr:colOff>1276350</xdr:colOff>
      <xdr:row>28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C964A3D-7630-45BB-881A-44B7D099BE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66675</xdr:colOff>
      <xdr:row>75</xdr:row>
      <xdr:rowOff>180975</xdr:rowOff>
    </xdr:from>
    <xdr:to>
      <xdr:col>10</xdr:col>
      <xdr:colOff>0</xdr:colOff>
      <xdr:row>102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E435287-ECC7-4C63-BC59-F63387120D71}"/>
            </a:ext>
            <a:ext uri="{147F2762-F138-4A5C-976F-8EAC2B608ADB}">
              <a16:predDERef xmlns:a16="http://schemas.microsoft.com/office/drawing/2014/main" pred="{7C964A3D-7630-45BB-881A-44B7D099BE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38100</xdr:colOff>
      <xdr:row>75</xdr:row>
      <xdr:rowOff>171450</xdr:rowOff>
    </xdr:from>
    <xdr:to>
      <xdr:col>16</xdr:col>
      <xdr:colOff>704850</xdr:colOff>
      <xdr:row>102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A34C14F-7E94-4BA2-9896-75F724EC54AA}"/>
            </a:ext>
            <a:ext uri="{147F2762-F138-4A5C-976F-8EAC2B608ADB}">
              <a16:predDERef xmlns:a16="http://schemas.microsoft.com/office/drawing/2014/main" pred="{5E435287-ECC7-4C63-BC59-F63387120D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2562225</xdr:colOff>
      <xdr:row>104</xdr:row>
      <xdr:rowOff>171450</xdr:rowOff>
    </xdr:from>
    <xdr:to>
      <xdr:col>23</xdr:col>
      <xdr:colOff>361950</xdr:colOff>
      <xdr:row>145</xdr:row>
      <xdr:rowOff>142875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F4E3AC4-092A-4A03-A74A-F13C6FF666E5}"/>
            </a:ext>
            <a:ext uri="{147F2762-F138-4A5C-976F-8EAC2B608ADB}">
              <a16:predDERef xmlns:a16="http://schemas.microsoft.com/office/drawing/2014/main" pred="{DA34C14F-7E94-4BA2-9896-75F724EC54A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1866900</xdr:colOff>
      <xdr:row>104</xdr:row>
      <xdr:rowOff>161925</xdr:rowOff>
    </xdr:from>
    <xdr:to>
      <xdr:col>14</xdr:col>
      <xdr:colOff>2457450</xdr:colOff>
      <xdr:row>145</xdr:row>
      <xdr:rowOff>114300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B60A56A-4C83-436D-99C2-AFEBF54A3C08}"/>
            </a:ext>
            <a:ext uri="{147F2762-F138-4A5C-976F-8EAC2B608ADB}">
              <a16:predDERef xmlns:a16="http://schemas.microsoft.com/office/drawing/2014/main" pred="{4F4E3AC4-092A-4A03-A74A-F13C6FF666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85725</xdr:colOff>
      <xdr:row>104</xdr:row>
      <xdr:rowOff>171450</xdr:rowOff>
    </xdr:from>
    <xdr:to>
      <xdr:col>6</xdr:col>
      <xdr:colOff>1790700</xdr:colOff>
      <xdr:row>145</xdr:row>
      <xdr:rowOff>142875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EDE48FE6-75FF-4D6C-9660-59C91C9C3766}"/>
            </a:ext>
            <a:ext uri="{147F2762-F138-4A5C-976F-8EAC2B608ADB}">
              <a16:predDERef xmlns:a16="http://schemas.microsoft.com/office/drawing/2014/main" pred="{EB60A56A-4C83-436D-99C2-AFEBF54A3C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7</xdr:col>
      <xdr:colOff>228600</xdr:colOff>
      <xdr:row>30</xdr:row>
      <xdr:rowOff>161925</xdr:rowOff>
    </xdr:from>
    <xdr:to>
      <xdr:col>10</xdr:col>
      <xdr:colOff>1857375</xdr:colOff>
      <xdr:row>52</xdr:row>
      <xdr:rowOff>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95FC8E1-87B8-4D62-A658-9EB659C05A7E}"/>
            </a:ext>
            <a:ext uri="{147F2762-F138-4A5C-976F-8EAC2B608ADB}">
              <a16:predDERef xmlns:a16="http://schemas.microsoft.com/office/drawing/2014/main" pred="{EDE48FE6-75FF-4D6C-9660-59C91C9C37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66675</xdr:colOff>
      <xdr:row>30</xdr:row>
      <xdr:rowOff>152400</xdr:rowOff>
    </xdr:from>
    <xdr:to>
      <xdr:col>4</xdr:col>
      <xdr:colOff>2543175</xdr:colOff>
      <xdr:row>52</xdr:row>
      <xdr:rowOff>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674215A3-7F87-4228-A944-D0D4F7602848}"/>
            </a:ext>
            <a:ext uri="{147F2762-F138-4A5C-976F-8EAC2B608ADB}">
              <a16:predDERef xmlns:a16="http://schemas.microsoft.com/office/drawing/2014/main" pred="{095FC8E1-87B8-4D62-A658-9EB659C05A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17</xdr:col>
      <xdr:colOff>381000</xdr:colOff>
      <xdr:row>30</xdr:row>
      <xdr:rowOff>161925</xdr:rowOff>
    </xdr:from>
    <xdr:to>
      <xdr:col>25</xdr:col>
      <xdr:colOff>219075</xdr:colOff>
      <xdr:row>52</xdr:row>
      <xdr:rowOff>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D999E739-7EAB-42E5-9DD4-7638135FCC2F}"/>
            </a:ext>
            <a:ext uri="{147F2762-F138-4A5C-976F-8EAC2B608ADB}">
              <a16:predDERef xmlns:a16="http://schemas.microsoft.com/office/drawing/2014/main" pred="{674215A3-7F87-4228-A944-D0D4F760284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14</xdr:col>
      <xdr:colOff>2571750</xdr:colOff>
      <xdr:row>30</xdr:row>
      <xdr:rowOff>161925</xdr:rowOff>
    </xdr:from>
    <xdr:to>
      <xdr:col>17</xdr:col>
      <xdr:colOff>342900</xdr:colOff>
      <xdr:row>52</xdr:row>
      <xdr:rowOff>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30066E26-FDDE-4291-A640-50052C8BE01B}"/>
            </a:ext>
            <a:ext uri="{147F2762-F138-4A5C-976F-8EAC2B608ADB}">
              <a16:predDERef xmlns:a16="http://schemas.microsoft.com/office/drawing/2014/main" pred="{D999E739-7EAB-42E5-9DD4-7638135FCC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4</xdr:col>
      <xdr:colOff>2590800</xdr:colOff>
      <xdr:row>30</xdr:row>
      <xdr:rowOff>152400</xdr:rowOff>
    </xdr:from>
    <xdr:to>
      <xdr:col>7</xdr:col>
      <xdr:colOff>190500</xdr:colOff>
      <xdr:row>52</xdr:row>
      <xdr:rowOff>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28FB30CF-EC9D-467C-9C57-0C5C5EEFCCD1}"/>
            </a:ext>
            <a:ext uri="{147F2762-F138-4A5C-976F-8EAC2B608ADB}">
              <a16:predDERef xmlns:a16="http://schemas.microsoft.com/office/drawing/2014/main" pred="{30066E26-FDDE-4291-A640-50052C8BE01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10</xdr:col>
      <xdr:colOff>1905000</xdr:colOff>
      <xdr:row>30</xdr:row>
      <xdr:rowOff>161925</xdr:rowOff>
    </xdr:from>
    <xdr:to>
      <xdr:col>14</xdr:col>
      <xdr:colOff>2533650</xdr:colOff>
      <xdr:row>52</xdr:row>
      <xdr:rowOff>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25870AD6-E61D-4457-8342-370E25FA0E97}"/>
            </a:ext>
            <a:ext uri="{147F2762-F138-4A5C-976F-8EAC2B608ADB}">
              <a16:predDERef xmlns:a16="http://schemas.microsoft.com/office/drawing/2014/main" pred="{28FB30CF-EC9D-467C-9C57-0C5C5EEFCCD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0</xdr:colOff>
      <xdr:row>54</xdr:row>
      <xdr:rowOff>133350</xdr:rowOff>
    </xdr:from>
    <xdr:to>
      <xdr:col>6</xdr:col>
      <xdr:colOff>19050</xdr:colOff>
      <xdr:row>72</xdr:row>
      <xdr:rowOff>133350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80D49975-0749-4B64-9354-C687A871B96B}"/>
            </a:ext>
            <a:ext uri="{147F2762-F138-4A5C-976F-8EAC2B608ADB}">
              <a16:predDERef xmlns:a16="http://schemas.microsoft.com/office/drawing/2014/main" pred="{25870AD6-E61D-4457-8342-370E25FA0E9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6</xdr:col>
      <xdr:colOff>85725</xdr:colOff>
      <xdr:row>54</xdr:row>
      <xdr:rowOff>142875</xdr:rowOff>
    </xdr:from>
    <xdr:to>
      <xdr:col>10</xdr:col>
      <xdr:colOff>2333625</xdr:colOff>
      <xdr:row>72</xdr:row>
      <xdr:rowOff>142875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AE958F08-B3E3-444A-8DC8-D9F86F8AF5D2}"/>
            </a:ext>
            <a:ext uri="{147F2762-F138-4A5C-976F-8EAC2B608ADB}">
              <a16:predDERef xmlns:a16="http://schemas.microsoft.com/office/drawing/2014/main" pred="{80D49975-0749-4B64-9354-C687A871B9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10</xdr:col>
      <xdr:colOff>2390775</xdr:colOff>
      <xdr:row>54</xdr:row>
      <xdr:rowOff>133350</xdr:rowOff>
    </xdr:from>
    <xdr:to>
      <xdr:col>15</xdr:col>
      <xdr:colOff>552450</xdr:colOff>
      <xdr:row>72</xdr:row>
      <xdr:rowOff>152400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41D708BF-F5DB-4B88-B8C0-B40A1E76AF7D}"/>
            </a:ext>
            <a:ext uri="{147F2762-F138-4A5C-976F-8EAC2B608ADB}">
              <a16:predDERef xmlns:a16="http://schemas.microsoft.com/office/drawing/2014/main" pred="{AE958F08-B3E3-444A-8DC8-D9F86F8AF5D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4</xdr:col>
      <xdr:colOff>2333625</xdr:colOff>
      <xdr:row>146</xdr:row>
      <xdr:rowOff>9525</xdr:rowOff>
    </xdr:from>
    <xdr:to>
      <xdr:col>10</xdr:col>
      <xdr:colOff>1200150</xdr:colOff>
      <xdr:row>171</xdr:row>
      <xdr:rowOff>66675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F940E778-212B-47B6-BB2D-6D6E2765C888}"/>
            </a:ext>
            <a:ext uri="{147F2762-F138-4A5C-976F-8EAC2B608ADB}">
              <a16:predDERef xmlns:a16="http://schemas.microsoft.com/office/drawing/2014/main" pred="{41D708BF-F5DB-4B88-B8C0-B40A1E76AF7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15</xdr:col>
      <xdr:colOff>342900</xdr:colOff>
      <xdr:row>9</xdr:row>
      <xdr:rowOff>161925</xdr:rowOff>
    </xdr:from>
    <xdr:to>
      <xdr:col>21</xdr:col>
      <xdr:colOff>571500</xdr:colOff>
      <xdr:row>28</xdr:row>
      <xdr:rowOff>0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64C3C8C5-A19A-47EB-9B20-6603E9385275}"/>
            </a:ext>
            <a:ext uri="{147F2762-F138-4A5C-976F-8EAC2B608ADB}">
              <a16:predDERef xmlns:a16="http://schemas.microsoft.com/office/drawing/2014/main" pred="{F940E778-212B-47B6-BB2D-6D6E2765C88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8</xdr:col>
      <xdr:colOff>381000</xdr:colOff>
      <xdr:row>9</xdr:row>
      <xdr:rowOff>152400</xdr:rowOff>
    </xdr:from>
    <xdr:to>
      <xdr:col>12</xdr:col>
      <xdr:colOff>942975</xdr:colOff>
      <xdr:row>28</xdr:row>
      <xdr:rowOff>0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A94B4705-7369-4655-AE23-45F37A1C00B2}"/>
            </a:ext>
            <a:ext uri="{147F2762-F138-4A5C-976F-8EAC2B608ADB}">
              <a16:predDERef xmlns:a16="http://schemas.microsoft.com/office/drawing/2014/main" pred="{64C3C8C5-A19A-47EB-9B20-6603E938527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4</xdr:col>
      <xdr:colOff>1343025</xdr:colOff>
      <xdr:row>9</xdr:row>
      <xdr:rowOff>161925</xdr:rowOff>
    </xdr:from>
    <xdr:to>
      <xdr:col>8</xdr:col>
      <xdr:colOff>257175</xdr:colOff>
      <xdr:row>28</xdr:row>
      <xdr:rowOff>0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1363168A-05F0-4EA1-AAF8-4F79C8B26645}"/>
            </a:ext>
            <a:ext uri="{147F2762-F138-4A5C-976F-8EAC2B608ADB}">
              <a16:predDERef xmlns:a16="http://schemas.microsoft.com/office/drawing/2014/main" pred="{A94B4705-7369-4655-AE23-45F37A1C00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12</xdr:col>
      <xdr:colOff>1000125</xdr:colOff>
      <xdr:row>9</xdr:row>
      <xdr:rowOff>161925</xdr:rowOff>
    </xdr:from>
    <xdr:to>
      <xdr:col>15</xdr:col>
      <xdr:colOff>257175</xdr:colOff>
      <xdr:row>28</xdr:row>
      <xdr:rowOff>0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EB36ED2B-27B2-4846-B013-877B99FBDD40}"/>
            </a:ext>
            <a:ext uri="{147F2762-F138-4A5C-976F-8EAC2B608ADB}">
              <a16:predDERef xmlns:a16="http://schemas.microsoft.com/office/drawing/2014/main" pred="{1363168A-05F0-4EA1-AAF8-4F79C8B266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 editAs="oneCell">
    <xdr:from>
      <xdr:col>0</xdr:col>
      <xdr:colOff>962025</xdr:colOff>
      <xdr:row>1</xdr:row>
      <xdr:rowOff>476250</xdr:rowOff>
    </xdr:from>
    <xdr:to>
      <xdr:col>0</xdr:col>
      <xdr:colOff>1400175</xdr:colOff>
      <xdr:row>3</xdr:row>
      <xdr:rowOff>228600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812D3540-043C-2B5E-362C-D9924035AD82}"/>
            </a:ext>
            <a:ext uri="{147F2762-F138-4A5C-976F-8EAC2B608ADB}">
              <a16:predDERef xmlns:a16="http://schemas.microsoft.com/office/drawing/2014/main" pred="{EB36ED2B-27B2-4846-B013-877B99FBDD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962025" y="1228725"/>
          <a:ext cx="438150" cy="438150"/>
        </a:xfrm>
        <a:prstGeom prst="rect">
          <a:avLst/>
        </a:prstGeom>
      </xdr:spPr>
    </xdr:pic>
    <xdr:clientData/>
  </xdr:twoCellAnchor>
  <xdr:twoCellAnchor editAs="oneCell">
    <xdr:from>
      <xdr:col>2</xdr:col>
      <xdr:colOff>771525</xdr:colOff>
      <xdr:row>1</xdr:row>
      <xdr:rowOff>466725</xdr:rowOff>
    </xdr:from>
    <xdr:to>
      <xdr:col>2</xdr:col>
      <xdr:colOff>1247775</xdr:colOff>
      <xdr:row>3</xdr:row>
      <xdr:rowOff>257175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E6617A2E-C783-7546-E14E-D53E443A78C3}"/>
            </a:ext>
            <a:ext uri="{147F2762-F138-4A5C-976F-8EAC2B608ADB}">
              <a16:predDERef xmlns:a16="http://schemas.microsoft.com/office/drawing/2014/main" pred="{812D3540-043C-2B5E-362C-D9924035AD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3819525" y="1219200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4</xdr:col>
      <xdr:colOff>1714500</xdr:colOff>
      <xdr:row>1</xdr:row>
      <xdr:rowOff>447675</xdr:rowOff>
    </xdr:from>
    <xdr:to>
      <xdr:col>4</xdr:col>
      <xdr:colOff>2133600</xdr:colOff>
      <xdr:row>3</xdr:row>
      <xdr:rowOff>180975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E58FCDDE-0374-9B56-5E4B-F40A4571B899}"/>
            </a:ext>
            <a:ext uri="{147F2762-F138-4A5C-976F-8EAC2B608ADB}">
              <a16:predDERef xmlns:a16="http://schemas.microsoft.com/office/drawing/2014/main" pred="{E6617A2E-C783-7546-E14E-D53E443A78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7362825" y="1200150"/>
          <a:ext cx="419100" cy="419100"/>
        </a:xfrm>
        <a:prstGeom prst="rect">
          <a:avLst/>
        </a:prstGeom>
      </xdr:spPr>
    </xdr:pic>
    <xdr:clientData/>
  </xdr:twoCellAnchor>
  <xdr:twoCellAnchor editAs="oneCell">
    <xdr:from>
      <xdr:col>6</xdr:col>
      <xdr:colOff>1019175</xdr:colOff>
      <xdr:row>1</xdr:row>
      <xdr:rowOff>381000</xdr:rowOff>
    </xdr:from>
    <xdr:to>
      <xdr:col>6</xdr:col>
      <xdr:colOff>1504950</xdr:colOff>
      <xdr:row>3</xdr:row>
      <xdr:rowOff>180975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7F0DFFED-54CF-D1A4-1814-89A46620042E}"/>
            </a:ext>
            <a:ext uri="{147F2762-F138-4A5C-976F-8EAC2B608ADB}">
              <a16:predDERef xmlns:a16="http://schemas.microsoft.com/office/drawing/2014/main" pred="{E58FCDDE-0374-9B56-5E4B-F40A4571B8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1001375" y="1133475"/>
          <a:ext cx="485775" cy="485775"/>
        </a:xfrm>
        <a:prstGeom prst="rect">
          <a:avLst/>
        </a:prstGeom>
      </xdr:spPr>
    </xdr:pic>
    <xdr:clientData/>
  </xdr:twoCellAnchor>
  <xdr:twoCellAnchor editAs="oneCell">
    <xdr:from>
      <xdr:col>8</xdr:col>
      <xdr:colOff>857250</xdr:colOff>
      <xdr:row>1</xdr:row>
      <xdr:rowOff>466725</xdr:rowOff>
    </xdr:from>
    <xdr:to>
      <xdr:col>8</xdr:col>
      <xdr:colOff>1619250</xdr:colOff>
      <xdr:row>3</xdr:row>
      <xdr:rowOff>190500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F4019E76-34BD-94FE-3777-5203C6AC749A}"/>
            </a:ext>
            <a:ext uri="{147F2762-F138-4A5C-976F-8EAC2B608ADB}">
              <a16:predDERef xmlns:a16="http://schemas.microsoft.com/office/drawing/2014/main" pred="{7F0DFFED-54CF-D1A4-1814-89A4662004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3887450" y="1219200"/>
          <a:ext cx="762000" cy="409575"/>
        </a:xfrm>
        <a:prstGeom prst="rect">
          <a:avLst/>
        </a:prstGeom>
      </xdr:spPr>
    </xdr:pic>
    <xdr:clientData/>
  </xdr:twoCellAnchor>
  <xdr:twoCellAnchor editAs="oneCell">
    <xdr:from>
      <xdr:col>10</xdr:col>
      <xdr:colOff>1038225</xdr:colOff>
      <xdr:row>1</xdr:row>
      <xdr:rowOff>409575</xdr:rowOff>
    </xdr:from>
    <xdr:to>
      <xdr:col>10</xdr:col>
      <xdr:colOff>1457325</xdr:colOff>
      <xdr:row>3</xdr:row>
      <xdr:rowOff>142875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4B9E8FC7-D107-B59F-8816-7F9608D1A8E2}"/>
            </a:ext>
            <a:ext uri="{147F2762-F138-4A5C-976F-8EAC2B608ADB}">
              <a16:predDERef xmlns:a16="http://schemas.microsoft.com/office/drawing/2014/main" pred="{F4019E76-34BD-94FE-3777-5203C6AC74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7116425" y="1162050"/>
          <a:ext cx="419100" cy="419100"/>
        </a:xfrm>
        <a:prstGeom prst="rect">
          <a:avLst/>
        </a:prstGeom>
      </xdr:spPr>
    </xdr:pic>
    <xdr:clientData/>
  </xdr:twoCellAnchor>
  <xdr:twoCellAnchor editAs="oneCell">
    <xdr:from>
      <xdr:col>12</xdr:col>
      <xdr:colOff>1009650</xdr:colOff>
      <xdr:row>1</xdr:row>
      <xdr:rowOff>419100</xdr:rowOff>
    </xdr:from>
    <xdr:to>
      <xdr:col>12</xdr:col>
      <xdr:colOff>1447800</xdr:colOff>
      <xdr:row>3</xdr:row>
      <xdr:rowOff>171450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47BD6CD5-2523-2E3A-B99A-0EBC7F5ED196}"/>
            </a:ext>
            <a:ext uri="{147F2762-F138-4A5C-976F-8EAC2B608ADB}">
              <a16:predDERef xmlns:a16="http://schemas.microsoft.com/office/drawing/2014/main" pred="{4B9E8FC7-D107-B59F-8816-7F9608D1A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20135850" y="1171575"/>
          <a:ext cx="438150" cy="438150"/>
        </a:xfrm>
        <a:prstGeom prst="rect">
          <a:avLst/>
        </a:prstGeom>
      </xdr:spPr>
    </xdr:pic>
    <xdr:clientData/>
  </xdr:twoCellAnchor>
  <xdr:twoCellAnchor editAs="oneCell">
    <xdr:from>
      <xdr:col>14</xdr:col>
      <xdr:colOff>1905000</xdr:colOff>
      <xdr:row>1</xdr:row>
      <xdr:rowOff>447675</xdr:rowOff>
    </xdr:from>
    <xdr:to>
      <xdr:col>14</xdr:col>
      <xdr:colOff>2314575</xdr:colOff>
      <xdr:row>3</xdr:row>
      <xdr:rowOff>171450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EEE8D339-6E24-AD01-0866-3C58BD4DD0A9}"/>
            </a:ext>
            <a:ext uri="{147F2762-F138-4A5C-976F-8EAC2B608ADB}">
              <a16:predDERef xmlns:a16="http://schemas.microsoft.com/office/drawing/2014/main" pred="{47BD6CD5-2523-2E3A-B99A-0EBC7F5ED1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24079200" y="1200150"/>
          <a:ext cx="409575" cy="409575"/>
        </a:xfrm>
        <a:prstGeom prst="rect">
          <a:avLst/>
        </a:prstGeom>
      </xdr:spPr>
    </xdr:pic>
    <xdr:clientData/>
  </xdr:twoCellAnchor>
  <xdr:twoCellAnchor editAs="oneCell">
    <xdr:from>
      <xdr:col>16</xdr:col>
      <xdr:colOff>942975</xdr:colOff>
      <xdr:row>1</xdr:row>
      <xdr:rowOff>390525</xdr:rowOff>
    </xdr:from>
    <xdr:to>
      <xdr:col>16</xdr:col>
      <xdr:colOff>1457325</xdr:colOff>
      <xdr:row>3</xdr:row>
      <xdr:rowOff>219075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F3C1A37B-20ED-6133-273F-F5A902B87988}"/>
            </a:ext>
            <a:ext uri="{147F2762-F138-4A5C-976F-8EAC2B608ADB}">
              <a16:predDERef xmlns:a16="http://schemas.microsoft.com/office/drawing/2014/main" pred="{EEE8D339-6E24-AD01-0866-3C58BD4DD0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7889200" y="1143000"/>
          <a:ext cx="514350" cy="514350"/>
        </a:xfrm>
        <a:prstGeom prst="rect">
          <a:avLst/>
        </a:prstGeom>
      </xdr:spPr>
    </xdr:pic>
    <xdr:clientData/>
  </xdr:twoCellAnchor>
  <xdr:twoCellAnchor editAs="oneCell">
    <xdr:from>
      <xdr:col>0</xdr:col>
      <xdr:colOff>104775</xdr:colOff>
      <xdr:row>8</xdr:row>
      <xdr:rowOff>276225</xdr:rowOff>
    </xdr:from>
    <xdr:to>
      <xdr:col>0</xdr:col>
      <xdr:colOff>466725</xdr:colOff>
      <xdr:row>8</xdr:row>
      <xdr:rowOff>628650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D49CC26D-7E03-9B49-95B7-6939CB755177}"/>
            </a:ext>
            <a:ext uri="{147F2762-F138-4A5C-976F-8EAC2B608ADB}">
              <a16:predDERef xmlns:a16="http://schemas.microsoft.com/office/drawing/2014/main" pred="{F3C1A37B-20ED-6133-273F-F5A902B879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04775" y="3457575"/>
          <a:ext cx="361950" cy="352425"/>
        </a:xfrm>
        <a:prstGeom prst="rect">
          <a:avLst/>
        </a:prstGeom>
      </xdr:spPr>
    </xdr:pic>
    <xdr:clientData/>
  </xdr:twoCellAnchor>
  <xdr:twoCellAnchor editAs="oneCell">
    <xdr:from>
      <xdr:col>0</xdr:col>
      <xdr:colOff>85725</xdr:colOff>
      <xdr:row>29</xdr:row>
      <xdr:rowOff>314325</xdr:rowOff>
    </xdr:from>
    <xdr:to>
      <xdr:col>0</xdr:col>
      <xdr:colOff>647700</xdr:colOff>
      <xdr:row>29</xdr:row>
      <xdr:rowOff>876300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1E04BEED-3422-8D69-B9A3-5202EAB4267B}"/>
            </a:ext>
            <a:ext uri="{147F2762-F138-4A5C-976F-8EAC2B608ADB}">
              <a16:predDERef xmlns:a16="http://schemas.microsoft.com/office/drawing/2014/main" pred="{D49CC26D-7E03-9B49-95B7-6939CB7551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85725" y="11610975"/>
          <a:ext cx="561975" cy="561975"/>
        </a:xfrm>
        <a:prstGeom prst="rect">
          <a:avLst/>
        </a:prstGeom>
      </xdr:spPr>
    </xdr:pic>
    <xdr:clientData/>
  </xdr:twoCellAnchor>
  <xdr:twoCellAnchor editAs="oneCell">
    <xdr:from>
      <xdr:col>0</xdr:col>
      <xdr:colOff>9525</xdr:colOff>
      <xdr:row>53</xdr:row>
      <xdr:rowOff>152400</xdr:rowOff>
    </xdr:from>
    <xdr:to>
      <xdr:col>0</xdr:col>
      <xdr:colOff>495300</xdr:colOff>
      <xdr:row>53</xdr:row>
      <xdr:rowOff>638175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4733295C-CD43-64E0-A804-856EFE07A35E}"/>
            </a:ext>
            <a:ext uri="{147F2762-F138-4A5C-976F-8EAC2B608ADB}">
              <a16:predDERef xmlns:a16="http://schemas.microsoft.com/office/drawing/2014/main" pred="{1E04BEED-3422-8D69-B9A3-5202EAB426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9525" y="21031200"/>
          <a:ext cx="485775" cy="485775"/>
        </a:xfrm>
        <a:prstGeom prst="rect">
          <a:avLst/>
        </a:prstGeom>
      </xdr:spPr>
    </xdr:pic>
    <xdr:clientData/>
  </xdr:twoCellAnchor>
  <xdr:twoCellAnchor editAs="oneCell">
    <xdr:from>
      <xdr:col>0</xdr:col>
      <xdr:colOff>9525</xdr:colOff>
      <xdr:row>74</xdr:row>
      <xdr:rowOff>57150</xdr:rowOff>
    </xdr:from>
    <xdr:to>
      <xdr:col>0</xdr:col>
      <xdr:colOff>533400</xdr:colOff>
      <xdr:row>74</xdr:row>
      <xdr:rowOff>581025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DCA945D7-589D-C5C5-4D0D-BE6D4EFDD073}"/>
            </a:ext>
            <a:ext uri="{147F2762-F138-4A5C-976F-8EAC2B608ADB}">
              <a16:predDERef xmlns:a16="http://schemas.microsoft.com/office/drawing/2014/main" pred="{4733295C-CD43-64E0-A804-856EFE07A3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9525" y="25584150"/>
          <a:ext cx="523875" cy="523875"/>
        </a:xfrm>
        <a:prstGeom prst="rect">
          <a:avLst/>
        </a:prstGeom>
      </xdr:spPr>
    </xdr:pic>
    <xdr:clientData/>
  </xdr:twoCellAnchor>
  <xdr:twoCellAnchor editAs="oneCell">
    <xdr:from>
      <xdr:col>0</xdr:col>
      <xdr:colOff>133350</xdr:colOff>
      <xdr:row>103</xdr:row>
      <xdr:rowOff>104775</xdr:rowOff>
    </xdr:from>
    <xdr:to>
      <xdr:col>0</xdr:col>
      <xdr:colOff>561975</xdr:colOff>
      <xdr:row>103</xdr:row>
      <xdr:rowOff>533400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814AF6A9-B512-CC8A-B52A-05A9BC33057C}"/>
            </a:ext>
            <a:ext uri="{147F2762-F138-4A5C-976F-8EAC2B608ADB}">
              <a16:predDERef xmlns:a16="http://schemas.microsoft.com/office/drawing/2014/main" pred="{DCA945D7-589D-C5C5-4D0D-BE6D4EFDD0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33350" y="34318575"/>
          <a:ext cx="428625" cy="428625"/>
        </a:xfrm>
        <a:prstGeom prst="rect">
          <a:avLst/>
        </a:prstGeom>
      </xdr:spPr>
    </xdr:pic>
    <xdr:clientData/>
  </xdr:twoCellAnchor>
  <xdr:twoCellAnchor>
    <xdr:from>
      <xdr:col>10</xdr:col>
      <xdr:colOff>1314450</xdr:colOff>
      <xdr:row>146</xdr:row>
      <xdr:rowOff>9525</xdr:rowOff>
    </xdr:from>
    <xdr:to>
      <xdr:col>15</xdr:col>
      <xdr:colOff>371475</xdr:colOff>
      <xdr:row>171</xdr:row>
      <xdr:rowOff>66675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C5A8EA0D-8BE4-46FF-B56E-9938B8F31625}"/>
            </a:ext>
            <a:ext uri="{147F2762-F138-4A5C-976F-8EAC2B608ADB}">
              <a16:predDERef xmlns:a16="http://schemas.microsoft.com/office/drawing/2014/main" pred="{814AF6A9-B512-CC8A-B52A-05A9BC3305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76200</xdr:colOff>
      <xdr:row>0</xdr:row>
      <xdr:rowOff>76200</xdr:rowOff>
    </xdr:from>
    <xdr:to>
      <xdr:col>10</xdr:col>
      <xdr:colOff>409575</xdr:colOff>
      <xdr:row>18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2A1E28B-D4A3-B238-DC88-534B037E0D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142875</xdr:colOff>
      <xdr:row>4</xdr:row>
      <xdr:rowOff>95250</xdr:rowOff>
    </xdr:from>
    <xdr:to>
      <xdr:col>9</xdr:col>
      <xdr:colOff>371475</xdr:colOff>
      <xdr:row>15</xdr:row>
      <xdr:rowOff>123825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BC58CB6-36C6-57C8-E5AD-CA1B527491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514350</xdr:colOff>
      <xdr:row>3</xdr:row>
      <xdr:rowOff>57150</xdr:rowOff>
    </xdr:from>
    <xdr:to>
      <xdr:col>9</xdr:col>
      <xdr:colOff>57150</xdr:colOff>
      <xdr:row>17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1878AD8-C5B6-746A-34DD-C22B335FB4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571500</xdr:colOff>
      <xdr:row>1</xdr:row>
      <xdr:rowOff>114300</xdr:rowOff>
    </xdr:from>
    <xdr:to>
      <xdr:col>10</xdr:col>
      <xdr:colOff>266700</xdr:colOff>
      <xdr:row>16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6422D7C-583D-536F-6F2A-AF9E839418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352425</xdr:colOff>
      <xdr:row>2</xdr:row>
      <xdr:rowOff>19050</xdr:rowOff>
    </xdr:from>
    <xdr:to>
      <xdr:col>10</xdr:col>
      <xdr:colOff>466725</xdr:colOff>
      <xdr:row>19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CDE2AAD-9653-4C87-C52A-62DC5DA9A5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114300</xdr:colOff>
      <xdr:row>1</xdr:row>
      <xdr:rowOff>95250</xdr:rowOff>
    </xdr:from>
    <xdr:to>
      <xdr:col>11</xdr:col>
      <xdr:colOff>47625</xdr:colOff>
      <xdr:row>16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BD70D74-1798-AC3A-6023-4E3D1A9AA3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161925</xdr:colOff>
      <xdr:row>8</xdr:row>
      <xdr:rowOff>161925</xdr:rowOff>
    </xdr:from>
    <xdr:to>
      <xdr:col>12</xdr:col>
      <xdr:colOff>447675</xdr:colOff>
      <xdr:row>25</xdr:row>
      <xdr:rowOff>142875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FE855AF9-037B-8ECB-ACFC-883166420C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323850</xdr:colOff>
      <xdr:row>16</xdr:row>
      <xdr:rowOff>95250</xdr:rowOff>
    </xdr:from>
    <xdr:to>
      <xdr:col>22</xdr:col>
      <xdr:colOff>123825</xdr:colOff>
      <xdr:row>30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47EDAEE-60CD-A7ED-7072-2E6FA8ABF05F}"/>
            </a:ext>
            <a:ext uri="{147F2762-F138-4A5C-976F-8EAC2B608ADB}">
              <a16:predDERef xmlns:a16="http://schemas.microsoft.com/office/drawing/2014/main" pred="{FE855AF9-037B-8ECB-ACFC-883166420C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428625</xdr:colOff>
      <xdr:row>1</xdr:row>
      <xdr:rowOff>47625</xdr:rowOff>
    </xdr:from>
    <xdr:to>
      <xdr:col>10</xdr:col>
      <xdr:colOff>238125</xdr:colOff>
      <xdr:row>15</xdr:row>
      <xdr:rowOff>123825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76263ED-2088-FF62-5588-19E5CEB1F5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447675</xdr:colOff>
      <xdr:row>2</xdr:row>
      <xdr:rowOff>28575</xdr:rowOff>
    </xdr:from>
    <xdr:to>
      <xdr:col>37</xdr:col>
      <xdr:colOff>476250</xdr:colOff>
      <xdr:row>23</xdr:row>
      <xdr:rowOff>66675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7AE9044-4CBA-5152-9489-3481089D39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29</xdr:col>
      <xdr:colOff>381000</xdr:colOff>
      <xdr:row>24</xdr:row>
      <xdr:rowOff>0</xdr:rowOff>
    </xdr:from>
    <xdr:to>
      <xdr:col>37</xdr:col>
      <xdr:colOff>76200</xdr:colOff>
      <xdr:row>38</xdr:row>
      <xdr:rowOff>76200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E404C0B-7864-0C94-0042-6F220E9FE92F}"/>
            </a:ext>
            <a:ext uri="{147F2762-F138-4A5C-976F-8EAC2B608ADB}">
              <a16:predDERef xmlns:a16="http://schemas.microsoft.com/office/drawing/2014/main" pred="{B7AE9044-4CBA-5152-9489-3481089D39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57150</xdr:colOff>
      <xdr:row>7</xdr:row>
      <xdr:rowOff>66675</xdr:rowOff>
    </xdr:from>
    <xdr:to>
      <xdr:col>28</xdr:col>
      <xdr:colOff>228600</xdr:colOff>
      <xdr:row>21</xdr:row>
      <xdr:rowOff>142875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D95353D-E05F-1931-3E3F-54AC25C1A32D}"/>
            </a:ext>
            <a:ext uri="{147F2762-F138-4A5C-976F-8EAC2B608ADB}">
              <a16:predDERef xmlns:a16="http://schemas.microsoft.com/office/drawing/2014/main" pred="{5E404C0B-7864-0C94-0042-6F220E9FE9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21</xdr:col>
      <xdr:colOff>295275</xdr:colOff>
      <xdr:row>23</xdr:row>
      <xdr:rowOff>95250</xdr:rowOff>
    </xdr:from>
    <xdr:to>
      <xdr:col>28</xdr:col>
      <xdr:colOff>466725</xdr:colOff>
      <xdr:row>37</xdr:row>
      <xdr:rowOff>171450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2BB18C17-C82A-0D44-42B5-DF745F52539B}"/>
            </a:ext>
            <a:ext uri="{147F2762-F138-4A5C-976F-8EAC2B608ADB}">
              <a16:predDERef xmlns:a16="http://schemas.microsoft.com/office/drawing/2014/main" pred="{7D95353D-E05F-1931-3E3F-54AC25C1A3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42</xdr:col>
      <xdr:colOff>390525</xdr:colOff>
      <xdr:row>53</xdr:row>
      <xdr:rowOff>9525</xdr:rowOff>
    </xdr:from>
    <xdr:to>
      <xdr:col>51</xdr:col>
      <xdr:colOff>209550</xdr:colOff>
      <xdr:row>68</xdr:row>
      <xdr:rowOff>19050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5764E786-94C7-D6A7-5831-A3A02A560468}"/>
            </a:ext>
            <a:ext uri="{147F2762-F138-4A5C-976F-8EAC2B608ADB}">
              <a16:predDERef xmlns:a16="http://schemas.microsoft.com/office/drawing/2014/main" pred="{2BB18C17-C82A-0D44-42B5-DF745F5253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30</xdr:col>
      <xdr:colOff>38100</xdr:colOff>
      <xdr:row>46</xdr:row>
      <xdr:rowOff>180975</xdr:rowOff>
    </xdr:from>
    <xdr:to>
      <xdr:col>37</xdr:col>
      <xdr:colOff>342900</xdr:colOff>
      <xdr:row>61</xdr:row>
      <xdr:rowOff>66675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FAC36FAE-477E-2A07-62F3-2F8E75E3AB93}"/>
            </a:ext>
            <a:ext uri="{147F2762-F138-4A5C-976F-8EAC2B608ADB}">
              <a16:predDERef xmlns:a16="http://schemas.microsoft.com/office/drawing/2014/main" pred="{5764E786-94C7-D6A7-5831-A3A02A5604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276225</xdr:colOff>
      <xdr:row>0</xdr:row>
      <xdr:rowOff>104775</xdr:rowOff>
    </xdr:from>
    <xdr:to>
      <xdr:col>13</xdr:col>
      <xdr:colOff>295275</xdr:colOff>
      <xdr:row>18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48BC653-470C-3E1E-F604-CDBF6F6E27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9525</xdr:colOff>
      <xdr:row>9</xdr:row>
      <xdr:rowOff>123825</xdr:rowOff>
    </xdr:from>
    <xdr:to>
      <xdr:col>52</xdr:col>
      <xdr:colOff>361950</xdr:colOff>
      <xdr:row>38</xdr:row>
      <xdr:rowOff>114300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9EE1539-3EED-F0C8-3547-B5F5503D49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39</xdr:col>
      <xdr:colOff>400050</xdr:colOff>
      <xdr:row>39</xdr:row>
      <xdr:rowOff>104775</xdr:rowOff>
    </xdr:from>
    <xdr:to>
      <xdr:col>52</xdr:col>
      <xdr:colOff>438150</xdr:colOff>
      <xdr:row>78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804DDB1-7574-1C85-88D1-1EBDF3F3E456}"/>
            </a:ext>
            <a:ext uri="{147F2762-F138-4A5C-976F-8EAC2B608ADB}">
              <a16:predDERef xmlns:a16="http://schemas.microsoft.com/office/drawing/2014/main" pred="{C9EE1539-3EED-F0C8-3547-B5F5503D49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24</xdr:col>
      <xdr:colOff>981075</xdr:colOff>
      <xdr:row>15</xdr:row>
      <xdr:rowOff>142875</xdr:rowOff>
    </xdr:from>
    <xdr:to>
      <xdr:col>37</xdr:col>
      <xdr:colOff>76200</xdr:colOff>
      <xdr:row>57</xdr:row>
      <xdr:rowOff>66675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D6F377D-5E77-3F15-1853-2264E3F97869}"/>
            </a:ext>
            <a:ext uri="{147F2762-F138-4A5C-976F-8EAC2B608ADB}">
              <a16:predDERef xmlns:a16="http://schemas.microsoft.com/office/drawing/2014/main" pred="{3804DDB1-7574-1C85-88D1-1EBDF3F3E4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1333500</xdr:colOff>
      <xdr:row>21</xdr:row>
      <xdr:rowOff>114300</xdr:rowOff>
    </xdr:from>
    <xdr:to>
      <xdr:col>16</xdr:col>
      <xdr:colOff>533400</xdr:colOff>
      <xdr:row>61</xdr:row>
      <xdr:rowOff>19050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728E923-F20F-3C42-1E6B-8CFA4C5C9761}"/>
            </a:ext>
            <a:ext uri="{147F2762-F138-4A5C-976F-8EAC2B608ADB}">
              <a16:predDERef xmlns:a16="http://schemas.microsoft.com/office/drawing/2014/main" pred="{ED6F377D-5E77-3F15-1853-2264E3F978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57150</xdr:colOff>
      <xdr:row>21</xdr:row>
      <xdr:rowOff>123825</xdr:rowOff>
    </xdr:from>
    <xdr:to>
      <xdr:col>6</xdr:col>
      <xdr:colOff>1228725</xdr:colOff>
      <xdr:row>45</xdr:row>
      <xdr:rowOff>142875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0C064D6-55A2-896B-5337-000B2665C5C7}"/>
            </a:ext>
            <a:ext uri="{147F2762-F138-4A5C-976F-8EAC2B608ADB}">
              <a16:predDERef xmlns:a16="http://schemas.microsoft.com/office/drawing/2014/main" pred="{7728E923-F20F-3C42-1E6B-8CFA4C5C97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959.838972453705" createdVersion="8" refreshedVersion="8" minRefreshableVersion="3" recordCount="1000" xr:uid="{35F1B511-AC68-491B-9F63-E0E328B855D4}">
  <cacheSource type="worksheet">
    <worksheetSource name="Table2"/>
  </cacheSource>
  <cacheFields count="34">
    <cacheField name="Customer_ID" numFmtId="49">
      <sharedItems count="1000">
        <s v="63-631-8261"/>
        <s v="27-439-9545"/>
        <s v="27-463-5671"/>
        <s v="36-240-3240"/>
        <s v="84-260-6464"/>
        <s v="27-010-9462"/>
        <s v="14-025-2335"/>
        <s v="00-265-0556"/>
        <s v="92-908-5062"/>
        <s v="63-964-6954"/>
        <s v="90-858-0453"/>
        <s v="54-193-3526"/>
        <s v="66-557-1474"/>
        <s v="66-949-9895"/>
        <s v="78-503-0416"/>
        <s v="77-626-7240"/>
        <s v="37-283-9076"/>
        <s v="96-229-1698"/>
        <s v="46-978-3874"/>
        <s v="76-910-2337"/>
        <s v="82-474-5074"/>
        <s v="37-748-4988"/>
        <s v="42-898-6421"/>
        <s v="53-091-2176"/>
        <s v="76-672-1193"/>
        <s v="53-667-0793"/>
        <s v="06-160-8063"/>
        <s v="49-469-9163"/>
        <s v="53-784-1855"/>
        <s v="11-820-5039"/>
        <s v="13-588-5783"/>
        <s v="76-213-5806"/>
        <s v="36-632-2460"/>
        <s v="68-458-0904"/>
        <s v="56-782-9001"/>
        <s v="43-172-9431"/>
        <s v="85-738-6864"/>
        <s v="73-139-4306"/>
        <s v="52-150-4629"/>
        <s v="38-587-1781"/>
        <s v="41-816-7753"/>
        <s v="48-315-0196"/>
        <s v="79-759-6726"/>
        <s v="18-593-8611"/>
        <s v="03-102-0288"/>
        <s v="61-286-0069"/>
        <s v="73-359-1998"/>
        <s v="02-055-8248"/>
        <s v="35-644-3184"/>
        <s v="38-935-1865"/>
        <s v="13-792-4356"/>
        <s v="19-925-2376"/>
        <s v="39-499-3854"/>
        <s v="56-072-7011"/>
        <s v="41-854-0707"/>
        <s v="70-014-6406"/>
        <s v="38-478-2681"/>
        <s v="79-939-5393"/>
        <s v="20-421-2544"/>
        <s v="63-304-1852"/>
        <s v="21-232-1397"/>
        <s v="29-987-3969"/>
        <s v="81-926-9297"/>
        <s v="09-783-7921"/>
        <s v="30-520-8656"/>
        <s v="71-817-5422"/>
        <s v="21-959-5766"/>
        <s v="90-569-7391"/>
        <s v="60-005-5187"/>
        <s v="93-867-8303"/>
        <s v="23-537-0742"/>
        <s v="37-065-3182"/>
        <s v="51-116-5937"/>
        <s v="76-501-6422"/>
        <s v="85-922-0190"/>
        <s v="05-067-9686"/>
        <s v="44-715-9594"/>
        <s v="18-452-1635"/>
        <s v="04-468-5487"/>
        <s v="74-509-4985"/>
        <s v="02-677-6735"/>
        <s v="98-130-8811"/>
        <s v="69-692-0614"/>
        <s v="10-430-5821"/>
        <s v="31-218-0024"/>
        <s v="82-467-3300"/>
        <s v="67-639-5838"/>
        <s v="08-584-8296"/>
        <s v="33-203-4230"/>
        <s v="31-783-9785"/>
        <s v="63-808-3641"/>
        <s v="65-431-1264"/>
        <s v="89-438-5310"/>
        <s v="50-471-0212"/>
        <s v="28-832-2885"/>
        <s v="98-559-6096"/>
        <s v="04-809-8989"/>
        <s v="52-726-9328"/>
        <s v="27-017-7173"/>
        <s v="89-189-3295"/>
        <s v="66-086-2306"/>
        <s v="47-528-3961"/>
        <s v="99-945-7193"/>
        <s v="62-687-5354"/>
        <s v="39-952-4459"/>
        <s v="55-279-3045"/>
        <s v="35-198-9248"/>
        <s v="43-884-2577"/>
        <s v="91-602-0761"/>
        <s v="55-620-7906"/>
        <s v="31-147-6197"/>
        <s v="73-097-0986"/>
        <s v="67-697-2331"/>
        <s v="34-874-7357"/>
        <s v="89-392-5002"/>
        <s v="38-943-5744"/>
        <s v="22-157-2494"/>
        <s v="65-457-2840"/>
        <s v="19-184-7665"/>
        <s v="07-751-9620"/>
        <s v="42-101-8525"/>
        <s v="80-360-6324"/>
        <s v="00-275-9990"/>
        <s v="19-311-9149"/>
        <s v="33-519-4214"/>
        <s v="62-198-2511"/>
        <s v="96-764-3843"/>
        <s v="95-675-7816"/>
        <s v="07-314-2945"/>
        <s v="77-031-4898"/>
        <s v="64-706-7841"/>
        <s v="84-459-7736"/>
        <s v="84-337-1016"/>
        <s v="03-977-8103"/>
        <s v="37-611-6911"/>
        <s v="07-966-8728"/>
        <s v="40-149-8247"/>
        <s v="18-925-1867"/>
        <s v="70-699-5799"/>
        <s v="15-152-9751"/>
        <s v="94-212-7169"/>
        <s v="54-877-5699"/>
        <s v="93-649-9356"/>
        <s v="99-477-8256"/>
        <s v="74-022-7557"/>
        <s v="79-861-6506"/>
        <s v="23-066-1915"/>
        <s v="86-668-1045"/>
        <s v="92-946-7398"/>
        <s v="72-339-1854"/>
        <s v="70-108-1493"/>
        <s v="13-571-6506"/>
        <s v="46-678-4172"/>
        <s v="81-479-0790"/>
        <s v="66-515-3648"/>
        <s v="59-891-2990"/>
        <s v="48-203-9118"/>
        <s v="69-157-6752"/>
        <s v="05-167-0833"/>
        <s v="41-750-4105"/>
        <s v="49-891-9711"/>
        <s v="53-951-2529"/>
        <s v="73-434-2308"/>
        <s v="74-051-7865"/>
        <s v="27-619-9264"/>
        <s v="45-795-1873"/>
        <s v="35-853-2222"/>
        <s v="14-784-5606"/>
        <s v="65-539-9955"/>
        <s v="12-839-8066"/>
        <s v="36-649-0081"/>
        <s v="68-488-7343"/>
        <s v="86-771-9082"/>
        <s v="75-964-5589"/>
        <s v="19-386-9088"/>
        <s v="85-391-1888"/>
        <s v="09-948-3150"/>
        <s v="75-083-3608"/>
        <s v="65-533-1660"/>
        <s v="71-876-9118"/>
        <s v="84-894-9222"/>
        <s v="99-080-9462"/>
        <s v="05-857-1572"/>
        <s v="99-581-5577"/>
        <s v="21-734-0212"/>
        <s v="81-014-4502"/>
        <s v="09-775-4058"/>
        <s v="84-649-5117"/>
        <s v="34-265-8558"/>
        <s v="66-085-1226"/>
        <s v="55-163-1389"/>
        <s v="39-107-6852"/>
        <s v="08-806-0588"/>
        <s v="91-857-0797"/>
        <s v="32-314-2958"/>
        <s v="93-455-0576"/>
        <s v="47-356-9730"/>
        <s v="05-546-5128"/>
        <s v="44-949-9040"/>
        <s v="95-528-2313"/>
        <s v="53-595-7635"/>
        <s v="41-501-9276"/>
        <s v="82-304-6495"/>
        <s v="23-253-2565"/>
        <s v="85-691-4293"/>
        <s v="30-735-8744"/>
        <s v="89-249-8369"/>
        <s v="84-538-0238"/>
        <s v="22-860-9860"/>
        <s v="35-850-8676"/>
        <s v="26-672-1285"/>
        <s v="24-853-1635"/>
        <s v="27-262-6874"/>
        <s v="14-118-5229"/>
        <s v="61-663-9008"/>
        <s v="06-061-0023"/>
        <s v="90-144-9193"/>
        <s v="47-073-6440"/>
        <s v="75-845-3143"/>
        <s v="38-940-4942"/>
        <s v="15-421-1255"/>
        <s v="15-663-7994"/>
        <s v="17-198-5155"/>
        <s v="67-073-5578"/>
        <s v="65-249-5416"/>
        <s v="84-208-7045"/>
        <s v="94-692-4313"/>
        <s v="62-974-7965"/>
        <s v="98-817-6731"/>
        <s v="23-302-7502"/>
        <s v="18-832-6916"/>
        <s v="19-933-8095"/>
        <s v="26-235-6745"/>
        <s v="72-324-1243"/>
        <s v="02-100-4320"/>
        <s v="27-742-2776"/>
        <s v="87-727-6434"/>
        <s v="32-414-1466"/>
        <s v="39-090-0124"/>
        <s v="54-634-0814"/>
        <s v="94-969-6819"/>
        <s v="10-961-9336"/>
        <s v="97-715-3606"/>
        <s v="25-285-7453"/>
        <s v="80-684-5072"/>
        <s v="11-802-5604"/>
        <s v="44-938-7475"/>
        <s v="26-150-0209"/>
        <s v="38-830-6976"/>
        <s v="04-832-3559"/>
        <s v="25-485-2023"/>
        <s v="86-097-9642"/>
        <s v="79-902-8144"/>
        <s v="66-033-0540"/>
        <s v="71-959-3896"/>
        <s v="08-614-6177"/>
        <s v="74-483-2893"/>
        <s v="48-980-6078"/>
        <s v="82-726-1255"/>
        <s v="50-395-1941"/>
        <s v="98-535-8497"/>
        <s v="75-518-2831"/>
        <s v="18-633-9387"/>
        <s v="35-879-0014"/>
        <s v="93-810-4051"/>
        <s v="20-648-1010"/>
        <s v="95-525-0842"/>
        <s v="37-783-6086"/>
        <s v="32-338-5967"/>
        <s v="06-647-3248"/>
        <s v="31-088-6950"/>
        <s v="05-710-6109"/>
        <s v="37-100-8709"/>
        <s v="17-328-4678"/>
        <s v="78-824-1887"/>
        <s v="76-848-9229"/>
        <s v="47-225-8686"/>
        <s v="28-123-8406"/>
        <s v="51-320-2801"/>
        <s v="30-522-1574"/>
        <s v="00-264-3797"/>
        <s v="82-975-8569"/>
        <s v="71-573-6085"/>
        <s v="99-643-9845"/>
        <s v="18-263-0366"/>
        <s v="74-882-6648"/>
        <s v="21-783-9242"/>
        <s v="88-313-2633"/>
        <s v="99-316-9993"/>
        <s v="96-079-9597"/>
        <s v="71-354-5174"/>
        <s v="87-806-4478"/>
        <s v="63-680-7694"/>
        <s v="41-009-7879"/>
        <s v="81-877-9170"/>
        <s v="95-999-0984"/>
        <s v="22-039-6819"/>
        <s v="61-926-1691"/>
        <s v="51-220-3072"/>
        <s v="39-075-3518"/>
        <s v="02-004-0620"/>
        <s v="56-592-0089"/>
        <s v="29-319-4519"/>
        <s v="05-975-6985"/>
        <s v="07-479-3919"/>
        <s v="93-989-8649"/>
        <s v="63-625-5757"/>
        <s v="09-216-1957"/>
        <s v="51-546-9992"/>
        <s v="07-834-3350"/>
        <s v="93-413-4758"/>
        <s v="54-936-4361"/>
        <s v="24-241-7171"/>
        <s v="15-640-6493"/>
        <s v="50-303-1693"/>
        <s v="37-513-5073"/>
        <s v="01-089-2223"/>
        <s v="67-323-7406"/>
        <s v="76-561-2427"/>
        <s v="76-397-3294"/>
        <s v="93-675-1619"/>
        <s v="77-761-7475"/>
        <s v="90-170-1951"/>
        <s v="27-100-0661"/>
        <s v="84-637-9188"/>
        <s v="52-005-9914"/>
        <s v="58-059-8187"/>
        <s v="80-487-2550"/>
        <s v="86-182-9556"/>
        <s v="25-866-7286"/>
        <s v="91-170-9072"/>
        <s v="71-780-8195"/>
        <s v="12-440-5464"/>
        <s v="67-438-2378"/>
        <s v="08-297-3351"/>
        <s v="17-551-9779"/>
        <s v="53-240-2040"/>
        <s v="85-366-1482"/>
        <s v="61-176-8712"/>
        <s v="83-714-9649"/>
        <s v="29-067-4901"/>
        <s v="22-981-6595"/>
        <s v="73-707-2809"/>
        <s v="57-587-4005"/>
        <s v="78-826-3039"/>
        <s v="78-796-5651"/>
        <s v="86-068-2133"/>
        <s v="40-520-3271"/>
        <s v="51-313-7293"/>
        <s v="58-502-7490"/>
        <s v="91-695-8237"/>
        <s v="82-389-2029"/>
        <s v="94-682-4886"/>
        <s v="53-865-9342"/>
        <s v="62-720-2922"/>
        <s v="83-670-9273"/>
        <s v="27-672-6081"/>
        <s v="00-496-3067"/>
        <s v="55-944-9669"/>
        <s v="12-029-9344"/>
        <s v="64-803-7087"/>
        <s v="64-090-3433"/>
        <s v="43-386-2489"/>
        <s v="04-349-6759"/>
        <s v="57-410-7415"/>
        <s v="25-560-4506"/>
        <s v="67-939-2463"/>
        <s v="62-493-5282"/>
        <s v="96-484-1000"/>
        <s v="54-002-5845"/>
        <s v="33-787-2143"/>
        <s v="56-453-8263"/>
        <s v="79-592-5396"/>
        <s v="48-642-5768"/>
        <s v="60-073-3575"/>
        <s v="51-917-0766"/>
        <s v="49-037-2300"/>
        <s v="93-957-6269"/>
        <s v="10-247-0192"/>
        <s v="60-198-5417"/>
        <s v="55-955-9889"/>
        <s v="61-453-3503"/>
        <s v="42-969-0735"/>
        <s v="90-602-3583"/>
        <s v="20-830-4758"/>
        <s v="62-797-9254"/>
        <s v="36-274-5269"/>
        <s v="18-097-5707"/>
        <s v="11-850-1953"/>
        <s v="43-664-4451"/>
        <s v="91-532-5399"/>
        <s v="85-192-9218"/>
        <s v="63-217-7638"/>
        <s v="84-315-7189"/>
        <s v="38-881-0766"/>
        <s v="95-112-6724"/>
        <s v="79-052-8470"/>
        <s v="73-827-2774"/>
        <s v="34-095-3364"/>
        <s v="87-290-8263"/>
        <s v="83-982-5300"/>
        <s v="64-166-9097"/>
        <s v="73-259-8940"/>
        <s v="24-591-4327"/>
        <s v="54-680-5344"/>
        <s v="17-344-8603"/>
        <s v="28-947-4295"/>
        <s v="47-947-4888"/>
        <s v="52-240-3825"/>
        <s v="24-878-4507"/>
        <s v="90-272-5701"/>
        <s v="07-024-4995"/>
        <s v="41-130-2570"/>
        <s v="07-958-2231"/>
        <s v="33-609-0598"/>
        <s v="45-337-1798"/>
        <s v="15-354-9904"/>
        <s v="85-666-7449"/>
        <s v="03-992-3728"/>
        <s v="91-199-9097"/>
        <s v="22-414-4955"/>
        <s v="95-876-9757"/>
        <s v="06-594-3417"/>
        <s v="71-667-2334"/>
        <s v="77-401-8183"/>
        <s v="84-765-0748"/>
        <s v="17-364-8685"/>
        <s v="19-999-0134"/>
        <s v="89-194-0596"/>
        <s v="06-237-7338"/>
        <s v="20-699-9217"/>
        <s v="94-120-9525"/>
        <s v="36-948-6994"/>
        <s v="55-301-9368"/>
        <s v="66-772-9922"/>
        <s v="43-920-9499"/>
        <s v="79-960-1714"/>
        <s v="93-356-8589"/>
        <s v="08-977-4418"/>
        <s v="17-213-2834"/>
        <s v="94-985-5336"/>
        <s v="30-567-4471"/>
        <s v="54-439-4748"/>
        <s v="36-323-3504"/>
        <s v="59-355-5251"/>
        <s v="05-465-8765"/>
        <s v="23-985-3535"/>
        <s v="91-761-9492"/>
        <s v="24-109-2173"/>
        <s v="11-975-9054"/>
        <s v="64-120-6212"/>
        <s v="44-674-4037"/>
        <s v="29-779-7209"/>
        <s v="64-031-2046"/>
        <s v="71-473-2656"/>
        <s v="58-233-5963"/>
        <s v="35-192-9050"/>
        <s v="62-989-8214"/>
        <s v="83-752-5439"/>
        <s v="32-799-7704"/>
        <s v="37-037-1765"/>
        <s v="48-918-4473"/>
        <s v="14-415-2802"/>
        <s v="46-098-9737"/>
        <s v="53-409-1176"/>
        <s v="73-991-0066"/>
        <s v="06-764-5496"/>
        <s v="40-347-2903"/>
        <s v="22-382-9636"/>
        <s v="72-431-5021"/>
        <s v="64-915-2968"/>
        <s v="79-711-6779"/>
        <s v="65-167-9819"/>
        <s v="27-613-5005"/>
        <s v="21-808-2293"/>
        <s v="60-834-3348"/>
        <s v="03-874-9055"/>
        <s v="43-990-6454"/>
        <s v="31-060-2716"/>
        <s v="57-372-5969"/>
        <s v="42-674-3987"/>
        <s v="29-374-1297"/>
        <s v="67-676-5945"/>
        <s v="07-323-0255"/>
        <s v="30-133-5120"/>
        <s v="18-655-3670"/>
        <s v="68-201-1633"/>
        <s v="18-793-9543"/>
        <s v="96-496-9833"/>
        <s v="70-895-5298"/>
        <s v="77-241-7621"/>
        <s v="61-951-7929"/>
        <s v="76-382-7162"/>
        <s v="17-763-9416"/>
        <s v="82-014-2564"/>
        <s v="65-359-4645"/>
        <s v="25-286-8786"/>
        <s v="06-008-2805"/>
        <s v="12-417-5609"/>
        <s v="00-149-4481"/>
        <s v="52-908-9971"/>
        <s v="86-044-1071"/>
        <s v="08-185-6608"/>
        <s v="27-806-4972"/>
        <s v="22-053-4627"/>
        <s v="42-518-2602"/>
        <s v="16-583-2801"/>
        <s v="43-715-8777"/>
        <s v="96-140-1936"/>
        <s v="02-911-0447"/>
        <s v="01-023-2094"/>
        <s v="64-641-7874"/>
        <s v="76-620-2994"/>
        <s v="90-363-8040"/>
        <s v="43-616-8365"/>
        <s v="81-814-3498"/>
        <s v="27-941-4995"/>
        <s v="67-037-2087"/>
        <s v="29-625-7057"/>
        <s v="94-746-2001"/>
        <s v="74-033-1145"/>
        <s v="67-159-7366"/>
        <s v="75-953-8663"/>
        <s v="82-671-7236"/>
        <s v="69-394-1424"/>
        <s v="72-590-6161"/>
        <s v="85-467-6564"/>
        <s v="86-257-9581"/>
        <s v="13-848-5757"/>
        <s v="60-470-3563"/>
        <s v="79-939-2140"/>
        <s v="78-361-5100"/>
        <s v="73-367-8478"/>
        <s v="53-013-1026"/>
        <s v="25-502-1415"/>
        <s v="44-786-7696"/>
        <s v="56-085-0464"/>
        <s v="00-733-8770"/>
        <s v="40-450-4266"/>
        <s v="79-297-1061"/>
        <s v="20-157-8631"/>
        <s v="46-578-1425"/>
        <s v="28-395-9872"/>
        <s v="29-341-6463"/>
        <s v="51-415-1931"/>
        <s v="23-451-9920"/>
        <s v="37-101-4922"/>
        <s v="27-571-9402"/>
        <s v="81-580-3810"/>
        <s v="06-638-0433"/>
        <s v="22-311-5460"/>
        <s v="14-709-8547"/>
        <s v="53-843-5619"/>
        <s v="51-431-7150"/>
        <s v="62-273-8089"/>
        <s v="98-376-8787"/>
        <s v="15-711-4107"/>
        <s v="22-579-3978"/>
        <s v="17-648-0171"/>
        <s v="68-129-1060"/>
        <s v="95-148-1769"/>
        <s v="60-618-2561"/>
        <s v="84-954-2973"/>
        <s v="85-738-8909"/>
        <s v="30-975-0306"/>
        <s v="31-364-4144"/>
        <s v="27-543-7069"/>
        <s v="46-167-7999"/>
        <s v="90-069-8934"/>
        <s v="76-148-9413"/>
        <s v="15-530-3861"/>
        <s v="73-942-8440"/>
        <s v="98-585-4742"/>
        <s v="46-681-0764"/>
        <s v="16-364-8096"/>
        <s v="81-225-6647"/>
        <s v="04-352-1558"/>
        <s v="71-975-9564"/>
        <s v="03-827-4021"/>
        <s v="20-939-3906"/>
        <s v="15-625-4047"/>
        <s v="27-018-2262"/>
        <s v="34-016-7909"/>
        <s v="86-359-7320"/>
        <s v="46-503-5589"/>
        <s v="21-755-8745"/>
        <s v="28-969-7540"/>
        <s v="58-528-6262"/>
        <s v="89-724-2536"/>
        <s v="45-776-7217"/>
        <s v="78-091-8662"/>
        <s v="03-180-9200"/>
        <s v="04-052-5592"/>
        <s v="54-238-5459"/>
        <s v="43-671-9834"/>
        <s v="03-991-2098"/>
        <s v="36-593-2907"/>
        <s v="04-609-7885"/>
        <s v="19-383-9741"/>
        <s v="24-272-6205"/>
        <s v="88-167-7129"/>
        <s v="84-188-6577"/>
        <s v="02-653-5884"/>
        <s v="20-817-9584"/>
        <s v="09-737-8354"/>
        <s v="34-094-1923"/>
        <s v="28-764-3337"/>
        <s v="39-731-8532"/>
        <s v="00-107-4749"/>
        <s v="73-846-1423"/>
        <s v="81-515-5823"/>
        <s v="77-642-7686"/>
        <s v="23-752-2213"/>
        <s v="33-467-2534"/>
        <s v="09-443-7536"/>
        <s v="36-214-1586"/>
        <s v="55-570-3804"/>
        <s v="23-758-1012"/>
        <s v="02-676-9312"/>
        <s v="58-487-8848"/>
        <s v="25-085-7917"/>
        <s v="46-452-3822"/>
        <s v="53-690-5759"/>
        <s v="30-528-9105"/>
        <s v="07-395-5818"/>
        <s v="64-906-4475"/>
        <s v="25-096-6830"/>
        <s v="57-000-8646"/>
        <s v="67-935-7964"/>
        <s v="87-079-0237"/>
        <s v="89-833-7175"/>
        <s v="03-669-7519"/>
        <s v="57-623-5362"/>
        <s v="35-907-0586"/>
        <s v="23-039-9347"/>
        <s v="47-178-9529"/>
        <s v="88-661-4689"/>
        <s v="68-296-5978"/>
        <s v="19-667-0201"/>
        <s v="47-501-3435"/>
        <s v="31-788-0864"/>
        <s v="37-126-7954"/>
        <s v="90-822-7664"/>
        <s v="91-789-3191"/>
        <s v="78-905-2660"/>
        <s v="83-455-7266"/>
        <s v="89-883-2101"/>
        <s v="78-116-8349"/>
        <s v="19-885-2597"/>
        <s v="17-032-6274"/>
        <s v="16-070-0138"/>
        <s v="38-069-8615"/>
        <s v="36-340-8494"/>
        <s v="79-884-5600"/>
        <s v="55-580-7707"/>
        <s v="09-513-4923"/>
        <s v="21-048-8669"/>
        <s v="33-200-7615"/>
        <s v="08-733-0300"/>
        <s v="27-111-2242"/>
        <s v="74-431-0242"/>
        <s v="73-698-2326"/>
        <s v="41-215-6092"/>
        <s v="29-827-8515"/>
        <s v="70-761-3550"/>
        <s v="71-486-8561"/>
        <s v="30-839-5589"/>
        <s v="23-794-8196"/>
        <s v="75-210-7391"/>
        <s v="89-625-5542"/>
        <s v="75-526-2611"/>
        <s v="13-588-2488"/>
        <s v="68-507-4747"/>
        <s v="55-569-9247"/>
        <s v="28-225-4286"/>
        <s v="34-237-3943"/>
        <s v="07-560-6637"/>
        <s v="89-302-8461"/>
        <s v="01-925-4021"/>
        <s v="38-242-3251"/>
        <s v="87-418-1400"/>
        <s v="02-725-7664"/>
        <s v="06-357-6548"/>
        <s v="14-364-4904"/>
        <s v="99-509-4653"/>
        <s v="71-197-8227"/>
        <s v="53-102-9949"/>
        <s v="88-395-8741"/>
        <s v="53-639-3774"/>
        <s v="46-662-1571"/>
        <s v="13-297-9777"/>
        <s v="38-912-1128"/>
        <s v="97-463-0048"/>
        <s v="22-022-9256"/>
        <s v="96-121-0629"/>
        <s v="63-743-6962"/>
        <s v="59-997-3903"/>
        <s v="39-867-1989"/>
        <s v="48-271-1908"/>
        <s v="94-288-4423"/>
        <s v="10-328-5732"/>
        <s v="90-322-7329"/>
        <s v="27-843-5553"/>
        <s v="78-163-4800"/>
        <s v="97-505-8416"/>
        <s v="92-142-9480"/>
        <s v="13-618-9438"/>
        <s v="50-510-5119"/>
        <s v="30-083-9565"/>
        <s v="78-822-9328"/>
        <s v="04-563-9091"/>
        <s v="01-484-8220"/>
        <s v="77-796-5786"/>
        <s v="57-797-8139"/>
        <s v="77-178-6086"/>
        <s v="09-369-0588"/>
        <s v="49-476-1729"/>
        <s v="54-207-8349"/>
        <s v="14-603-9698"/>
        <s v="48-343-1220"/>
        <s v="70-774-7728"/>
        <s v="96-772-7220"/>
        <s v="87-934-6762"/>
        <s v="80-277-3242"/>
        <s v="23-085-0811"/>
        <s v="11-719-8800"/>
        <s v="88-428-8409"/>
        <s v="31-284-5722"/>
        <s v="05-506-7216"/>
        <s v="07-402-7433"/>
        <s v="04-465-1819"/>
        <s v="82-692-9306"/>
        <s v="45-073-7243"/>
        <s v="89-997-9041"/>
        <s v="22-234-9315"/>
        <s v="84-458-6432"/>
        <s v="40-199-1803"/>
        <s v="39-636-5871"/>
        <s v="30-987-7421"/>
        <s v="35-880-9374"/>
        <s v="01-404-3425"/>
        <s v="62-892-2088"/>
        <s v="45-584-7333"/>
        <s v="47-992-7446"/>
        <s v="33-264-2822"/>
        <s v="03-950-6074"/>
        <s v="67-209-0990"/>
        <s v="53-042-5685"/>
        <s v="72-336-1992"/>
        <s v="37-560-7247"/>
        <s v="91-810-3612"/>
        <s v="72-694-4159"/>
        <s v="70-207-6999"/>
        <s v="84-162-8799"/>
        <s v="22-483-3115"/>
        <s v="37-128-5425"/>
        <s v="57-345-3921"/>
        <s v="69-157-9577"/>
        <s v="96-915-4091"/>
        <s v="42-859-2475"/>
        <s v="99-771-9310"/>
        <s v="26-028-2671"/>
        <s v="27-347-7437"/>
        <s v="48-825-0400"/>
        <s v="26-828-2720"/>
        <s v="19-873-9468"/>
        <s v="11-121-0709"/>
        <s v="00-335-5034"/>
        <s v="53-437-2629"/>
        <s v="04-213-4617"/>
        <s v="61-212-1117"/>
        <s v="31-927-7787"/>
        <s v="18-938-9896"/>
        <s v="93-473-7248"/>
        <s v="74-478-5950"/>
        <s v="98-238-6733"/>
        <s v="40-224-1057"/>
        <s v="48-609-7715"/>
        <s v="53-380-3968"/>
        <s v="50-637-1630"/>
        <s v="82-133-0444"/>
        <s v="48-630-6410"/>
        <s v="75-847-7630"/>
        <s v="80-607-9947"/>
        <s v="46-779-7065"/>
        <s v="55-876-7407"/>
        <s v="64-846-7450"/>
        <s v="90-093-0469"/>
        <s v="61-627-1822"/>
        <s v="72-006-3769"/>
        <s v="68-391-7279"/>
        <s v="93-093-0556"/>
        <s v="00-477-9449"/>
        <s v="23-949-1954"/>
        <s v="47-266-2261"/>
        <s v="19-344-0102"/>
        <s v="52-491-3386"/>
        <s v="95-478-2650"/>
        <s v="29-438-8126"/>
        <s v="20-562-2569"/>
        <s v="20-419-0341"/>
        <s v="66-894-5431"/>
        <s v="68-512-0568"/>
        <s v="94-408-2581"/>
        <s v="51-387-9144"/>
        <s v="03-023-9932"/>
        <s v="46-230-8307"/>
        <s v="34-788-8387"/>
        <s v="15-146-4456"/>
        <s v="37-361-8691"/>
        <s v="56-810-2066"/>
        <s v="21-300-2001"/>
        <s v="00-285-9607"/>
        <s v="37-468-8133"/>
        <s v="51-302-9537"/>
        <s v="59-261-4453"/>
        <s v="72-830-1211"/>
        <s v="79-384-7469"/>
        <s v="02-711-1034"/>
        <s v="09-332-0236"/>
        <s v="07-816-2673"/>
        <s v="36-835-7445"/>
        <s v="14-249-1256"/>
        <s v="78-214-5658"/>
        <s v="81-604-7906"/>
        <s v="66-050-6391"/>
        <s v="01-799-2615"/>
        <s v="75-617-1460"/>
        <s v="08-755-1170"/>
        <s v="24-662-2119"/>
        <s v="34-375-8138"/>
        <s v="41-366-4205"/>
        <s v="80-830-3184"/>
        <s v="04-829-7037"/>
        <s v="67-593-9579"/>
        <s v="47-720-9520"/>
        <s v="39-274-2175"/>
        <s v="64-799-3174"/>
        <s v="58-623-8404"/>
        <s v="87-518-0375"/>
        <s v="91-570-2695"/>
        <s v="76-982-8107"/>
        <s v="07-211-9364"/>
        <s v="89-730-1134"/>
        <s v="74-281-3421"/>
        <s v="00-520-4376"/>
        <s v="18-047-5540"/>
        <s v="83-792-5141"/>
        <s v="35-122-5020"/>
        <s v="79-973-7862"/>
        <s v="06-767-5206"/>
        <s v="87-590-8963"/>
        <s v="74-353-6312"/>
        <s v="12-851-1771"/>
        <s v="21-297-1223"/>
        <s v="55-237-7991"/>
        <s v="34-846-7805"/>
        <s v="10-330-6387"/>
        <s v="90-918-2833"/>
        <s v="61-794-8438"/>
        <s v="56-506-4709"/>
        <s v="81-054-5343"/>
        <s v="21-821-6398"/>
        <s v="72-728-4406"/>
        <s v="78-613-1546"/>
        <s v="91-724-4633"/>
        <s v="30-417-6981"/>
        <s v="86-268-2904"/>
        <s v="22-692-3470"/>
        <s v="89-754-7244"/>
        <s v="86-917-7481"/>
        <s v="78-272-6417"/>
        <s v="33-243-8793"/>
        <s v="82-572-9091"/>
        <s v="67-599-9267"/>
        <s v="52-779-8972"/>
        <s v="53-459-7870"/>
        <s v="67-937-6624"/>
        <s v="16-730-2056"/>
        <s v="26-596-5461"/>
        <s v="53-143-6147"/>
        <s v="23-617-2637"/>
        <s v="97-237-3483"/>
        <s v="75-915-9803"/>
        <s v="62-701-1037"/>
        <s v="31-395-1286"/>
        <s v="35-418-0288"/>
        <s v="47-710-5471"/>
        <s v="12-699-6543"/>
        <s v="29-392-9296"/>
        <s v="09-346-4992"/>
        <s v="13-015-8097"/>
        <s v="08-652-2085"/>
        <s v="40-232-5631"/>
        <s v="66-974-6707"/>
        <s v="04-660-2742"/>
        <s v="94-495-3402"/>
        <s v="50-447-5171"/>
        <s v="71-436-6908"/>
        <s v="20-460-9796"/>
        <s v="23-246-5927"/>
        <s v="43-612-8079"/>
        <s v="80-728-6133"/>
        <s v="71-568-0867"/>
        <s v="19-643-1879"/>
        <s v="72-454-2741"/>
        <s v="67-036-4295"/>
        <s v="28-676-0614"/>
        <s v="28-874-8938"/>
        <s v="47-931-2642"/>
        <s v="43-595-0966"/>
        <s v="86-749-6914"/>
        <s v="36-444-5336"/>
        <s v="33-484-6674"/>
        <s v="33-405-7978"/>
        <s v="10-300-8072"/>
        <s v="80-508-9866"/>
        <s v="54-164-2243"/>
        <s v="88-445-9235"/>
        <s v="99-089-1930"/>
        <s v="10-079-8237"/>
        <s v="29-779-3457"/>
        <s v="17-246-6194"/>
        <s v="18-614-2070"/>
        <s v="57-989-1487"/>
        <s v="63-684-4073"/>
        <s v="56-719-7145"/>
        <s v="22-106-8347"/>
        <s v="18-518-0140"/>
        <s v="21-313-7424"/>
        <s v="85-885-6579"/>
        <s v="90-888-8726"/>
        <s v="84-934-2483"/>
        <s v="47-460-8015"/>
        <s v="10-232-0685"/>
        <s v="64-180-2404"/>
        <s v="24-371-5870"/>
        <s v="41-602-4042"/>
        <s v="19-116-4723"/>
        <s v="30-038-8752"/>
        <s v="64-490-6975"/>
        <s v="91-572-6135"/>
        <s v="12-409-5166"/>
        <s v="65-036-2410"/>
        <s v="45-631-4619"/>
        <s v="88-051-0567"/>
        <s v="77-742-5663"/>
        <s v="55-846-2579"/>
        <s v="26-521-8328"/>
        <s v="81-111-7832"/>
        <s v="82-990-0504"/>
        <s v="25-839-8670"/>
        <s v="18-605-0795"/>
        <s v="88-000-9227"/>
        <s v="73-145-5784"/>
        <s v="84-724-8407"/>
        <s v="31-491-8457"/>
        <s v="28-862-5550"/>
        <s v="09-258-0424"/>
        <s v="18-841-7253"/>
        <s v="08-117-9893"/>
        <s v="32-457-2982"/>
        <s v="03-623-6767"/>
        <s v="03-422-8710"/>
        <s v="58-788-8938"/>
        <s v="64-769-5737"/>
        <s v="72-393-6893"/>
        <s v="49-825-3438"/>
        <s v="91-053-3261"/>
        <s v="86-390-9555"/>
        <s v="50-000-9588"/>
        <s v="83-003-2165"/>
        <s v="87-499-6916"/>
        <s v="14-854-9545"/>
        <s v="91-558-5922"/>
        <s v="28-855-1639"/>
        <s v="14-305-8712"/>
        <s v="60-838-4334"/>
        <s v="41-934-7739"/>
        <s v="53-070-2625"/>
        <s v="19-560-0717"/>
        <s v="97-738-8095"/>
        <s v="68-971-6148"/>
        <s v="04-545-9162"/>
        <s v="22-352-0576"/>
        <s v="83-427-3218"/>
        <s v="81-820-4735"/>
        <s v="19-689-4556"/>
        <s v="82-864-1154"/>
        <s v="91-440-0011"/>
        <s v="59-971-0799"/>
        <s v="91-603-1565"/>
        <s v="59-080-5779"/>
        <s v="82-561-4233"/>
        <s v="10-870-3357"/>
        <s v="83-561-3374"/>
        <s v="62-644-8183"/>
        <s v="42-207-5005"/>
        <s v="87-056-8987"/>
        <s v="92-142-4328"/>
      </sharedItems>
    </cacheField>
    <cacheField name="Age" numFmtId="1">
      <sharedItems containsSemiMixedTypes="0" containsString="0" containsNumber="1" containsInteger="1" minValue="18" maxValue="50" count="33">
        <n v="18"/>
        <n v="25"/>
        <n v="21"/>
        <n v="23"/>
        <n v="19"/>
        <n v="20"/>
        <n v="24"/>
        <n v="22"/>
        <n v="30"/>
        <n v="27"/>
        <n v="35"/>
        <n v="33"/>
        <n v="31"/>
        <n v="32"/>
        <n v="34"/>
        <n v="26"/>
        <n v="28"/>
        <n v="29"/>
        <n v="41"/>
        <n v="44"/>
        <n v="40"/>
        <n v="38"/>
        <n v="36"/>
        <n v="37"/>
        <n v="42"/>
        <n v="39"/>
        <n v="43"/>
        <n v="50"/>
        <n v="48"/>
        <n v="47"/>
        <n v="46"/>
        <n v="45"/>
        <n v="49"/>
      </sharedItems>
    </cacheField>
    <cacheField name="Age_Group" numFmtId="0">
      <sharedItems count="4">
        <s v="18-25"/>
        <s v="26-35"/>
        <s v="36-44"/>
        <s v="45-54"/>
      </sharedItems>
    </cacheField>
    <cacheField name="Gender" numFmtId="49">
      <sharedItems count="8">
        <s v="Male"/>
        <s v="Female"/>
        <s v="Genderfluid"/>
        <s v="Agender"/>
        <s v="Polygender"/>
        <s v="Bigender"/>
        <s v="Genderqueer"/>
        <s v="Non-binary"/>
      </sharedItems>
    </cacheField>
    <cacheField name="Income_Level" numFmtId="49">
      <sharedItems count="2">
        <s v="High"/>
        <s v="Middle"/>
      </sharedItems>
    </cacheField>
    <cacheField name="Marital_Status" numFmtId="49">
      <sharedItems count="4">
        <s v="Married"/>
        <s v="Widowed"/>
        <s v="Divorced"/>
        <s v="Single"/>
      </sharedItems>
    </cacheField>
    <cacheField name="Education_Level" numFmtId="49">
      <sharedItems count="3">
        <s v="Bachelor's"/>
        <s v="Master's"/>
        <s v="High School"/>
      </sharedItems>
    </cacheField>
    <cacheField name="Location" numFmtId="49">
      <sharedItems/>
    </cacheField>
    <cacheField name="Purchase_Category" numFmtId="49">
      <sharedItems count="21">
        <s v="Toys &amp; Games"/>
        <s v="Packages"/>
        <s v="Baby Products"/>
        <s v="Mobile Accessories"/>
        <s v="Groceries"/>
        <s v="Luxury Goods &amp; Accessories"/>
        <s v="Furniture"/>
        <s v="Home Appliances"/>
        <s v="Health Care"/>
        <s v="Sports &amp; Outdoors"/>
        <s v="Travel &amp; Leisure"/>
        <s v="Electronics"/>
        <s v="Food &amp; Beverages"/>
        <s v="Animal Feed"/>
        <s v="Office Supplies"/>
        <s v="Gardening &amp; Outdoors"/>
        <s v="Arts &amp; Crafts"/>
        <s v="Beauty &amp; Personal Care"/>
        <s v="Books"/>
        <s v="Software &amp; Apps"/>
        <s v="Clothing"/>
      </sharedItems>
    </cacheField>
    <cacheField name="Purchase_Amount" numFmtId="164">
      <sharedItems containsSemiMixedTypes="0" containsString="0" containsNumber="1" minValue="50.71" maxValue="498.33"/>
    </cacheField>
    <cacheField name="Frequency_of_Purchase" numFmtId="1">
      <sharedItems containsSemiMixedTypes="0" containsString="0" containsNumber="1" containsInteger="1" minValue="2" maxValue="12" count="11">
        <n v="12"/>
        <n v="6"/>
        <n v="10"/>
        <n v="5"/>
        <n v="7"/>
        <n v="2"/>
        <n v="9"/>
        <n v="11"/>
        <n v="4"/>
        <n v="8"/>
        <n v="3"/>
      </sharedItems>
    </cacheField>
    <cacheField name="High_Value_Customer" numFmtId="49">
      <sharedItems count="2">
        <s v="False"/>
        <s v="True"/>
      </sharedItems>
    </cacheField>
    <cacheField name="Purchase_Channel" numFmtId="49">
      <sharedItems count="3">
        <s v="Online"/>
        <s v="In-Store"/>
        <s v="Mixed"/>
      </sharedItems>
    </cacheField>
    <cacheField name="Brand_Loyalty" numFmtId="1">
      <sharedItems containsSemiMixedTypes="0" containsString="0" containsNumber="1" containsInteger="1" minValue="1" maxValue="5" count="5">
        <n v="4"/>
        <n v="2"/>
        <n v="1"/>
        <n v="3"/>
        <n v="5"/>
      </sharedItems>
    </cacheField>
    <cacheField name="Product_Rating_Level" numFmtId="49">
      <sharedItems count="3">
        <s v="Average"/>
        <s v="Poor"/>
        <s v="Good"/>
      </sharedItems>
    </cacheField>
    <cacheField name="Product_Rating" numFmtId="1">
      <sharedItems containsSemiMixedTypes="0" containsString="0" containsNumber="1" containsInteger="1" minValue="1" maxValue="5"/>
    </cacheField>
    <cacheField name="Time_Spent_on_Product_Research(hours)" numFmtId="2">
      <sharedItems containsSemiMixedTypes="0" containsString="0" containsNumber="1" minValue="0" maxValue="2"/>
    </cacheField>
    <cacheField name="Social_Media_Influence" numFmtId="49">
      <sharedItems count="4">
        <s v="None"/>
        <s v="Medium"/>
        <s v="Low"/>
        <s v="High"/>
      </sharedItems>
    </cacheField>
    <cacheField name="Discount_Sensitivity" numFmtId="49">
      <sharedItems count="3">
        <s v="Not Sensitive"/>
        <s v="Very Sensitive"/>
        <s v="Somewhat Sensitive"/>
      </sharedItems>
    </cacheField>
    <cacheField name="Return_Rate" numFmtId="1">
      <sharedItems containsSemiMixedTypes="0" containsString="0" containsNumber="1" containsInteger="1" minValue="0" maxValue="2"/>
    </cacheField>
    <cacheField name="Cx_Satisfaction_Level" numFmtId="49">
      <sharedItems count="3">
        <s v="Satisfied"/>
        <s v="Neutral"/>
        <s v="Dissatisfied"/>
      </sharedItems>
    </cacheField>
    <cacheField name="Customer_Satisfaction" numFmtId="1">
      <sharedItems containsSemiMixedTypes="0" containsString="0" containsNumber="1" containsInteger="1" minValue="1" maxValue="10"/>
    </cacheField>
    <cacheField name="Engagement_with_Ads" numFmtId="49">
      <sharedItems count="4">
        <s v="Medium"/>
        <s v="High"/>
        <s v="Low"/>
        <s v="None"/>
      </sharedItems>
    </cacheField>
    <cacheField name="Device_Used_for_Shopping" numFmtId="49">
      <sharedItems count="3">
        <s v="Smartphone"/>
        <s v="Tablet"/>
        <s v="Desktop"/>
      </sharedItems>
    </cacheField>
    <cacheField name="Payment_Method" numFmtId="49">
      <sharedItems count="5">
        <s v="Debit Card"/>
        <s v="Cash"/>
        <s v="PayPal"/>
        <s v="Credit Card"/>
        <s v="Other"/>
      </sharedItems>
    </cacheField>
    <cacheField name="Time_of_Purchase" numFmtId="14">
      <sharedItems containsSemiMixedTypes="0" containsNonDate="0" containsDate="1" containsString="0" minDate="2024-01-01T00:00:00" maxDate="2024-12-31T00:00:00" count="344">
        <d v="2024-03-17T00:00:00"/>
        <d v="2024-08-25T00:00:00"/>
        <d v="2024-06-25T00:00:00"/>
        <d v="2024-11-16T00:00:00"/>
        <d v="2024-03-13T00:00:00"/>
        <d v="2024-08-12T00:00:00"/>
        <d v="2024-01-02T00:00:00"/>
        <d v="2024-11-01T00:00:00"/>
        <d v="2024-08-20T00:00:00"/>
        <d v="2024-04-11T00:00:00"/>
        <d v="2024-10-15T00:00:00"/>
        <d v="2024-05-24T00:00:00"/>
        <d v="2024-04-09T00:00:00"/>
        <d v="2024-01-25T00:00:00"/>
        <d v="2024-08-31T00:00:00"/>
        <d v="2024-09-09T00:00:00"/>
        <d v="2024-03-10T00:00:00"/>
        <d v="2024-06-21T00:00:00"/>
        <d v="2024-01-10T00:00:00"/>
        <d v="2024-12-05T00:00:00"/>
        <d v="2024-07-28T00:00:00"/>
        <d v="2024-11-04T00:00:00"/>
        <d v="2024-08-04T00:00:00"/>
        <d v="2024-03-30T00:00:00"/>
        <d v="2024-10-10T00:00:00"/>
        <d v="2024-05-15T00:00:00"/>
        <d v="2024-10-20T00:00:00"/>
        <d v="2024-01-09T00:00:00"/>
        <d v="2024-06-24T00:00:00"/>
        <d v="2024-09-19T00:00:00"/>
        <d v="2024-05-27T00:00:00"/>
        <d v="2024-08-08T00:00:00"/>
        <d v="2024-02-16T00:00:00"/>
        <d v="2024-03-02T00:00:00"/>
        <d v="2024-06-08T00:00:00"/>
        <d v="2024-03-20T00:00:00"/>
        <d v="2024-09-16T00:00:00"/>
        <d v="2024-01-03T00:00:00"/>
        <d v="2024-07-23T00:00:00"/>
        <d v="2024-04-24T00:00:00"/>
        <d v="2024-09-24T00:00:00"/>
        <d v="2024-11-07T00:00:00"/>
        <d v="2024-03-31T00:00:00"/>
        <d v="2024-04-27T00:00:00"/>
        <d v="2024-03-04T00:00:00"/>
        <d v="2024-07-09T00:00:00"/>
        <d v="2024-10-05T00:00:00"/>
        <d v="2024-07-21T00:00:00"/>
        <d v="2024-06-11T00:00:00"/>
        <d v="2024-03-18T00:00:00"/>
        <d v="2024-06-03T00:00:00"/>
        <d v="2024-03-24T00:00:00"/>
        <d v="2024-12-04T00:00:00"/>
        <d v="2024-08-21T00:00:00"/>
        <d v="2024-10-17T00:00:00"/>
        <d v="2024-05-26T00:00:00"/>
        <d v="2024-08-09T00:00:00"/>
        <d v="2024-10-27T00:00:00"/>
        <d v="2024-03-28T00:00:00"/>
        <d v="2024-07-07T00:00:00"/>
        <d v="2024-12-15T00:00:00"/>
        <d v="2024-04-02T00:00:00"/>
        <d v="2024-01-18T00:00:00"/>
        <d v="2024-10-24T00:00:00"/>
        <d v="2024-07-19T00:00:00"/>
        <d v="2024-06-10T00:00:00"/>
        <d v="2024-05-16T00:00:00"/>
        <d v="2024-10-12T00:00:00"/>
        <d v="2024-09-03T00:00:00"/>
        <d v="2024-09-12T00:00:00"/>
        <d v="2024-08-17T00:00:00"/>
        <d v="2024-06-28T00:00:00"/>
        <d v="2024-08-27T00:00:00"/>
        <d v="2024-05-17T00:00:00"/>
        <d v="2024-04-21T00:00:00"/>
        <d v="2024-11-09T00:00:00"/>
        <d v="2024-04-08T00:00:00"/>
        <d v="2024-10-31T00:00:00"/>
        <d v="2024-02-27T00:00:00"/>
        <d v="2024-07-17T00:00:00"/>
        <d v="2024-07-03T00:00:00"/>
        <d v="2024-05-14T00:00:00"/>
        <d v="2024-04-30T00:00:00"/>
        <d v="2024-10-29T00:00:00"/>
        <d v="2024-05-25T00:00:00"/>
        <d v="2024-07-13T00:00:00"/>
        <d v="2024-11-08T00:00:00"/>
        <d v="2024-05-29T00:00:00"/>
        <d v="2024-10-01T00:00:00"/>
        <d v="2024-11-24T00:00:00"/>
        <d v="2024-08-23T00:00:00"/>
        <d v="2024-03-25T00:00:00"/>
        <d v="2024-02-01T00:00:00"/>
        <d v="2024-04-14T00:00:00"/>
        <d v="2024-11-18T00:00:00"/>
        <d v="2024-10-21T00:00:00"/>
        <d v="2024-11-23T00:00:00"/>
        <d v="2024-10-30T00:00:00"/>
        <d v="2024-01-27T00:00:00"/>
        <d v="2024-11-12T00:00:00"/>
        <d v="2024-08-06T00:00:00"/>
        <d v="2024-08-14T00:00:00"/>
        <d v="2024-12-06T00:00:00"/>
        <d v="2024-09-29T00:00:00"/>
        <d v="2024-02-24T00:00:00"/>
        <d v="2024-01-17T00:00:00"/>
        <d v="2024-03-01T00:00:00"/>
        <d v="2024-11-19T00:00:00"/>
        <d v="2024-10-25T00:00:00"/>
        <d v="2024-09-05T00:00:00"/>
        <d v="2024-05-21T00:00:00"/>
        <d v="2024-01-08T00:00:00"/>
        <d v="2024-09-18T00:00:00"/>
        <d v="2024-10-16T00:00:00"/>
        <d v="2024-02-19T00:00:00"/>
        <d v="2024-09-17T00:00:00"/>
        <d v="2024-08-19T00:00:00"/>
        <d v="2024-02-06T00:00:00"/>
        <d v="2024-08-30T00:00:00"/>
        <d v="2024-07-02T00:00:00"/>
        <d v="2024-11-05T00:00:00"/>
        <d v="2024-08-26T00:00:00"/>
        <d v="2024-07-18T00:00:00"/>
        <d v="2024-12-08T00:00:00"/>
        <d v="2024-05-19T00:00:00"/>
        <d v="2024-09-25T00:00:00"/>
        <d v="2024-07-11T00:00:00"/>
        <d v="2024-02-15T00:00:00"/>
        <d v="2024-06-16T00:00:00"/>
        <d v="2024-04-18T00:00:00"/>
        <d v="2024-05-23T00:00:00"/>
        <d v="2024-12-18T00:00:00"/>
        <d v="2024-06-17T00:00:00"/>
        <d v="2024-11-26T00:00:00"/>
        <d v="2024-07-16T00:00:00"/>
        <d v="2024-11-14T00:00:00"/>
        <d v="2024-10-07T00:00:00"/>
        <d v="2024-03-27T00:00:00"/>
        <d v="2024-08-24T00:00:00"/>
        <d v="2024-02-14T00:00:00"/>
        <d v="2024-03-15T00:00:00"/>
        <d v="2024-03-11T00:00:00"/>
        <d v="2024-02-05T00:00:00"/>
        <d v="2024-06-29T00:00:00"/>
        <d v="2024-02-09T00:00:00"/>
        <d v="2024-07-24T00:00:00"/>
        <d v="2024-02-04T00:00:00"/>
        <d v="2024-02-18T00:00:00"/>
        <d v="2024-05-07T00:00:00"/>
        <d v="2024-08-03T00:00:00"/>
        <d v="2024-12-11T00:00:00"/>
        <d v="2024-11-11T00:00:00"/>
        <d v="2024-01-24T00:00:00"/>
        <d v="2024-09-15T00:00:00"/>
        <d v="2024-12-09T00:00:00"/>
        <d v="2024-06-23T00:00:00"/>
        <d v="2024-04-19T00:00:00"/>
        <d v="2024-10-08T00:00:00"/>
        <d v="2024-12-24T00:00:00"/>
        <d v="2024-01-21T00:00:00"/>
        <d v="2024-07-14T00:00:00"/>
        <d v="2024-10-26T00:00:00"/>
        <d v="2024-09-13T00:00:00"/>
        <d v="2024-07-29T00:00:00"/>
        <d v="2024-12-14T00:00:00"/>
        <d v="2024-08-05T00:00:00"/>
        <d v="2024-09-21T00:00:00"/>
        <d v="2024-01-11T00:00:00"/>
        <d v="2024-09-22T00:00:00"/>
        <d v="2024-09-07T00:00:00"/>
        <d v="2024-03-26T00:00:00"/>
        <d v="2024-12-25T00:00:00"/>
        <d v="2024-09-02T00:00:00"/>
        <d v="2024-06-30T00:00:00"/>
        <d v="2024-07-25T00:00:00"/>
        <d v="2024-10-04T00:00:00"/>
        <d v="2024-09-20T00:00:00"/>
        <d v="2024-03-09T00:00:00"/>
        <d v="2024-01-05T00:00:00"/>
        <d v="2024-11-13T00:00:00"/>
        <d v="2024-05-13T00:00:00"/>
        <d v="2024-04-13T00:00:00"/>
        <d v="2024-04-01T00:00:00"/>
        <d v="2024-06-06T00:00:00"/>
        <d v="2024-01-29T00:00:00"/>
        <d v="2024-10-03T00:00:00"/>
        <d v="2024-12-21T00:00:00"/>
        <d v="2024-04-17T00:00:00"/>
        <d v="2024-01-06T00:00:00"/>
        <d v="2024-12-20T00:00:00"/>
        <d v="2024-06-19T00:00:00"/>
        <d v="2024-09-28T00:00:00"/>
        <d v="2024-02-22T00:00:00"/>
        <d v="2024-01-22T00:00:00"/>
        <d v="2024-08-11T00:00:00"/>
        <d v="2024-04-20T00:00:00"/>
        <d v="2024-01-13T00:00:00"/>
        <d v="2024-10-11T00:00:00"/>
        <d v="2024-01-14T00:00:00"/>
        <d v="2024-11-10T00:00:00"/>
        <d v="2024-06-15T00:00:00"/>
        <d v="2024-12-26T00:00:00"/>
        <d v="2024-09-01T00:00:00"/>
        <d v="2024-05-31T00:00:00"/>
        <d v="2024-05-28T00:00:00"/>
        <d v="2024-11-27T00:00:00"/>
        <d v="2024-06-04T00:00:00"/>
        <d v="2024-02-03T00:00:00"/>
        <d v="2024-07-22T00:00:00"/>
        <d v="2024-09-27T00:00:00"/>
        <d v="2024-05-04T00:00:00"/>
        <d v="2024-08-10T00:00:00"/>
        <d v="2024-12-01T00:00:00"/>
        <d v="2024-08-15T00:00:00"/>
        <d v="2024-07-08T00:00:00"/>
        <d v="2024-02-29T00:00:00"/>
        <d v="2024-07-05T00:00:00"/>
        <d v="2024-05-10T00:00:00"/>
        <d v="2024-01-30T00:00:00"/>
        <d v="2024-01-16T00:00:00"/>
        <d v="2024-04-04T00:00:00"/>
        <d v="2024-03-23T00:00:00"/>
        <d v="2024-11-29T00:00:00"/>
        <d v="2024-08-02T00:00:00"/>
        <d v="2024-01-23T00:00:00"/>
        <d v="2024-08-29T00:00:00"/>
        <d v="2024-04-23T00:00:00"/>
        <d v="2024-11-28T00:00:00"/>
        <d v="2024-12-03T00:00:00"/>
        <d v="2024-11-15T00:00:00"/>
        <d v="2024-10-09T00:00:00"/>
        <d v="2024-05-02T00:00:00"/>
        <d v="2024-06-01T00:00:00"/>
        <d v="2024-07-01T00:00:00"/>
        <d v="2024-11-21T00:00:00"/>
        <d v="2024-04-22T00:00:00"/>
        <d v="2024-04-05T00:00:00"/>
        <d v="2024-03-03T00:00:00"/>
        <d v="2024-10-22T00:00:00"/>
        <d v="2024-09-08T00:00:00"/>
        <d v="2024-08-22T00:00:00"/>
        <d v="2024-05-05T00:00:00"/>
        <d v="2024-07-12T00:00:00"/>
        <d v="2024-10-06T00:00:00"/>
        <d v="2024-08-01T00:00:00"/>
        <d v="2024-11-30T00:00:00"/>
        <d v="2024-12-07T00:00:00"/>
        <d v="2024-01-01T00:00:00"/>
        <d v="2024-01-04T00:00:00"/>
        <d v="2024-06-09T00:00:00"/>
        <d v="2024-02-10T00:00:00"/>
        <d v="2024-07-26T00:00:00"/>
        <d v="2024-11-22T00:00:00"/>
        <d v="2024-12-23T00:00:00"/>
        <d v="2024-01-15T00:00:00"/>
        <d v="2024-03-21T00:00:00"/>
        <d v="2024-02-17T00:00:00"/>
        <d v="2024-12-19T00:00:00"/>
        <d v="2024-09-26T00:00:00"/>
        <d v="2024-08-18T00:00:00"/>
        <d v="2024-02-11T00:00:00"/>
        <d v="2024-04-28T00:00:00"/>
        <d v="2024-05-01T00:00:00"/>
        <d v="2024-12-16T00:00:00"/>
        <d v="2024-09-10T00:00:00"/>
        <d v="2024-09-11T00:00:00"/>
        <d v="2024-06-12T00:00:00"/>
        <d v="2024-10-13T00:00:00"/>
        <d v="2024-06-13T00:00:00"/>
        <d v="2024-03-06T00:00:00"/>
        <d v="2024-06-07T00:00:00"/>
        <d v="2024-11-25T00:00:00"/>
        <d v="2024-04-15T00:00:00"/>
        <d v="2024-08-07T00:00:00"/>
        <d v="2024-12-28T00:00:00"/>
        <d v="2024-07-20T00:00:00"/>
        <d v="2024-09-04T00:00:00"/>
        <d v="2024-08-16T00:00:00"/>
        <d v="2024-04-10T00:00:00"/>
        <d v="2024-03-08T00:00:00"/>
        <d v="2024-05-08T00:00:00"/>
        <d v="2024-01-12T00:00:00"/>
        <d v="2024-12-12T00:00:00"/>
        <d v="2024-07-31T00:00:00"/>
        <d v="2024-01-26T00:00:00"/>
        <d v="2024-12-27T00:00:00"/>
        <d v="2024-09-14T00:00:00"/>
        <d v="2024-11-03T00:00:00"/>
        <d v="2024-03-19T00:00:00"/>
        <d v="2024-04-06T00:00:00"/>
        <d v="2024-02-23T00:00:00"/>
        <d v="2024-06-20T00:00:00"/>
        <d v="2024-01-19T00:00:00"/>
        <d v="2024-04-07T00:00:00"/>
        <d v="2024-04-25T00:00:00"/>
        <d v="2024-07-10T00:00:00"/>
        <d v="2024-02-20T00:00:00"/>
        <d v="2024-12-13T00:00:00"/>
        <d v="2024-05-12T00:00:00"/>
        <d v="2024-06-27T00:00:00"/>
        <d v="2024-10-18T00:00:00"/>
        <d v="2024-07-30T00:00:00"/>
        <d v="2024-01-20T00:00:00"/>
        <d v="2024-02-08T00:00:00"/>
        <d v="2024-11-20T00:00:00"/>
        <d v="2024-06-14T00:00:00"/>
        <d v="2024-07-27T00:00:00"/>
        <d v="2024-05-20T00:00:00"/>
        <d v="2024-01-07T00:00:00"/>
        <d v="2024-12-17T00:00:00"/>
        <d v="2024-12-30T00:00:00"/>
        <d v="2024-03-16T00:00:00"/>
        <d v="2024-11-17T00:00:00"/>
        <d v="2024-03-22T00:00:00"/>
        <d v="2024-04-16T00:00:00"/>
        <d v="2024-01-31T00:00:00"/>
        <d v="2024-09-06T00:00:00"/>
        <d v="2024-02-25T00:00:00"/>
        <d v="2024-03-14T00:00:00"/>
        <d v="2024-08-13T00:00:00"/>
        <d v="2024-03-07T00:00:00"/>
        <d v="2024-02-26T00:00:00"/>
        <d v="2024-11-02T00:00:00"/>
        <d v="2024-03-29T00:00:00"/>
        <d v="2024-02-02T00:00:00"/>
        <d v="2024-07-04T00:00:00"/>
        <d v="2024-06-26T00:00:00"/>
        <d v="2024-07-06T00:00:00"/>
        <d v="2024-12-22T00:00:00"/>
        <d v="2024-02-13T00:00:00"/>
        <d v="2024-10-19T00:00:00"/>
        <d v="2024-01-28T00:00:00"/>
        <d v="2024-10-28T00:00:00"/>
        <d v="2024-05-18T00:00:00"/>
        <d v="2024-05-11T00:00:00"/>
        <d v="2024-02-28T00:00:00"/>
        <d v="2024-03-12T00:00:00"/>
        <d v="2024-04-29T00:00:00"/>
        <d v="2024-05-06T00:00:00"/>
        <d v="2024-06-18T00:00:00"/>
        <d v="2024-09-30T00:00:00"/>
        <d v="2024-05-30T00:00:00"/>
        <d v="2024-04-12T00:00:00"/>
        <d v="2024-12-29T00:00:00"/>
      </sharedItems>
    </cacheField>
    <cacheField name="Season" numFmtId="49">
      <sharedItems count="4">
        <s v="Spring"/>
        <s v="Summer"/>
        <s v="Autumn"/>
        <s v="Winter"/>
      </sharedItems>
    </cacheField>
    <cacheField name="Month" numFmtId="165">
      <sharedItems count="12">
        <s v="March"/>
        <s v="August"/>
        <s v="June"/>
        <s v="November"/>
        <s v="January"/>
        <s v="April"/>
        <s v="October"/>
        <s v="May"/>
        <s v="September"/>
        <s v="December"/>
        <s v="July"/>
        <s v="February"/>
      </sharedItems>
    </cacheField>
    <cacheField name="Weekday" numFmtId="14">
      <sharedItems count="7">
        <s v="Sunday"/>
        <s v="Tuesday"/>
        <s v="Saturday"/>
        <s v="Wednesday"/>
        <s v="Monday"/>
        <s v="Friday"/>
        <s v="Thursday"/>
      </sharedItems>
    </cacheField>
    <cacheField name="Discount_Used" numFmtId="49">
      <sharedItems count="2">
        <s v="True"/>
        <s v="False"/>
      </sharedItems>
    </cacheField>
    <cacheField name="Customer_Loyalty_Program_Member" numFmtId="49">
      <sharedItems count="2">
        <s v="True"/>
        <s v="False"/>
      </sharedItems>
    </cacheField>
    <cacheField name="Purchase_Intent" numFmtId="49">
      <sharedItems count="4">
        <s v="Wants-based"/>
        <s v="Planned"/>
        <s v="Need-based"/>
        <s v="Impulsive"/>
      </sharedItems>
    </cacheField>
    <cacheField name="Shipping_Preference" numFmtId="49">
      <sharedItems/>
    </cacheField>
    <cacheField name="Time_to_Decision" numFmtId="1">
      <sharedItems containsSemiMixedTypes="0" containsString="0" containsNumber="1" containsInteger="1" minValue="1" maxValue="14"/>
    </cacheField>
  </cacheFields>
  <extLst>
    <ext xmlns:x14="http://schemas.microsoft.com/office/spreadsheetml/2009/9/main" uri="{725AE2AE-9491-48be-B2B4-4EB974FC3084}">
      <x14:pivotCacheDefinition pivotCacheId="787554927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x v="0"/>
    <x v="0"/>
    <x v="0"/>
    <x v="0"/>
    <x v="0"/>
    <x v="0"/>
    <x v="0"/>
    <s v="Alung"/>
    <x v="0"/>
    <n v="50.71"/>
    <x v="0"/>
    <x v="0"/>
    <x v="0"/>
    <x v="0"/>
    <x v="0"/>
    <n v="3"/>
    <n v="0.3"/>
    <x v="0"/>
    <x v="0"/>
    <n v="0"/>
    <x v="0"/>
    <n v="9"/>
    <x v="0"/>
    <x v="0"/>
    <x v="0"/>
    <x v="0"/>
    <x v="0"/>
    <x v="0"/>
    <x v="0"/>
    <x v="0"/>
    <x v="0"/>
    <x v="0"/>
    <s v="No Preference"/>
    <n v="8"/>
  </r>
  <r>
    <x v="1"/>
    <x v="1"/>
    <x v="0"/>
    <x v="1"/>
    <x v="0"/>
    <x v="0"/>
    <x v="0"/>
    <s v="Norrköping"/>
    <x v="0"/>
    <n v="51.22"/>
    <x v="1"/>
    <x v="0"/>
    <x v="0"/>
    <x v="1"/>
    <x v="1"/>
    <n v="1"/>
    <n v="0"/>
    <x v="0"/>
    <x v="1"/>
    <n v="1"/>
    <x v="1"/>
    <n v="5"/>
    <x v="0"/>
    <x v="1"/>
    <x v="1"/>
    <x v="1"/>
    <x v="1"/>
    <x v="1"/>
    <x v="0"/>
    <x v="0"/>
    <x v="0"/>
    <x v="1"/>
    <s v="Standard"/>
    <n v="5"/>
  </r>
  <r>
    <x v="2"/>
    <x v="2"/>
    <x v="0"/>
    <x v="2"/>
    <x v="1"/>
    <x v="1"/>
    <x v="1"/>
    <s v="Gorzyce"/>
    <x v="1"/>
    <n v="53.87"/>
    <x v="2"/>
    <x v="0"/>
    <x v="1"/>
    <x v="0"/>
    <x v="0"/>
    <n v="3"/>
    <n v="0"/>
    <x v="1"/>
    <x v="1"/>
    <n v="0"/>
    <x v="0"/>
    <n v="10"/>
    <x v="1"/>
    <x v="1"/>
    <x v="1"/>
    <x v="2"/>
    <x v="1"/>
    <x v="2"/>
    <x v="1"/>
    <x v="0"/>
    <x v="1"/>
    <x v="1"/>
    <s v="No Preference"/>
    <n v="2"/>
  </r>
  <r>
    <x v="3"/>
    <x v="1"/>
    <x v="0"/>
    <x v="0"/>
    <x v="1"/>
    <x v="2"/>
    <x v="2"/>
    <s v="Shilin"/>
    <x v="2"/>
    <n v="56.85"/>
    <x v="3"/>
    <x v="0"/>
    <x v="0"/>
    <x v="1"/>
    <x v="1"/>
    <n v="1"/>
    <n v="2"/>
    <x v="0"/>
    <x v="1"/>
    <n v="0"/>
    <x v="2"/>
    <n v="1"/>
    <x v="1"/>
    <x v="0"/>
    <x v="1"/>
    <x v="3"/>
    <x v="2"/>
    <x v="3"/>
    <x v="2"/>
    <x v="0"/>
    <x v="1"/>
    <x v="0"/>
    <s v="Standard"/>
    <n v="14"/>
  </r>
  <r>
    <x v="4"/>
    <x v="3"/>
    <x v="0"/>
    <x v="1"/>
    <x v="1"/>
    <x v="0"/>
    <x v="0"/>
    <s v="Tabuc Pontevedra"/>
    <x v="3"/>
    <n v="58.32"/>
    <x v="4"/>
    <x v="0"/>
    <x v="1"/>
    <x v="2"/>
    <x v="2"/>
    <n v="5"/>
    <n v="0"/>
    <x v="2"/>
    <x v="0"/>
    <n v="1"/>
    <x v="1"/>
    <n v="6"/>
    <x v="2"/>
    <x v="0"/>
    <x v="2"/>
    <x v="4"/>
    <x v="0"/>
    <x v="0"/>
    <x v="3"/>
    <x v="0"/>
    <x v="0"/>
    <x v="2"/>
    <s v="Standard"/>
    <n v="8"/>
  </r>
  <r>
    <x v="5"/>
    <x v="2"/>
    <x v="0"/>
    <x v="3"/>
    <x v="1"/>
    <x v="0"/>
    <x v="0"/>
    <s v="Imielin"/>
    <x v="4"/>
    <n v="61.19"/>
    <x v="5"/>
    <x v="0"/>
    <x v="2"/>
    <x v="0"/>
    <x v="2"/>
    <n v="5"/>
    <n v="1"/>
    <x v="0"/>
    <x v="0"/>
    <n v="2"/>
    <x v="1"/>
    <n v="6"/>
    <x v="1"/>
    <x v="2"/>
    <x v="2"/>
    <x v="5"/>
    <x v="1"/>
    <x v="1"/>
    <x v="4"/>
    <x v="0"/>
    <x v="0"/>
    <x v="0"/>
    <s v="No Preference"/>
    <n v="3"/>
  </r>
  <r>
    <x v="6"/>
    <x v="4"/>
    <x v="0"/>
    <x v="0"/>
    <x v="1"/>
    <x v="2"/>
    <x v="1"/>
    <s v="Barg-e Matāl"/>
    <x v="5"/>
    <n v="64.22"/>
    <x v="6"/>
    <x v="0"/>
    <x v="0"/>
    <x v="2"/>
    <x v="1"/>
    <n v="1"/>
    <n v="2"/>
    <x v="3"/>
    <x v="2"/>
    <n v="1"/>
    <x v="0"/>
    <n v="9"/>
    <x v="0"/>
    <x v="0"/>
    <x v="2"/>
    <x v="6"/>
    <x v="3"/>
    <x v="4"/>
    <x v="1"/>
    <x v="0"/>
    <x v="1"/>
    <x v="3"/>
    <s v="No Preference"/>
    <n v="10"/>
  </r>
  <r>
    <x v="7"/>
    <x v="5"/>
    <x v="0"/>
    <x v="1"/>
    <x v="1"/>
    <x v="1"/>
    <x v="2"/>
    <s v="Qiryat Yam"/>
    <x v="6"/>
    <n v="68.02"/>
    <x v="2"/>
    <x v="0"/>
    <x v="0"/>
    <x v="3"/>
    <x v="1"/>
    <n v="2"/>
    <n v="1"/>
    <x v="0"/>
    <x v="1"/>
    <n v="1"/>
    <x v="1"/>
    <n v="6"/>
    <x v="3"/>
    <x v="1"/>
    <x v="3"/>
    <x v="7"/>
    <x v="2"/>
    <x v="3"/>
    <x v="5"/>
    <x v="0"/>
    <x v="0"/>
    <x v="2"/>
    <s v="Express"/>
    <n v="6"/>
  </r>
  <r>
    <x v="8"/>
    <x v="0"/>
    <x v="0"/>
    <x v="3"/>
    <x v="1"/>
    <x v="3"/>
    <x v="0"/>
    <s v="Shiroishi"/>
    <x v="7"/>
    <n v="72.8"/>
    <x v="7"/>
    <x v="0"/>
    <x v="1"/>
    <x v="1"/>
    <x v="2"/>
    <n v="4"/>
    <n v="1"/>
    <x v="3"/>
    <x v="2"/>
    <n v="2"/>
    <x v="0"/>
    <n v="10"/>
    <x v="1"/>
    <x v="2"/>
    <x v="2"/>
    <x v="8"/>
    <x v="1"/>
    <x v="1"/>
    <x v="1"/>
    <x v="0"/>
    <x v="1"/>
    <x v="2"/>
    <s v="Express"/>
    <n v="3"/>
  </r>
  <r>
    <x v="9"/>
    <x v="4"/>
    <x v="0"/>
    <x v="1"/>
    <x v="0"/>
    <x v="0"/>
    <x v="2"/>
    <s v="Prince Albert"/>
    <x v="8"/>
    <n v="73.19"/>
    <x v="3"/>
    <x v="0"/>
    <x v="2"/>
    <x v="1"/>
    <x v="2"/>
    <n v="5"/>
    <n v="1"/>
    <x v="2"/>
    <x v="0"/>
    <n v="2"/>
    <x v="0"/>
    <n v="8"/>
    <x v="1"/>
    <x v="0"/>
    <x v="2"/>
    <x v="9"/>
    <x v="0"/>
    <x v="5"/>
    <x v="6"/>
    <x v="1"/>
    <x v="0"/>
    <x v="2"/>
    <s v="No Preference"/>
    <n v="3"/>
  </r>
  <r>
    <x v="10"/>
    <x v="3"/>
    <x v="0"/>
    <x v="0"/>
    <x v="1"/>
    <x v="1"/>
    <x v="2"/>
    <s v="Pandean"/>
    <x v="9"/>
    <n v="77.08"/>
    <x v="2"/>
    <x v="0"/>
    <x v="2"/>
    <x v="1"/>
    <x v="1"/>
    <n v="1"/>
    <n v="0"/>
    <x v="3"/>
    <x v="0"/>
    <n v="0"/>
    <x v="0"/>
    <n v="8"/>
    <x v="3"/>
    <x v="1"/>
    <x v="2"/>
    <x v="10"/>
    <x v="2"/>
    <x v="6"/>
    <x v="1"/>
    <x v="0"/>
    <x v="0"/>
    <x v="3"/>
    <s v="Standard"/>
    <n v="1"/>
  </r>
  <r>
    <x v="11"/>
    <x v="6"/>
    <x v="0"/>
    <x v="1"/>
    <x v="1"/>
    <x v="1"/>
    <x v="0"/>
    <s v="Masaran"/>
    <x v="10"/>
    <n v="81.25"/>
    <x v="6"/>
    <x v="0"/>
    <x v="0"/>
    <x v="2"/>
    <x v="1"/>
    <n v="2"/>
    <n v="1"/>
    <x v="2"/>
    <x v="1"/>
    <n v="2"/>
    <x v="0"/>
    <n v="8"/>
    <x v="0"/>
    <x v="2"/>
    <x v="1"/>
    <x v="11"/>
    <x v="0"/>
    <x v="7"/>
    <x v="5"/>
    <x v="0"/>
    <x v="0"/>
    <x v="1"/>
    <s v="No Preference"/>
    <n v="10"/>
  </r>
  <r>
    <x v="12"/>
    <x v="1"/>
    <x v="0"/>
    <x v="0"/>
    <x v="1"/>
    <x v="3"/>
    <x v="1"/>
    <s v="Līkak"/>
    <x v="6"/>
    <n v="82.13"/>
    <x v="6"/>
    <x v="0"/>
    <x v="0"/>
    <x v="4"/>
    <x v="1"/>
    <n v="1"/>
    <n v="0"/>
    <x v="1"/>
    <x v="2"/>
    <n v="2"/>
    <x v="1"/>
    <n v="6"/>
    <x v="1"/>
    <x v="1"/>
    <x v="0"/>
    <x v="12"/>
    <x v="0"/>
    <x v="5"/>
    <x v="1"/>
    <x v="0"/>
    <x v="0"/>
    <x v="2"/>
    <s v="Express"/>
    <n v="6"/>
  </r>
  <r>
    <x v="13"/>
    <x v="2"/>
    <x v="0"/>
    <x v="0"/>
    <x v="1"/>
    <x v="1"/>
    <x v="1"/>
    <s v="Vendargues"/>
    <x v="11"/>
    <n v="83.5"/>
    <x v="0"/>
    <x v="0"/>
    <x v="1"/>
    <x v="1"/>
    <x v="2"/>
    <n v="4"/>
    <n v="0"/>
    <x v="0"/>
    <x v="0"/>
    <n v="2"/>
    <x v="1"/>
    <n v="7"/>
    <x v="2"/>
    <x v="0"/>
    <x v="1"/>
    <x v="13"/>
    <x v="3"/>
    <x v="4"/>
    <x v="6"/>
    <x v="0"/>
    <x v="0"/>
    <x v="2"/>
    <s v="Standard"/>
    <n v="10"/>
  </r>
  <r>
    <x v="14"/>
    <x v="1"/>
    <x v="0"/>
    <x v="0"/>
    <x v="1"/>
    <x v="3"/>
    <x v="2"/>
    <s v="Villa Dolores"/>
    <x v="5"/>
    <n v="85.57"/>
    <x v="0"/>
    <x v="0"/>
    <x v="1"/>
    <x v="1"/>
    <x v="1"/>
    <n v="1"/>
    <n v="1"/>
    <x v="2"/>
    <x v="1"/>
    <n v="2"/>
    <x v="2"/>
    <n v="4"/>
    <x v="0"/>
    <x v="1"/>
    <x v="0"/>
    <x v="14"/>
    <x v="1"/>
    <x v="1"/>
    <x v="2"/>
    <x v="0"/>
    <x v="0"/>
    <x v="1"/>
    <s v="No Preference"/>
    <n v="9"/>
  </r>
  <r>
    <x v="15"/>
    <x v="1"/>
    <x v="0"/>
    <x v="0"/>
    <x v="0"/>
    <x v="1"/>
    <x v="1"/>
    <s v="Liushun"/>
    <x v="12"/>
    <n v="86.39"/>
    <x v="3"/>
    <x v="0"/>
    <x v="2"/>
    <x v="0"/>
    <x v="2"/>
    <n v="5"/>
    <n v="1"/>
    <x v="3"/>
    <x v="2"/>
    <n v="1"/>
    <x v="2"/>
    <n v="1"/>
    <x v="0"/>
    <x v="2"/>
    <x v="0"/>
    <x v="15"/>
    <x v="2"/>
    <x v="8"/>
    <x v="4"/>
    <x v="1"/>
    <x v="1"/>
    <x v="2"/>
    <s v="Standard"/>
    <n v="7"/>
  </r>
  <r>
    <x v="16"/>
    <x v="0"/>
    <x v="0"/>
    <x v="1"/>
    <x v="1"/>
    <x v="3"/>
    <x v="2"/>
    <s v="Valbo"/>
    <x v="6"/>
    <n v="89.6"/>
    <x v="4"/>
    <x v="0"/>
    <x v="1"/>
    <x v="4"/>
    <x v="0"/>
    <n v="3"/>
    <n v="2"/>
    <x v="0"/>
    <x v="0"/>
    <n v="1"/>
    <x v="1"/>
    <n v="5"/>
    <x v="2"/>
    <x v="2"/>
    <x v="1"/>
    <x v="16"/>
    <x v="0"/>
    <x v="0"/>
    <x v="0"/>
    <x v="1"/>
    <x v="1"/>
    <x v="1"/>
    <s v="Standard"/>
    <n v="8"/>
  </r>
  <r>
    <x v="17"/>
    <x v="3"/>
    <x v="0"/>
    <x v="1"/>
    <x v="1"/>
    <x v="1"/>
    <x v="2"/>
    <s v="Jinping"/>
    <x v="13"/>
    <n v="91.27"/>
    <x v="4"/>
    <x v="0"/>
    <x v="1"/>
    <x v="4"/>
    <x v="1"/>
    <n v="1"/>
    <n v="0"/>
    <x v="3"/>
    <x v="0"/>
    <n v="2"/>
    <x v="1"/>
    <n v="6"/>
    <x v="3"/>
    <x v="1"/>
    <x v="1"/>
    <x v="17"/>
    <x v="1"/>
    <x v="2"/>
    <x v="5"/>
    <x v="0"/>
    <x v="0"/>
    <x v="1"/>
    <s v="Express"/>
    <n v="13"/>
  </r>
  <r>
    <x v="18"/>
    <x v="7"/>
    <x v="0"/>
    <x v="1"/>
    <x v="0"/>
    <x v="3"/>
    <x v="2"/>
    <s v="Rio Pardo"/>
    <x v="4"/>
    <n v="91.34"/>
    <x v="3"/>
    <x v="0"/>
    <x v="0"/>
    <x v="1"/>
    <x v="1"/>
    <n v="1"/>
    <n v="1"/>
    <x v="0"/>
    <x v="0"/>
    <n v="0"/>
    <x v="2"/>
    <n v="1"/>
    <x v="3"/>
    <x v="0"/>
    <x v="0"/>
    <x v="18"/>
    <x v="3"/>
    <x v="4"/>
    <x v="3"/>
    <x v="0"/>
    <x v="0"/>
    <x v="3"/>
    <s v="Express"/>
    <n v="6"/>
  </r>
  <r>
    <x v="19"/>
    <x v="3"/>
    <x v="0"/>
    <x v="4"/>
    <x v="1"/>
    <x v="1"/>
    <x v="1"/>
    <s v="Krajan Baru"/>
    <x v="0"/>
    <n v="92.43"/>
    <x v="0"/>
    <x v="0"/>
    <x v="2"/>
    <x v="0"/>
    <x v="1"/>
    <n v="1"/>
    <n v="0"/>
    <x v="1"/>
    <x v="2"/>
    <n v="2"/>
    <x v="0"/>
    <n v="9"/>
    <x v="3"/>
    <x v="0"/>
    <x v="4"/>
    <x v="19"/>
    <x v="3"/>
    <x v="9"/>
    <x v="6"/>
    <x v="1"/>
    <x v="0"/>
    <x v="2"/>
    <s v="Standard"/>
    <n v="6"/>
  </r>
  <r>
    <x v="20"/>
    <x v="7"/>
    <x v="0"/>
    <x v="0"/>
    <x v="1"/>
    <x v="0"/>
    <x v="0"/>
    <s v="Ambatolaona"/>
    <x v="10"/>
    <n v="96.86"/>
    <x v="6"/>
    <x v="0"/>
    <x v="2"/>
    <x v="4"/>
    <x v="2"/>
    <n v="5"/>
    <n v="0"/>
    <x v="0"/>
    <x v="0"/>
    <n v="2"/>
    <x v="0"/>
    <n v="10"/>
    <x v="0"/>
    <x v="2"/>
    <x v="0"/>
    <x v="20"/>
    <x v="1"/>
    <x v="10"/>
    <x v="0"/>
    <x v="1"/>
    <x v="0"/>
    <x v="0"/>
    <s v="Standard"/>
    <n v="7"/>
  </r>
  <r>
    <x v="21"/>
    <x v="2"/>
    <x v="0"/>
    <x v="0"/>
    <x v="1"/>
    <x v="0"/>
    <x v="2"/>
    <s v="Radā‘"/>
    <x v="6"/>
    <n v="103.4"/>
    <x v="6"/>
    <x v="0"/>
    <x v="1"/>
    <x v="0"/>
    <x v="1"/>
    <n v="1"/>
    <n v="2"/>
    <x v="3"/>
    <x v="0"/>
    <n v="1"/>
    <x v="0"/>
    <n v="9"/>
    <x v="0"/>
    <x v="0"/>
    <x v="0"/>
    <x v="21"/>
    <x v="2"/>
    <x v="3"/>
    <x v="4"/>
    <x v="0"/>
    <x v="1"/>
    <x v="1"/>
    <s v="Standard"/>
    <n v="9"/>
  </r>
  <r>
    <x v="22"/>
    <x v="2"/>
    <x v="0"/>
    <x v="1"/>
    <x v="0"/>
    <x v="2"/>
    <x v="2"/>
    <s v="Cervantes"/>
    <x v="5"/>
    <n v="105.95"/>
    <x v="0"/>
    <x v="0"/>
    <x v="2"/>
    <x v="2"/>
    <x v="2"/>
    <n v="4"/>
    <n v="2"/>
    <x v="2"/>
    <x v="1"/>
    <n v="1"/>
    <x v="1"/>
    <n v="7"/>
    <x v="0"/>
    <x v="2"/>
    <x v="1"/>
    <x v="22"/>
    <x v="1"/>
    <x v="1"/>
    <x v="0"/>
    <x v="1"/>
    <x v="1"/>
    <x v="3"/>
    <s v="Standard"/>
    <n v="11"/>
  </r>
  <r>
    <x v="23"/>
    <x v="2"/>
    <x v="0"/>
    <x v="1"/>
    <x v="0"/>
    <x v="1"/>
    <x v="0"/>
    <s v="Béziers"/>
    <x v="2"/>
    <n v="106.15"/>
    <x v="0"/>
    <x v="0"/>
    <x v="1"/>
    <x v="0"/>
    <x v="2"/>
    <n v="4"/>
    <n v="0.3"/>
    <x v="2"/>
    <x v="2"/>
    <n v="0"/>
    <x v="1"/>
    <n v="5"/>
    <x v="0"/>
    <x v="2"/>
    <x v="1"/>
    <x v="23"/>
    <x v="0"/>
    <x v="0"/>
    <x v="2"/>
    <x v="0"/>
    <x v="0"/>
    <x v="3"/>
    <s v="Standard"/>
    <n v="8"/>
  </r>
  <r>
    <x v="24"/>
    <x v="4"/>
    <x v="0"/>
    <x v="0"/>
    <x v="0"/>
    <x v="2"/>
    <x v="2"/>
    <s v="Guacarí"/>
    <x v="10"/>
    <n v="111.75"/>
    <x v="8"/>
    <x v="0"/>
    <x v="1"/>
    <x v="2"/>
    <x v="2"/>
    <n v="4"/>
    <n v="0"/>
    <x v="3"/>
    <x v="0"/>
    <n v="1"/>
    <x v="1"/>
    <n v="6"/>
    <x v="1"/>
    <x v="1"/>
    <x v="0"/>
    <x v="24"/>
    <x v="2"/>
    <x v="6"/>
    <x v="6"/>
    <x v="1"/>
    <x v="0"/>
    <x v="3"/>
    <s v="Standard"/>
    <n v="8"/>
  </r>
  <r>
    <x v="25"/>
    <x v="1"/>
    <x v="0"/>
    <x v="0"/>
    <x v="0"/>
    <x v="1"/>
    <x v="2"/>
    <s v="La Tour-du-Pin"/>
    <x v="4"/>
    <n v="113.01"/>
    <x v="7"/>
    <x v="0"/>
    <x v="1"/>
    <x v="4"/>
    <x v="1"/>
    <n v="2"/>
    <n v="2"/>
    <x v="2"/>
    <x v="1"/>
    <n v="1"/>
    <x v="2"/>
    <n v="1"/>
    <x v="3"/>
    <x v="1"/>
    <x v="3"/>
    <x v="25"/>
    <x v="0"/>
    <x v="7"/>
    <x v="3"/>
    <x v="1"/>
    <x v="0"/>
    <x v="3"/>
    <s v="Express"/>
    <n v="4"/>
  </r>
  <r>
    <x v="26"/>
    <x v="2"/>
    <x v="0"/>
    <x v="5"/>
    <x v="1"/>
    <x v="2"/>
    <x v="2"/>
    <s v="Latacunga"/>
    <x v="9"/>
    <n v="114.44"/>
    <x v="8"/>
    <x v="0"/>
    <x v="0"/>
    <x v="4"/>
    <x v="0"/>
    <n v="3"/>
    <n v="2"/>
    <x v="2"/>
    <x v="0"/>
    <n v="1"/>
    <x v="0"/>
    <n v="9"/>
    <x v="3"/>
    <x v="2"/>
    <x v="3"/>
    <x v="26"/>
    <x v="2"/>
    <x v="6"/>
    <x v="0"/>
    <x v="1"/>
    <x v="1"/>
    <x v="1"/>
    <s v="Express"/>
    <n v="1"/>
  </r>
  <r>
    <x v="27"/>
    <x v="5"/>
    <x v="0"/>
    <x v="1"/>
    <x v="1"/>
    <x v="2"/>
    <x v="0"/>
    <s v="Desakolot"/>
    <x v="5"/>
    <n v="118.65"/>
    <x v="2"/>
    <x v="0"/>
    <x v="2"/>
    <x v="2"/>
    <x v="0"/>
    <n v="3"/>
    <n v="0"/>
    <x v="2"/>
    <x v="1"/>
    <n v="0"/>
    <x v="2"/>
    <n v="2"/>
    <x v="2"/>
    <x v="0"/>
    <x v="3"/>
    <x v="27"/>
    <x v="3"/>
    <x v="4"/>
    <x v="1"/>
    <x v="0"/>
    <x v="0"/>
    <x v="3"/>
    <s v="Standard"/>
    <n v="13"/>
  </r>
  <r>
    <x v="28"/>
    <x v="4"/>
    <x v="0"/>
    <x v="1"/>
    <x v="1"/>
    <x v="2"/>
    <x v="1"/>
    <s v="Loket"/>
    <x v="8"/>
    <n v="121.7"/>
    <x v="4"/>
    <x v="0"/>
    <x v="2"/>
    <x v="0"/>
    <x v="0"/>
    <n v="3"/>
    <n v="0"/>
    <x v="3"/>
    <x v="1"/>
    <n v="2"/>
    <x v="1"/>
    <n v="5"/>
    <x v="3"/>
    <x v="0"/>
    <x v="3"/>
    <x v="28"/>
    <x v="1"/>
    <x v="2"/>
    <x v="4"/>
    <x v="0"/>
    <x v="0"/>
    <x v="1"/>
    <s v="Standard"/>
    <n v="8"/>
  </r>
  <r>
    <x v="29"/>
    <x v="7"/>
    <x v="0"/>
    <x v="1"/>
    <x v="1"/>
    <x v="0"/>
    <x v="0"/>
    <s v="Galán"/>
    <x v="14"/>
    <n v="125.68"/>
    <x v="5"/>
    <x v="0"/>
    <x v="0"/>
    <x v="2"/>
    <x v="2"/>
    <n v="4"/>
    <n v="1"/>
    <x v="0"/>
    <x v="0"/>
    <n v="1"/>
    <x v="0"/>
    <n v="8"/>
    <x v="0"/>
    <x v="0"/>
    <x v="0"/>
    <x v="17"/>
    <x v="1"/>
    <x v="2"/>
    <x v="5"/>
    <x v="0"/>
    <x v="1"/>
    <x v="2"/>
    <s v="Express"/>
    <n v="9"/>
  </r>
  <r>
    <x v="30"/>
    <x v="5"/>
    <x v="0"/>
    <x v="1"/>
    <x v="1"/>
    <x v="0"/>
    <x v="2"/>
    <s v="São Cristóvão"/>
    <x v="0"/>
    <n v="126.26"/>
    <x v="5"/>
    <x v="0"/>
    <x v="0"/>
    <x v="0"/>
    <x v="2"/>
    <n v="5"/>
    <n v="1"/>
    <x v="0"/>
    <x v="2"/>
    <n v="1"/>
    <x v="1"/>
    <n v="6"/>
    <x v="3"/>
    <x v="0"/>
    <x v="0"/>
    <x v="29"/>
    <x v="2"/>
    <x v="8"/>
    <x v="6"/>
    <x v="0"/>
    <x v="1"/>
    <x v="1"/>
    <s v="Standard"/>
    <n v="13"/>
  </r>
  <r>
    <x v="31"/>
    <x v="2"/>
    <x v="0"/>
    <x v="1"/>
    <x v="0"/>
    <x v="1"/>
    <x v="0"/>
    <s v="Rende"/>
    <x v="11"/>
    <n v="129.63999999999999"/>
    <x v="8"/>
    <x v="0"/>
    <x v="1"/>
    <x v="3"/>
    <x v="1"/>
    <n v="1"/>
    <n v="2"/>
    <x v="0"/>
    <x v="0"/>
    <n v="1"/>
    <x v="2"/>
    <n v="3"/>
    <x v="2"/>
    <x v="2"/>
    <x v="0"/>
    <x v="30"/>
    <x v="0"/>
    <x v="7"/>
    <x v="4"/>
    <x v="1"/>
    <x v="0"/>
    <x v="2"/>
    <s v="Express"/>
    <n v="3"/>
  </r>
  <r>
    <x v="32"/>
    <x v="3"/>
    <x v="0"/>
    <x v="1"/>
    <x v="0"/>
    <x v="1"/>
    <x v="0"/>
    <s v="Gweedore"/>
    <x v="15"/>
    <n v="131.47999999999999"/>
    <x v="9"/>
    <x v="0"/>
    <x v="2"/>
    <x v="3"/>
    <x v="2"/>
    <n v="5"/>
    <n v="0"/>
    <x v="0"/>
    <x v="2"/>
    <n v="2"/>
    <x v="2"/>
    <n v="1"/>
    <x v="2"/>
    <x v="1"/>
    <x v="3"/>
    <x v="31"/>
    <x v="1"/>
    <x v="1"/>
    <x v="6"/>
    <x v="0"/>
    <x v="0"/>
    <x v="0"/>
    <s v="No Preference"/>
    <n v="12"/>
  </r>
  <r>
    <x v="33"/>
    <x v="5"/>
    <x v="0"/>
    <x v="1"/>
    <x v="0"/>
    <x v="3"/>
    <x v="0"/>
    <s v="Pyra"/>
    <x v="9"/>
    <n v="131.9"/>
    <x v="9"/>
    <x v="0"/>
    <x v="2"/>
    <x v="3"/>
    <x v="2"/>
    <n v="5"/>
    <n v="0"/>
    <x v="0"/>
    <x v="0"/>
    <n v="2"/>
    <x v="2"/>
    <n v="4"/>
    <x v="0"/>
    <x v="1"/>
    <x v="3"/>
    <x v="7"/>
    <x v="2"/>
    <x v="3"/>
    <x v="5"/>
    <x v="0"/>
    <x v="0"/>
    <x v="1"/>
    <s v="No Preference"/>
    <n v="4"/>
  </r>
  <r>
    <x v="34"/>
    <x v="0"/>
    <x v="0"/>
    <x v="0"/>
    <x v="0"/>
    <x v="0"/>
    <x v="0"/>
    <s v="Cawayan"/>
    <x v="3"/>
    <n v="135.65"/>
    <x v="9"/>
    <x v="0"/>
    <x v="0"/>
    <x v="0"/>
    <x v="1"/>
    <n v="1"/>
    <n v="1"/>
    <x v="2"/>
    <x v="1"/>
    <n v="0"/>
    <x v="0"/>
    <n v="9"/>
    <x v="3"/>
    <x v="2"/>
    <x v="4"/>
    <x v="32"/>
    <x v="3"/>
    <x v="11"/>
    <x v="5"/>
    <x v="1"/>
    <x v="1"/>
    <x v="3"/>
    <s v="Standard"/>
    <n v="14"/>
  </r>
  <r>
    <x v="35"/>
    <x v="1"/>
    <x v="0"/>
    <x v="0"/>
    <x v="1"/>
    <x v="2"/>
    <x v="2"/>
    <s v="Lameira"/>
    <x v="15"/>
    <n v="138.19999999999999"/>
    <x v="9"/>
    <x v="0"/>
    <x v="1"/>
    <x v="2"/>
    <x v="1"/>
    <n v="2"/>
    <n v="2"/>
    <x v="3"/>
    <x v="0"/>
    <n v="0"/>
    <x v="1"/>
    <n v="6"/>
    <x v="2"/>
    <x v="2"/>
    <x v="0"/>
    <x v="33"/>
    <x v="0"/>
    <x v="0"/>
    <x v="2"/>
    <x v="1"/>
    <x v="0"/>
    <x v="2"/>
    <s v="No Preference"/>
    <n v="12"/>
  </r>
  <r>
    <x v="36"/>
    <x v="1"/>
    <x v="0"/>
    <x v="0"/>
    <x v="1"/>
    <x v="0"/>
    <x v="2"/>
    <s v="Inayauan"/>
    <x v="3"/>
    <n v="138.88"/>
    <x v="4"/>
    <x v="0"/>
    <x v="1"/>
    <x v="1"/>
    <x v="2"/>
    <n v="4"/>
    <n v="1"/>
    <x v="0"/>
    <x v="0"/>
    <n v="1"/>
    <x v="2"/>
    <n v="3"/>
    <x v="3"/>
    <x v="1"/>
    <x v="1"/>
    <x v="34"/>
    <x v="1"/>
    <x v="2"/>
    <x v="2"/>
    <x v="0"/>
    <x v="1"/>
    <x v="1"/>
    <s v="No Preference"/>
    <n v="4"/>
  </r>
  <r>
    <x v="37"/>
    <x v="6"/>
    <x v="0"/>
    <x v="1"/>
    <x v="1"/>
    <x v="0"/>
    <x v="1"/>
    <s v="Puerto López"/>
    <x v="5"/>
    <n v="139.1"/>
    <x v="4"/>
    <x v="0"/>
    <x v="0"/>
    <x v="1"/>
    <x v="2"/>
    <n v="5"/>
    <n v="0"/>
    <x v="2"/>
    <x v="2"/>
    <n v="2"/>
    <x v="2"/>
    <n v="3"/>
    <x v="0"/>
    <x v="2"/>
    <x v="2"/>
    <x v="35"/>
    <x v="0"/>
    <x v="0"/>
    <x v="3"/>
    <x v="1"/>
    <x v="1"/>
    <x v="3"/>
    <s v="No Preference"/>
    <n v="8"/>
  </r>
  <r>
    <x v="38"/>
    <x v="3"/>
    <x v="0"/>
    <x v="1"/>
    <x v="0"/>
    <x v="2"/>
    <x v="1"/>
    <s v="Maomiaoji"/>
    <x v="9"/>
    <n v="145.97999999999999"/>
    <x v="8"/>
    <x v="0"/>
    <x v="1"/>
    <x v="2"/>
    <x v="1"/>
    <n v="2"/>
    <n v="1"/>
    <x v="2"/>
    <x v="1"/>
    <n v="2"/>
    <x v="1"/>
    <n v="5"/>
    <x v="1"/>
    <x v="2"/>
    <x v="4"/>
    <x v="36"/>
    <x v="2"/>
    <x v="8"/>
    <x v="4"/>
    <x v="1"/>
    <x v="1"/>
    <x v="2"/>
    <s v="No Preference"/>
    <n v="1"/>
  </r>
  <r>
    <x v="39"/>
    <x v="0"/>
    <x v="0"/>
    <x v="0"/>
    <x v="1"/>
    <x v="2"/>
    <x v="0"/>
    <s v="Gueset"/>
    <x v="8"/>
    <n v="149.41999999999999"/>
    <x v="10"/>
    <x v="0"/>
    <x v="2"/>
    <x v="2"/>
    <x v="1"/>
    <n v="1"/>
    <n v="2"/>
    <x v="1"/>
    <x v="1"/>
    <n v="0"/>
    <x v="1"/>
    <n v="6"/>
    <x v="3"/>
    <x v="2"/>
    <x v="1"/>
    <x v="37"/>
    <x v="3"/>
    <x v="4"/>
    <x v="3"/>
    <x v="0"/>
    <x v="1"/>
    <x v="0"/>
    <s v="Express"/>
    <n v="5"/>
  </r>
  <r>
    <x v="40"/>
    <x v="7"/>
    <x v="0"/>
    <x v="0"/>
    <x v="1"/>
    <x v="2"/>
    <x v="2"/>
    <s v="Götene"/>
    <x v="0"/>
    <n v="150.11000000000001"/>
    <x v="4"/>
    <x v="0"/>
    <x v="2"/>
    <x v="0"/>
    <x v="2"/>
    <n v="4"/>
    <n v="1.5"/>
    <x v="2"/>
    <x v="1"/>
    <n v="0"/>
    <x v="2"/>
    <n v="3"/>
    <x v="1"/>
    <x v="0"/>
    <x v="3"/>
    <x v="38"/>
    <x v="1"/>
    <x v="10"/>
    <x v="1"/>
    <x v="0"/>
    <x v="1"/>
    <x v="0"/>
    <s v="Standard"/>
    <n v="8"/>
  </r>
  <r>
    <x v="41"/>
    <x v="3"/>
    <x v="0"/>
    <x v="0"/>
    <x v="1"/>
    <x v="3"/>
    <x v="2"/>
    <s v="Balboa"/>
    <x v="14"/>
    <n v="150.33000000000001"/>
    <x v="6"/>
    <x v="0"/>
    <x v="1"/>
    <x v="0"/>
    <x v="2"/>
    <n v="4"/>
    <n v="2"/>
    <x v="0"/>
    <x v="2"/>
    <n v="2"/>
    <x v="0"/>
    <n v="9"/>
    <x v="0"/>
    <x v="2"/>
    <x v="0"/>
    <x v="39"/>
    <x v="0"/>
    <x v="5"/>
    <x v="3"/>
    <x v="0"/>
    <x v="1"/>
    <x v="0"/>
    <s v="Express"/>
    <n v="6"/>
  </r>
  <r>
    <x v="42"/>
    <x v="0"/>
    <x v="0"/>
    <x v="0"/>
    <x v="0"/>
    <x v="1"/>
    <x v="2"/>
    <s v="Kłoczew"/>
    <x v="7"/>
    <n v="151.72999999999999"/>
    <x v="10"/>
    <x v="0"/>
    <x v="1"/>
    <x v="1"/>
    <x v="2"/>
    <n v="4"/>
    <n v="1"/>
    <x v="1"/>
    <x v="1"/>
    <n v="1"/>
    <x v="2"/>
    <n v="3"/>
    <x v="3"/>
    <x v="0"/>
    <x v="4"/>
    <x v="40"/>
    <x v="2"/>
    <x v="8"/>
    <x v="1"/>
    <x v="1"/>
    <x v="0"/>
    <x v="0"/>
    <s v="Express"/>
    <n v="11"/>
  </r>
  <r>
    <x v="43"/>
    <x v="7"/>
    <x v="0"/>
    <x v="6"/>
    <x v="0"/>
    <x v="3"/>
    <x v="2"/>
    <s v="San Diego"/>
    <x v="8"/>
    <n v="156.4"/>
    <x v="4"/>
    <x v="0"/>
    <x v="1"/>
    <x v="0"/>
    <x v="2"/>
    <n v="5"/>
    <n v="2"/>
    <x v="2"/>
    <x v="2"/>
    <n v="1"/>
    <x v="1"/>
    <n v="7"/>
    <x v="2"/>
    <x v="2"/>
    <x v="3"/>
    <x v="41"/>
    <x v="2"/>
    <x v="3"/>
    <x v="6"/>
    <x v="1"/>
    <x v="0"/>
    <x v="2"/>
    <s v="Standard"/>
    <n v="4"/>
  </r>
  <r>
    <x v="44"/>
    <x v="2"/>
    <x v="0"/>
    <x v="0"/>
    <x v="1"/>
    <x v="0"/>
    <x v="1"/>
    <s v="San Isidro"/>
    <x v="6"/>
    <n v="156.47999999999999"/>
    <x v="4"/>
    <x v="0"/>
    <x v="1"/>
    <x v="4"/>
    <x v="1"/>
    <n v="1"/>
    <n v="0"/>
    <x v="2"/>
    <x v="0"/>
    <n v="2"/>
    <x v="1"/>
    <n v="5"/>
    <x v="0"/>
    <x v="2"/>
    <x v="4"/>
    <x v="4"/>
    <x v="0"/>
    <x v="0"/>
    <x v="3"/>
    <x v="1"/>
    <x v="0"/>
    <x v="0"/>
    <s v="No Preference"/>
    <n v="4"/>
  </r>
  <r>
    <x v="45"/>
    <x v="0"/>
    <x v="0"/>
    <x v="3"/>
    <x v="1"/>
    <x v="1"/>
    <x v="0"/>
    <s v="Kosh-Agach"/>
    <x v="16"/>
    <n v="158.54"/>
    <x v="3"/>
    <x v="0"/>
    <x v="0"/>
    <x v="1"/>
    <x v="1"/>
    <n v="1"/>
    <n v="1"/>
    <x v="2"/>
    <x v="0"/>
    <n v="2"/>
    <x v="1"/>
    <n v="7"/>
    <x v="1"/>
    <x v="0"/>
    <x v="0"/>
    <x v="42"/>
    <x v="0"/>
    <x v="0"/>
    <x v="0"/>
    <x v="1"/>
    <x v="1"/>
    <x v="1"/>
    <s v="Express"/>
    <n v="5"/>
  </r>
  <r>
    <x v="46"/>
    <x v="6"/>
    <x v="0"/>
    <x v="1"/>
    <x v="1"/>
    <x v="2"/>
    <x v="0"/>
    <s v="Dicamay"/>
    <x v="3"/>
    <n v="159.30000000000001"/>
    <x v="7"/>
    <x v="0"/>
    <x v="2"/>
    <x v="4"/>
    <x v="2"/>
    <n v="4"/>
    <n v="0"/>
    <x v="1"/>
    <x v="2"/>
    <n v="0"/>
    <x v="1"/>
    <n v="6"/>
    <x v="1"/>
    <x v="1"/>
    <x v="2"/>
    <x v="39"/>
    <x v="0"/>
    <x v="5"/>
    <x v="3"/>
    <x v="1"/>
    <x v="0"/>
    <x v="3"/>
    <s v="Express"/>
    <n v="2"/>
  </r>
  <r>
    <x v="47"/>
    <x v="1"/>
    <x v="0"/>
    <x v="1"/>
    <x v="0"/>
    <x v="2"/>
    <x v="0"/>
    <s v="Martanesh"/>
    <x v="8"/>
    <n v="159.53"/>
    <x v="7"/>
    <x v="0"/>
    <x v="2"/>
    <x v="3"/>
    <x v="2"/>
    <n v="4"/>
    <n v="2"/>
    <x v="2"/>
    <x v="1"/>
    <n v="0"/>
    <x v="2"/>
    <n v="3"/>
    <x v="2"/>
    <x v="2"/>
    <x v="1"/>
    <x v="43"/>
    <x v="0"/>
    <x v="5"/>
    <x v="2"/>
    <x v="0"/>
    <x v="0"/>
    <x v="3"/>
    <s v="Express"/>
    <n v="7"/>
  </r>
  <r>
    <x v="48"/>
    <x v="2"/>
    <x v="0"/>
    <x v="1"/>
    <x v="0"/>
    <x v="3"/>
    <x v="1"/>
    <s v="Těšany"/>
    <x v="3"/>
    <n v="160.25"/>
    <x v="4"/>
    <x v="0"/>
    <x v="0"/>
    <x v="1"/>
    <x v="0"/>
    <n v="3"/>
    <n v="2"/>
    <x v="0"/>
    <x v="1"/>
    <n v="2"/>
    <x v="1"/>
    <n v="5"/>
    <x v="1"/>
    <x v="2"/>
    <x v="2"/>
    <x v="44"/>
    <x v="0"/>
    <x v="0"/>
    <x v="4"/>
    <x v="0"/>
    <x v="0"/>
    <x v="2"/>
    <s v="No Preference"/>
    <n v="12"/>
  </r>
  <r>
    <x v="49"/>
    <x v="0"/>
    <x v="0"/>
    <x v="1"/>
    <x v="0"/>
    <x v="1"/>
    <x v="0"/>
    <s v="Novoukrainskiy"/>
    <x v="17"/>
    <n v="160.82"/>
    <x v="4"/>
    <x v="0"/>
    <x v="1"/>
    <x v="3"/>
    <x v="1"/>
    <n v="1"/>
    <n v="1"/>
    <x v="3"/>
    <x v="2"/>
    <n v="0"/>
    <x v="2"/>
    <n v="1"/>
    <x v="1"/>
    <x v="0"/>
    <x v="1"/>
    <x v="45"/>
    <x v="1"/>
    <x v="10"/>
    <x v="1"/>
    <x v="0"/>
    <x v="0"/>
    <x v="0"/>
    <s v="No Preference"/>
    <n v="3"/>
  </r>
  <r>
    <x v="50"/>
    <x v="2"/>
    <x v="0"/>
    <x v="0"/>
    <x v="0"/>
    <x v="2"/>
    <x v="0"/>
    <s v="Tianbao"/>
    <x v="15"/>
    <n v="162.31"/>
    <x v="9"/>
    <x v="0"/>
    <x v="1"/>
    <x v="4"/>
    <x v="1"/>
    <n v="1"/>
    <n v="1"/>
    <x v="3"/>
    <x v="1"/>
    <n v="1"/>
    <x v="2"/>
    <n v="2"/>
    <x v="0"/>
    <x v="1"/>
    <x v="3"/>
    <x v="46"/>
    <x v="2"/>
    <x v="6"/>
    <x v="2"/>
    <x v="1"/>
    <x v="1"/>
    <x v="2"/>
    <s v="No Preference"/>
    <n v="11"/>
  </r>
  <r>
    <x v="51"/>
    <x v="6"/>
    <x v="0"/>
    <x v="0"/>
    <x v="0"/>
    <x v="3"/>
    <x v="0"/>
    <s v="Segodim"/>
    <x v="3"/>
    <n v="162.94999999999999"/>
    <x v="7"/>
    <x v="0"/>
    <x v="1"/>
    <x v="2"/>
    <x v="1"/>
    <n v="2"/>
    <n v="2"/>
    <x v="3"/>
    <x v="1"/>
    <n v="1"/>
    <x v="0"/>
    <n v="8"/>
    <x v="2"/>
    <x v="2"/>
    <x v="1"/>
    <x v="47"/>
    <x v="1"/>
    <x v="10"/>
    <x v="0"/>
    <x v="1"/>
    <x v="0"/>
    <x v="3"/>
    <s v="Express"/>
    <n v="14"/>
  </r>
  <r>
    <x v="52"/>
    <x v="1"/>
    <x v="0"/>
    <x v="1"/>
    <x v="1"/>
    <x v="0"/>
    <x v="0"/>
    <s v="Huaidao"/>
    <x v="10"/>
    <n v="166"/>
    <x v="2"/>
    <x v="0"/>
    <x v="0"/>
    <x v="4"/>
    <x v="0"/>
    <n v="3"/>
    <n v="0"/>
    <x v="3"/>
    <x v="0"/>
    <n v="2"/>
    <x v="0"/>
    <n v="10"/>
    <x v="0"/>
    <x v="0"/>
    <x v="2"/>
    <x v="48"/>
    <x v="1"/>
    <x v="2"/>
    <x v="1"/>
    <x v="1"/>
    <x v="1"/>
    <x v="3"/>
    <s v="Express"/>
    <n v="5"/>
  </r>
  <r>
    <x v="53"/>
    <x v="4"/>
    <x v="0"/>
    <x v="0"/>
    <x v="0"/>
    <x v="3"/>
    <x v="1"/>
    <s v="Heemstede"/>
    <x v="3"/>
    <n v="167.67"/>
    <x v="7"/>
    <x v="0"/>
    <x v="1"/>
    <x v="4"/>
    <x v="1"/>
    <n v="2"/>
    <n v="1"/>
    <x v="3"/>
    <x v="1"/>
    <n v="0"/>
    <x v="1"/>
    <n v="6"/>
    <x v="0"/>
    <x v="0"/>
    <x v="3"/>
    <x v="49"/>
    <x v="0"/>
    <x v="0"/>
    <x v="4"/>
    <x v="1"/>
    <x v="0"/>
    <x v="2"/>
    <s v="Express"/>
    <n v="5"/>
  </r>
  <r>
    <x v="54"/>
    <x v="2"/>
    <x v="0"/>
    <x v="1"/>
    <x v="1"/>
    <x v="1"/>
    <x v="1"/>
    <s v="Cibaregbeg"/>
    <x v="9"/>
    <n v="170.35"/>
    <x v="2"/>
    <x v="0"/>
    <x v="1"/>
    <x v="1"/>
    <x v="1"/>
    <n v="1"/>
    <n v="1"/>
    <x v="1"/>
    <x v="1"/>
    <n v="1"/>
    <x v="0"/>
    <n v="10"/>
    <x v="2"/>
    <x v="2"/>
    <x v="1"/>
    <x v="50"/>
    <x v="1"/>
    <x v="2"/>
    <x v="4"/>
    <x v="0"/>
    <x v="0"/>
    <x v="2"/>
    <s v="Standard"/>
    <n v="1"/>
  </r>
  <r>
    <x v="55"/>
    <x v="0"/>
    <x v="0"/>
    <x v="0"/>
    <x v="1"/>
    <x v="2"/>
    <x v="0"/>
    <s v="Kobe"/>
    <x v="1"/>
    <n v="171.72"/>
    <x v="10"/>
    <x v="0"/>
    <x v="0"/>
    <x v="4"/>
    <x v="0"/>
    <n v="3"/>
    <n v="1"/>
    <x v="2"/>
    <x v="1"/>
    <n v="1"/>
    <x v="2"/>
    <n v="2"/>
    <x v="3"/>
    <x v="2"/>
    <x v="2"/>
    <x v="51"/>
    <x v="0"/>
    <x v="0"/>
    <x v="0"/>
    <x v="1"/>
    <x v="0"/>
    <x v="3"/>
    <s v="Standard"/>
    <n v="12"/>
  </r>
  <r>
    <x v="56"/>
    <x v="7"/>
    <x v="0"/>
    <x v="0"/>
    <x v="1"/>
    <x v="3"/>
    <x v="0"/>
    <s v="Kyonju"/>
    <x v="7"/>
    <n v="177.05"/>
    <x v="3"/>
    <x v="0"/>
    <x v="0"/>
    <x v="3"/>
    <x v="1"/>
    <n v="1"/>
    <n v="1"/>
    <x v="0"/>
    <x v="2"/>
    <n v="2"/>
    <x v="2"/>
    <n v="1"/>
    <x v="2"/>
    <x v="1"/>
    <x v="1"/>
    <x v="52"/>
    <x v="3"/>
    <x v="9"/>
    <x v="3"/>
    <x v="0"/>
    <x v="0"/>
    <x v="3"/>
    <s v="Standard"/>
    <n v="1"/>
  </r>
  <r>
    <x v="57"/>
    <x v="2"/>
    <x v="0"/>
    <x v="1"/>
    <x v="0"/>
    <x v="0"/>
    <x v="2"/>
    <s v="Camalote"/>
    <x v="14"/>
    <n v="182.54"/>
    <x v="7"/>
    <x v="0"/>
    <x v="2"/>
    <x v="4"/>
    <x v="2"/>
    <n v="5"/>
    <n v="1"/>
    <x v="1"/>
    <x v="2"/>
    <n v="1"/>
    <x v="2"/>
    <n v="1"/>
    <x v="1"/>
    <x v="1"/>
    <x v="1"/>
    <x v="53"/>
    <x v="1"/>
    <x v="1"/>
    <x v="3"/>
    <x v="1"/>
    <x v="1"/>
    <x v="2"/>
    <s v="Standard"/>
    <n v="13"/>
  </r>
  <r>
    <x v="58"/>
    <x v="6"/>
    <x v="0"/>
    <x v="0"/>
    <x v="0"/>
    <x v="0"/>
    <x v="2"/>
    <s v="Kyŏngsŏng"/>
    <x v="18"/>
    <n v="185.83"/>
    <x v="7"/>
    <x v="0"/>
    <x v="1"/>
    <x v="0"/>
    <x v="1"/>
    <n v="2"/>
    <n v="2"/>
    <x v="2"/>
    <x v="0"/>
    <n v="2"/>
    <x v="0"/>
    <n v="9"/>
    <x v="0"/>
    <x v="2"/>
    <x v="4"/>
    <x v="54"/>
    <x v="2"/>
    <x v="6"/>
    <x v="6"/>
    <x v="1"/>
    <x v="0"/>
    <x v="3"/>
    <s v="Standard"/>
    <n v="1"/>
  </r>
  <r>
    <x v="59"/>
    <x v="2"/>
    <x v="0"/>
    <x v="0"/>
    <x v="0"/>
    <x v="1"/>
    <x v="1"/>
    <s v="Iñapari"/>
    <x v="9"/>
    <n v="188.17"/>
    <x v="6"/>
    <x v="0"/>
    <x v="0"/>
    <x v="4"/>
    <x v="2"/>
    <n v="5"/>
    <n v="0"/>
    <x v="1"/>
    <x v="0"/>
    <n v="1"/>
    <x v="1"/>
    <n v="5"/>
    <x v="2"/>
    <x v="2"/>
    <x v="0"/>
    <x v="55"/>
    <x v="0"/>
    <x v="7"/>
    <x v="0"/>
    <x v="0"/>
    <x v="1"/>
    <x v="2"/>
    <s v="Standard"/>
    <n v="9"/>
  </r>
  <r>
    <x v="60"/>
    <x v="1"/>
    <x v="0"/>
    <x v="0"/>
    <x v="1"/>
    <x v="3"/>
    <x v="1"/>
    <s v="Bhadrapur"/>
    <x v="9"/>
    <n v="190.76"/>
    <x v="2"/>
    <x v="0"/>
    <x v="1"/>
    <x v="4"/>
    <x v="2"/>
    <n v="5"/>
    <n v="2"/>
    <x v="0"/>
    <x v="0"/>
    <n v="1"/>
    <x v="2"/>
    <n v="3"/>
    <x v="1"/>
    <x v="2"/>
    <x v="4"/>
    <x v="41"/>
    <x v="2"/>
    <x v="3"/>
    <x v="6"/>
    <x v="1"/>
    <x v="1"/>
    <x v="1"/>
    <s v="Express"/>
    <n v="11"/>
  </r>
  <r>
    <x v="61"/>
    <x v="2"/>
    <x v="0"/>
    <x v="1"/>
    <x v="1"/>
    <x v="2"/>
    <x v="1"/>
    <s v="Orlando"/>
    <x v="17"/>
    <n v="193.3"/>
    <x v="7"/>
    <x v="0"/>
    <x v="2"/>
    <x v="0"/>
    <x v="1"/>
    <n v="2"/>
    <n v="2"/>
    <x v="0"/>
    <x v="1"/>
    <n v="2"/>
    <x v="2"/>
    <n v="1"/>
    <x v="0"/>
    <x v="1"/>
    <x v="4"/>
    <x v="50"/>
    <x v="1"/>
    <x v="2"/>
    <x v="4"/>
    <x v="0"/>
    <x v="0"/>
    <x v="1"/>
    <s v="No Preference"/>
    <n v="12"/>
  </r>
  <r>
    <x v="62"/>
    <x v="7"/>
    <x v="0"/>
    <x v="1"/>
    <x v="1"/>
    <x v="1"/>
    <x v="1"/>
    <s v="Gävle"/>
    <x v="1"/>
    <n v="193.94"/>
    <x v="7"/>
    <x v="0"/>
    <x v="2"/>
    <x v="0"/>
    <x v="1"/>
    <n v="1"/>
    <n v="0"/>
    <x v="0"/>
    <x v="0"/>
    <n v="0"/>
    <x v="2"/>
    <n v="3"/>
    <x v="1"/>
    <x v="2"/>
    <x v="4"/>
    <x v="56"/>
    <x v="1"/>
    <x v="1"/>
    <x v="5"/>
    <x v="1"/>
    <x v="1"/>
    <x v="0"/>
    <s v="Standard"/>
    <n v="9"/>
  </r>
  <r>
    <x v="63"/>
    <x v="4"/>
    <x v="0"/>
    <x v="1"/>
    <x v="0"/>
    <x v="2"/>
    <x v="0"/>
    <s v="Aristóbulo del Valle"/>
    <x v="15"/>
    <n v="194.08"/>
    <x v="10"/>
    <x v="0"/>
    <x v="1"/>
    <x v="4"/>
    <x v="2"/>
    <n v="5"/>
    <n v="1"/>
    <x v="2"/>
    <x v="0"/>
    <n v="0"/>
    <x v="2"/>
    <n v="2"/>
    <x v="3"/>
    <x v="0"/>
    <x v="2"/>
    <x v="57"/>
    <x v="2"/>
    <x v="6"/>
    <x v="0"/>
    <x v="0"/>
    <x v="0"/>
    <x v="0"/>
    <s v="Standard"/>
    <n v="13"/>
  </r>
  <r>
    <x v="64"/>
    <x v="4"/>
    <x v="0"/>
    <x v="1"/>
    <x v="1"/>
    <x v="0"/>
    <x v="0"/>
    <s v="San Patricio"/>
    <x v="8"/>
    <n v="194.93"/>
    <x v="6"/>
    <x v="0"/>
    <x v="0"/>
    <x v="0"/>
    <x v="2"/>
    <n v="4"/>
    <n v="1"/>
    <x v="3"/>
    <x v="2"/>
    <n v="0"/>
    <x v="2"/>
    <n v="4"/>
    <x v="3"/>
    <x v="1"/>
    <x v="4"/>
    <x v="58"/>
    <x v="0"/>
    <x v="0"/>
    <x v="6"/>
    <x v="0"/>
    <x v="0"/>
    <x v="3"/>
    <s v="No Preference"/>
    <n v="5"/>
  </r>
  <r>
    <x v="65"/>
    <x v="4"/>
    <x v="0"/>
    <x v="1"/>
    <x v="0"/>
    <x v="3"/>
    <x v="2"/>
    <s v="Vetluga"/>
    <x v="5"/>
    <n v="195.46"/>
    <x v="2"/>
    <x v="0"/>
    <x v="2"/>
    <x v="4"/>
    <x v="0"/>
    <n v="3"/>
    <n v="2"/>
    <x v="0"/>
    <x v="0"/>
    <n v="0"/>
    <x v="0"/>
    <n v="10"/>
    <x v="2"/>
    <x v="1"/>
    <x v="4"/>
    <x v="59"/>
    <x v="1"/>
    <x v="10"/>
    <x v="0"/>
    <x v="0"/>
    <x v="1"/>
    <x v="3"/>
    <s v="Standard"/>
    <n v="9"/>
  </r>
  <r>
    <x v="66"/>
    <x v="6"/>
    <x v="0"/>
    <x v="7"/>
    <x v="0"/>
    <x v="0"/>
    <x v="2"/>
    <s v="Ma'an"/>
    <x v="5"/>
    <n v="196.63"/>
    <x v="6"/>
    <x v="0"/>
    <x v="0"/>
    <x v="0"/>
    <x v="1"/>
    <n v="2"/>
    <n v="2"/>
    <x v="1"/>
    <x v="2"/>
    <n v="1"/>
    <x v="1"/>
    <n v="6"/>
    <x v="2"/>
    <x v="1"/>
    <x v="4"/>
    <x v="60"/>
    <x v="3"/>
    <x v="9"/>
    <x v="0"/>
    <x v="0"/>
    <x v="1"/>
    <x v="2"/>
    <s v="No Preference"/>
    <n v="7"/>
  </r>
  <r>
    <x v="67"/>
    <x v="0"/>
    <x v="0"/>
    <x v="1"/>
    <x v="1"/>
    <x v="3"/>
    <x v="0"/>
    <s v="Skoútari"/>
    <x v="8"/>
    <n v="197.9"/>
    <x v="7"/>
    <x v="0"/>
    <x v="2"/>
    <x v="1"/>
    <x v="2"/>
    <n v="4"/>
    <n v="2"/>
    <x v="1"/>
    <x v="0"/>
    <n v="1"/>
    <x v="2"/>
    <n v="4"/>
    <x v="2"/>
    <x v="2"/>
    <x v="0"/>
    <x v="61"/>
    <x v="0"/>
    <x v="5"/>
    <x v="1"/>
    <x v="0"/>
    <x v="0"/>
    <x v="0"/>
    <s v="Standard"/>
    <n v="5"/>
  </r>
  <r>
    <x v="68"/>
    <x v="1"/>
    <x v="0"/>
    <x v="0"/>
    <x v="1"/>
    <x v="3"/>
    <x v="2"/>
    <s v="Bailadores"/>
    <x v="11"/>
    <n v="197.9"/>
    <x v="10"/>
    <x v="0"/>
    <x v="2"/>
    <x v="1"/>
    <x v="1"/>
    <n v="1"/>
    <n v="2"/>
    <x v="1"/>
    <x v="0"/>
    <n v="0"/>
    <x v="0"/>
    <n v="8"/>
    <x v="1"/>
    <x v="2"/>
    <x v="0"/>
    <x v="62"/>
    <x v="3"/>
    <x v="4"/>
    <x v="6"/>
    <x v="0"/>
    <x v="0"/>
    <x v="0"/>
    <s v="Standard"/>
    <n v="14"/>
  </r>
  <r>
    <x v="69"/>
    <x v="2"/>
    <x v="0"/>
    <x v="1"/>
    <x v="1"/>
    <x v="3"/>
    <x v="1"/>
    <s v="Liangnong"/>
    <x v="15"/>
    <n v="201.6"/>
    <x v="6"/>
    <x v="0"/>
    <x v="1"/>
    <x v="2"/>
    <x v="2"/>
    <n v="4"/>
    <n v="2"/>
    <x v="1"/>
    <x v="1"/>
    <n v="1"/>
    <x v="2"/>
    <n v="4"/>
    <x v="1"/>
    <x v="0"/>
    <x v="2"/>
    <x v="63"/>
    <x v="2"/>
    <x v="6"/>
    <x v="6"/>
    <x v="1"/>
    <x v="1"/>
    <x v="3"/>
    <s v="Express"/>
    <n v="14"/>
  </r>
  <r>
    <x v="70"/>
    <x v="5"/>
    <x v="0"/>
    <x v="0"/>
    <x v="1"/>
    <x v="1"/>
    <x v="0"/>
    <s v="Anding"/>
    <x v="6"/>
    <n v="201.69"/>
    <x v="7"/>
    <x v="0"/>
    <x v="2"/>
    <x v="0"/>
    <x v="2"/>
    <n v="5"/>
    <n v="0"/>
    <x v="3"/>
    <x v="1"/>
    <n v="2"/>
    <x v="0"/>
    <n v="8"/>
    <x v="2"/>
    <x v="1"/>
    <x v="4"/>
    <x v="64"/>
    <x v="1"/>
    <x v="10"/>
    <x v="5"/>
    <x v="0"/>
    <x v="1"/>
    <x v="1"/>
    <s v="No Preference"/>
    <n v="3"/>
  </r>
  <r>
    <x v="71"/>
    <x v="6"/>
    <x v="0"/>
    <x v="1"/>
    <x v="0"/>
    <x v="2"/>
    <x v="1"/>
    <s v="Gråbo"/>
    <x v="14"/>
    <n v="201.96"/>
    <x v="9"/>
    <x v="0"/>
    <x v="1"/>
    <x v="3"/>
    <x v="2"/>
    <n v="5"/>
    <n v="0"/>
    <x v="2"/>
    <x v="1"/>
    <n v="1"/>
    <x v="2"/>
    <n v="2"/>
    <x v="1"/>
    <x v="2"/>
    <x v="1"/>
    <x v="65"/>
    <x v="1"/>
    <x v="2"/>
    <x v="4"/>
    <x v="1"/>
    <x v="1"/>
    <x v="2"/>
    <s v="Standard"/>
    <n v="7"/>
  </r>
  <r>
    <x v="72"/>
    <x v="1"/>
    <x v="0"/>
    <x v="4"/>
    <x v="0"/>
    <x v="1"/>
    <x v="0"/>
    <s v="Lazarat"/>
    <x v="10"/>
    <n v="204.29"/>
    <x v="7"/>
    <x v="0"/>
    <x v="1"/>
    <x v="4"/>
    <x v="2"/>
    <n v="4"/>
    <n v="0"/>
    <x v="0"/>
    <x v="0"/>
    <n v="2"/>
    <x v="2"/>
    <n v="1"/>
    <x v="0"/>
    <x v="0"/>
    <x v="2"/>
    <x v="66"/>
    <x v="0"/>
    <x v="7"/>
    <x v="6"/>
    <x v="1"/>
    <x v="1"/>
    <x v="3"/>
    <s v="Express"/>
    <n v="12"/>
  </r>
  <r>
    <x v="73"/>
    <x v="6"/>
    <x v="0"/>
    <x v="0"/>
    <x v="1"/>
    <x v="2"/>
    <x v="2"/>
    <s v="Houston"/>
    <x v="7"/>
    <n v="205.36"/>
    <x v="0"/>
    <x v="0"/>
    <x v="0"/>
    <x v="2"/>
    <x v="2"/>
    <n v="5"/>
    <n v="2"/>
    <x v="3"/>
    <x v="1"/>
    <n v="0"/>
    <x v="2"/>
    <n v="1"/>
    <x v="2"/>
    <x v="1"/>
    <x v="3"/>
    <x v="43"/>
    <x v="0"/>
    <x v="5"/>
    <x v="2"/>
    <x v="1"/>
    <x v="1"/>
    <x v="3"/>
    <s v="Express"/>
    <n v="5"/>
  </r>
  <r>
    <x v="74"/>
    <x v="4"/>
    <x v="0"/>
    <x v="1"/>
    <x v="0"/>
    <x v="1"/>
    <x v="0"/>
    <s v="Nanfeng"/>
    <x v="0"/>
    <n v="206.32"/>
    <x v="3"/>
    <x v="0"/>
    <x v="0"/>
    <x v="3"/>
    <x v="0"/>
    <n v="3"/>
    <n v="1"/>
    <x v="2"/>
    <x v="0"/>
    <n v="0"/>
    <x v="2"/>
    <n v="4"/>
    <x v="3"/>
    <x v="2"/>
    <x v="2"/>
    <x v="67"/>
    <x v="2"/>
    <x v="6"/>
    <x v="2"/>
    <x v="0"/>
    <x v="1"/>
    <x v="0"/>
    <s v="Express"/>
    <n v="12"/>
  </r>
  <r>
    <x v="75"/>
    <x v="5"/>
    <x v="0"/>
    <x v="2"/>
    <x v="0"/>
    <x v="3"/>
    <x v="1"/>
    <s v="Xilu"/>
    <x v="0"/>
    <n v="207.18"/>
    <x v="7"/>
    <x v="0"/>
    <x v="0"/>
    <x v="2"/>
    <x v="0"/>
    <n v="3"/>
    <n v="0"/>
    <x v="2"/>
    <x v="2"/>
    <n v="1"/>
    <x v="1"/>
    <n v="5"/>
    <x v="1"/>
    <x v="1"/>
    <x v="2"/>
    <x v="3"/>
    <x v="2"/>
    <x v="3"/>
    <x v="2"/>
    <x v="1"/>
    <x v="1"/>
    <x v="0"/>
    <s v="Standard"/>
    <n v="8"/>
  </r>
  <r>
    <x v="76"/>
    <x v="3"/>
    <x v="0"/>
    <x v="1"/>
    <x v="1"/>
    <x v="1"/>
    <x v="0"/>
    <s v="Yakovlevo"/>
    <x v="11"/>
    <n v="208.59"/>
    <x v="10"/>
    <x v="0"/>
    <x v="2"/>
    <x v="2"/>
    <x v="1"/>
    <n v="1"/>
    <n v="2"/>
    <x v="1"/>
    <x v="2"/>
    <n v="0"/>
    <x v="2"/>
    <n v="4"/>
    <x v="3"/>
    <x v="2"/>
    <x v="2"/>
    <x v="68"/>
    <x v="2"/>
    <x v="8"/>
    <x v="1"/>
    <x v="0"/>
    <x v="1"/>
    <x v="3"/>
    <s v="Express"/>
    <n v="1"/>
  </r>
  <r>
    <x v="77"/>
    <x v="4"/>
    <x v="0"/>
    <x v="1"/>
    <x v="1"/>
    <x v="1"/>
    <x v="0"/>
    <s v="Pasto"/>
    <x v="9"/>
    <n v="210.58"/>
    <x v="2"/>
    <x v="0"/>
    <x v="1"/>
    <x v="4"/>
    <x v="1"/>
    <n v="1"/>
    <n v="2"/>
    <x v="2"/>
    <x v="2"/>
    <n v="1"/>
    <x v="2"/>
    <n v="3"/>
    <x v="2"/>
    <x v="1"/>
    <x v="0"/>
    <x v="69"/>
    <x v="2"/>
    <x v="8"/>
    <x v="6"/>
    <x v="0"/>
    <x v="0"/>
    <x v="1"/>
    <s v="No Preference"/>
    <n v="8"/>
  </r>
  <r>
    <x v="78"/>
    <x v="7"/>
    <x v="0"/>
    <x v="0"/>
    <x v="1"/>
    <x v="0"/>
    <x v="2"/>
    <s v="Créteil"/>
    <x v="14"/>
    <n v="210.9"/>
    <x v="0"/>
    <x v="0"/>
    <x v="1"/>
    <x v="1"/>
    <x v="1"/>
    <n v="1"/>
    <n v="2"/>
    <x v="0"/>
    <x v="2"/>
    <n v="1"/>
    <x v="2"/>
    <n v="1"/>
    <x v="3"/>
    <x v="1"/>
    <x v="0"/>
    <x v="70"/>
    <x v="1"/>
    <x v="1"/>
    <x v="2"/>
    <x v="1"/>
    <x v="1"/>
    <x v="3"/>
    <s v="Standard"/>
    <n v="12"/>
  </r>
  <r>
    <x v="79"/>
    <x v="4"/>
    <x v="0"/>
    <x v="1"/>
    <x v="0"/>
    <x v="3"/>
    <x v="2"/>
    <s v="Forshaga"/>
    <x v="10"/>
    <n v="211.16"/>
    <x v="3"/>
    <x v="0"/>
    <x v="1"/>
    <x v="1"/>
    <x v="0"/>
    <n v="3"/>
    <n v="1"/>
    <x v="3"/>
    <x v="1"/>
    <n v="0"/>
    <x v="2"/>
    <n v="3"/>
    <x v="3"/>
    <x v="0"/>
    <x v="2"/>
    <x v="71"/>
    <x v="1"/>
    <x v="2"/>
    <x v="5"/>
    <x v="1"/>
    <x v="1"/>
    <x v="1"/>
    <s v="Standard"/>
    <n v="2"/>
  </r>
  <r>
    <x v="80"/>
    <x v="2"/>
    <x v="0"/>
    <x v="1"/>
    <x v="0"/>
    <x v="1"/>
    <x v="2"/>
    <s v="Cianorte"/>
    <x v="11"/>
    <n v="212.63"/>
    <x v="9"/>
    <x v="0"/>
    <x v="0"/>
    <x v="0"/>
    <x v="1"/>
    <n v="2"/>
    <n v="1"/>
    <x v="2"/>
    <x v="1"/>
    <n v="0"/>
    <x v="2"/>
    <n v="4"/>
    <x v="1"/>
    <x v="2"/>
    <x v="0"/>
    <x v="72"/>
    <x v="1"/>
    <x v="1"/>
    <x v="1"/>
    <x v="1"/>
    <x v="0"/>
    <x v="2"/>
    <s v="No Preference"/>
    <n v="6"/>
  </r>
  <r>
    <x v="81"/>
    <x v="0"/>
    <x v="0"/>
    <x v="1"/>
    <x v="0"/>
    <x v="3"/>
    <x v="2"/>
    <s v="Tilburg"/>
    <x v="11"/>
    <n v="212.8"/>
    <x v="1"/>
    <x v="0"/>
    <x v="2"/>
    <x v="3"/>
    <x v="1"/>
    <n v="2"/>
    <n v="2"/>
    <x v="0"/>
    <x v="1"/>
    <n v="1"/>
    <x v="1"/>
    <n v="7"/>
    <x v="1"/>
    <x v="1"/>
    <x v="3"/>
    <x v="73"/>
    <x v="0"/>
    <x v="7"/>
    <x v="5"/>
    <x v="0"/>
    <x v="0"/>
    <x v="1"/>
    <s v="Standard"/>
    <n v="1"/>
  </r>
  <r>
    <x v="82"/>
    <x v="0"/>
    <x v="0"/>
    <x v="1"/>
    <x v="1"/>
    <x v="1"/>
    <x v="0"/>
    <s v="Shāhzādpur"/>
    <x v="3"/>
    <n v="214.48"/>
    <x v="5"/>
    <x v="0"/>
    <x v="0"/>
    <x v="0"/>
    <x v="1"/>
    <n v="2"/>
    <n v="2"/>
    <x v="0"/>
    <x v="1"/>
    <n v="1"/>
    <x v="2"/>
    <n v="3"/>
    <x v="3"/>
    <x v="1"/>
    <x v="1"/>
    <x v="74"/>
    <x v="0"/>
    <x v="5"/>
    <x v="0"/>
    <x v="0"/>
    <x v="0"/>
    <x v="0"/>
    <s v="Express"/>
    <n v="2"/>
  </r>
  <r>
    <x v="83"/>
    <x v="1"/>
    <x v="0"/>
    <x v="0"/>
    <x v="0"/>
    <x v="2"/>
    <x v="1"/>
    <s v="Kapan"/>
    <x v="19"/>
    <n v="214.82"/>
    <x v="6"/>
    <x v="0"/>
    <x v="2"/>
    <x v="4"/>
    <x v="2"/>
    <n v="4"/>
    <n v="0.3"/>
    <x v="0"/>
    <x v="1"/>
    <n v="1"/>
    <x v="0"/>
    <n v="9"/>
    <x v="0"/>
    <x v="1"/>
    <x v="4"/>
    <x v="75"/>
    <x v="2"/>
    <x v="3"/>
    <x v="2"/>
    <x v="0"/>
    <x v="1"/>
    <x v="1"/>
    <s v="No Preference"/>
    <n v="11"/>
  </r>
  <r>
    <x v="84"/>
    <x v="2"/>
    <x v="0"/>
    <x v="1"/>
    <x v="0"/>
    <x v="2"/>
    <x v="2"/>
    <s v="Lewotola"/>
    <x v="8"/>
    <n v="215.54"/>
    <x v="7"/>
    <x v="0"/>
    <x v="0"/>
    <x v="3"/>
    <x v="1"/>
    <n v="1"/>
    <n v="2"/>
    <x v="2"/>
    <x v="2"/>
    <n v="2"/>
    <x v="1"/>
    <n v="6"/>
    <x v="1"/>
    <x v="2"/>
    <x v="3"/>
    <x v="76"/>
    <x v="0"/>
    <x v="5"/>
    <x v="4"/>
    <x v="0"/>
    <x v="0"/>
    <x v="1"/>
    <s v="No Preference"/>
    <n v="10"/>
  </r>
  <r>
    <x v="85"/>
    <x v="3"/>
    <x v="0"/>
    <x v="0"/>
    <x v="0"/>
    <x v="0"/>
    <x v="1"/>
    <s v="Podhum"/>
    <x v="2"/>
    <n v="216.45"/>
    <x v="3"/>
    <x v="0"/>
    <x v="2"/>
    <x v="4"/>
    <x v="1"/>
    <n v="2"/>
    <n v="0"/>
    <x v="1"/>
    <x v="1"/>
    <n v="2"/>
    <x v="1"/>
    <n v="7"/>
    <x v="2"/>
    <x v="1"/>
    <x v="3"/>
    <x v="77"/>
    <x v="2"/>
    <x v="6"/>
    <x v="6"/>
    <x v="1"/>
    <x v="1"/>
    <x v="2"/>
    <s v="No Preference"/>
    <n v="3"/>
  </r>
  <r>
    <x v="86"/>
    <x v="3"/>
    <x v="0"/>
    <x v="0"/>
    <x v="1"/>
    <x v="0"/>
    <x v="2"/>
    <s v="Shimorskoye"/>
    <x v="1"/>
    <n v="216.84"/>
    <x v="3"/>
    <x v="0"/>
    <x v="1"/>
    <x v="0"/>
    <x v="0"/>
    <n v="3"/>
    <n v="1"/>
    <x v="2"/>
    <x v="2"/>
    <n v="1"/>
    <x v="2"/>
    <n v="1"/>
    <x v="2"/>
    <x v="1"/>
    <x v="2"/>
    <x v="58"/>
    <x v="0"/>
    <x v="0"/>
    <x v="6"/>
    <x v="1"/>
    <x v="1"/>
    <x v="1"/>
    <s v="Express"/>
    <n v="5"/>
  </r>
  <r>
    <x v="87"/>
    <x v="0"/>
    <x v="0"/>
    <x v="1"/>
    <x v="1"/>
    <x v="2"/>
    <x v="2"/>
    <s v="Shaxi"/>
    <x v="12"/>
    <n v="218.26"/>
    <x v="8"/>
    <x v="0"/>
    <x v="2"/>
    <x v="3"/>
    <x v="1"/>
    <n v="1"/>
    <n v="2"/>
    <x v="2"/>
    <x v="1"/>
    <n v="0"/>
    <x v="0"/>
    <n v="8"/>
    <x v="1"/>
    <x v="0"/>
    <x v="0"/>
    <x v="78"/>
    <x v="3"/>
    <x v="11"/>
    <x v="1"/>
    <x v="1"/>
    <x v="1"/>
    <x v="0"/>
    <s v="Standard"/>
    <n v="12"/>
  </r>
  <r>
    <x v="88"/>
    <x v="3"/>
    <x v="0"/>
    <x v="0"/>
    <x v="0"/>
    <x v="2"/>
    <x v="1"/>
    <s v="Perbaungan"/>
    <x v="19"/>
    <n v="218.32"/>
    <x v="5"/>
    <x v="0"/>
    <x v="2"/>
    <x v="4"/>
    <x v="0"/>
    <n v="3"/>
    <n v="0"/>
    <x v="3"/>
    <x v="0"/>
    <n v="2"/>
    <x v="1"/>
    <n v="7"/>
    <x v="2"/>
    <x v="2"/>
    <x v="2"/>
    <x v="40"/>
    <x v="2"/>
    <x v="8"/>
    <x v="1"/>
    <x v="1"/>
    <x v="1"/>
    <x v="2"/>
    <s v="Express"/>
    <n v="3"/>
  </r>
  <r>
    <x v="89"/>
    <x v="4"/>
    <x v="0"/>
    <x v="1"/>
    <x v="0"/>
    <x v="2"/>
    <x v="1"/>
    <s v="Jambuwerkrajan"/>
    <x v="0"/>
    <n v="218.65"/>
    <x v="10"/>
    <x v="0"/>
    <x v="0"/>
    <x v="0"/>
    <x v="1"/>
    <n v="2"/>
    <n v="2"/>
    <x v="2"/>
    <x v="1"/>
    <n v="0"/>
    <x v="0"/>
    <n v="9"/>
    <x v="0"/>
    <x v="0"/>
    <x v="3"/>
    <x v="79"/>
    <x v="1"/>
    <x v="10"/>
    <x v="3"/>
    <x v="0"/>
    <x v="0"/>
    <x v="3"/>
    <s v="Standard"/>
    <n v="4"/>
  </r>
  <r>
    <x v="90"/>
    <x v="1"/>
    <x v="0"/>
    <x v="0"/>
    <x v="0"/>
    <x v="1"/>
    <x v="0"/>
    <s v="Pointe Michel"/>
    <x v="7"/>
    <n v="222.61"/>
    <x v="10"/>
    <x v="0"/>
    <x v="0"/>
    <x v="2"/>
    <x v="1"/>
    <n v="2"/>
    <n v="1"/>
    <x v="1"/>
    <x v="1"/>
    <n v="1"/>
    <x v="2"/>
    <n v="1"/>
    <x v="3"/>
    <x v="2"/>
    <x v="2"/>
    <x v="80"/>
    <x v="1"/>
    <x v="10"/>
    <x v="3"/>
    <x v="1"/>
    <x v="0"/>
    <x v="2"/>
    <s v="Standard"/>
    <n v="3"/>
  </r>
  <r>
    <x v="91"/>
    <x v="2"/>
    <x v="0"/>
    <x v="0"/>
    <x v="1"/>
    <x v="3"/>
    <x v="0"/>
    <s v="Dhalie"/>
    <x v="18"/>
    <n v="226.04"/>
    <x v="7"/>
    <x v="0"/>
    <x v="0"/>
    <x v="0"/>
    <x v="1"/>
    <n v="1"/>
    <n v="1"/>
    <x v="0"/>
    <x v="1"/>
    <n v="0"/>
    <x v="0"/>
    <n v="9"/>
    <x v="0"/>
    <x v="2"/>
    <x v="2"/>
    <x v="81"/>
    <x v="0"/>
    <x v="7"/>
    <x v="1"/>
    <x v="0"/>
    <x v="1"/>
    <x v="0"/>
    <s v="Express"/>
    <n v="12"/>
  </r>
  <r>
    <x v="92"/>
    <x v="6"/>
    <x v="0"/>
    <x v="0"/>
    <x v="0"/>
    <x v="2"/>
    <x v="0"/>
    <s v="Seleuš"/>
    <x v="10"/>
    <n v="231.26"/>
    <x v="2"/>
    <x v="0"/>
    <x v="1"/>
    <x v="4"/>
    <x v="1"/>
    <n v="1"/>
    <n v="2"/>
    <x v="2"/>
    <x v="1"/>
    <n v="2"/>
    <x v="1"/>
    <n v="5"/>
    <x v="2"/>
    <x v="2"/>
    <x v="1"/>
    <x v="82"/>
    <x v="0"/>
    <x v="5"/>
    <x v="1"/>
    <x v="1"/>
    <x v="0"/>
    <x v="3"/>
    <s v="No Preference"/>
    <n v="10"/>
  </r>
  <r>
    <x v="93"/>
    <x v="4"/>
    <x v="0"/>
    <x v="1"/>
    <x v="0"/>
    <x v="3"/>
    <x v="0"/>
    <s v="San Sebastián de Yalí"/>
    <x v="5"/>
    <n v="233.02"/>
    <x v="8"/>
    <x v="0"/>
    <x v="2"/>
    <x v="3"/>
    <x v="0"/>
    <n v="3"/>
    <n v="1"/>
    <x v="1"/>
    <x v="0"/>
    <n v="0"/>
    <x v="2"/>
    <n v="3"/>
    <x v="0"/>
    <x v="0"/>
    <x v="1"/>
    <x v="83"/>
    <x v="2"/>
    <x v="6"/>
    <x v="1"/>
    <x v="1"/>
    <x v="1"/>
    <x v="3"/>
    <s v="Standard"/>
    <n v="8"/>
  </r>
  <r>
    <x v="94"/>
    <x v="7"/>
    <x v="0"/>
    <x v="1"/>
    <x v="0"/>
    <x v="2"/>
    <x v="1"/>
    <s v="Mosal’sk"/>
    <x v="7"/>
    <n v="235.39"/>
    <x v="6"/>
    <x v="0"/>
    <x v="0"/>
    <x v="4"/>
    <x v="2"/>
    <n v="4"/>
    <n v="1"/>
    <x v="0"/>
    <x v="0"/>
    <n v="0"/>
    <x v="1"/>
    <n v="6"/>
    <x v="3"/>
    <x v="0"/>
    <x v="3"/>
    <x v="84"/>
    <x v="0"/>
    <x v="7"/>
    <x v="2"/>
    <x v="1"/>
    <x v="0"/>
    <x v="1"/>
    <s v="No Preference"/>
    <n v="6"/>
  </r>
  <r>
    <x v="95"/>
    <x v="5"/>
    <x v="0"/>
    <x v="0"/>
    <x v="1"/>
    <x v="1"/>
    <x v="2"/>
    <s v="Totora"/>
    <x v="19"/>
    <n v="238.01"/>
    <x v="9"/>
    <x v="0"/>
    <x v="1"/>
    <x v="1"/>
    <x v="1"/>
    <n v="2"/>
    <n v="0"/>
    <x v="3"/>
    <x v="2"/>
    <n v="0"/>
    <x v="0"/>
    <n v="9"/>
    <x v="2"/>
    <x v="2"/>
    <x v="1"/>
    <x v="85"/>
    <x v="1"/>
    <x v="10"/>
    <x v="2"/>
    <x v="1"/>
    <x v="0"/>
    <x v="2"/>
    <s v="Standard"/>
    <n v="5"/>
  </r>
  <r>
    <x v="96"/>
    <x v="1"/>
    <x v="0"/>
    <x v="1"/>
    <x v="0"/>
    <x v="0"/>
    <x v="2"/>
    <s v="Zhongcun"/>
    <x v="6"/>
    <n v="239.28"/>
    <x v="9"/>
    <x v="0"/>
    <x v="0"/>
    <x v="2"/>
    <x v="2"/>
    <n v="4"/>
    <n v="1"/>
    <x v="1"/>
    <x v="2"/>
    <n v="2"/>
    <x v="1"/>
    <n v="5"/>
    <x v="0"/>
    <x v="1"/>
    <x v="4"/>
    <x v="86"/>
    <x v="2"/>
    <x v="3"/>
    <x v="5"/>
    <x v="1"/>
    <x v="0"/>
    <x v="3"/>
    <s v="No Preference"/>
    <n v="10"/>
  </r>
  <r>
    <x v="97"/>
    <x v="4"/>
    <x v="0"/>
    <x v="2"/>
    <x v="0"/>
    <x v="3"/>
    <x v="2"/>
    <s v="Pingzhuang"/>
    <x v="14"/>
    <n v="241.72"/>
    <x v="1"/>
    <x v="0"/>
    <x v="2"/>
    <x v="4"/>
    <x v="1"/>
    <n v="2"/>
    <n v="1"/>
    <x v="1"/>
    <x v="0"/>
    <n v="0"/>
    <x v="0"/>
    <n v="8"/>
    <x v="1"/>
    <x v="2"/>
    <x v="0"/>
    <x v="87"/>
    <x v="0"/>
    <x v="7"/>
    <x v="3"/>
    <x v="1"/>
    <x v="0"/>
    <x v="1"/>
    <s v="Express"/>
    <n v="2"/>
  </r>
  <r>
    <x v="98"/>
    <x v="2"/>
    <x v="0"/>
    <x v="0"/>
    <x v="1"/>
    <x v="3"/>
    <x v="1"/>
    <s v="São Miguel do Araguaia"/>
    <x v="19"/>
    <n v="242.65"/>
    <x v="10"/>
    <x v="0"/>
    <x v="2"/>
    <x v="4"/>
    <x v="0"/>
    <n v="3"/>
    <n v="0.2"/>
    <x v="0"/>
    <x v="1"/>
    <n v="2"/>
    <x v="0"/>
    <n v="8"/>
    <x v="3"/>
    <x v="1"/>
    <x v="1"/>
    <x v="45"/>
    <x v="1"/>
    <x v="10"/>
    <x v="1"/>
    <x v="1"/>
    <x v="0"/>
    <x v="1"/>
    <s v="No Preference"/>
    <n v="9"/>
  </r>
  <r>
    <x v="99"/>
    <x v="3"/>
    <x v="0"/>
    <x v="1"/>
    <x v="1"/>
    <x v="3"/>
    <x v="1"/>
    <s v="Vereshchagino"/>
    <x v="14"/>
    <n v="246.41"/>
    <x v="4"/>
    <x v="0"/>
    <x v="1"/>
    <x v="1"/>
    <x v="2"/>
    <n v="4"/>
    <n v="0"/>
    <x v="0"/>
    <x v="2"/>
    <n v="2"/>
    <x v="0"/>
    <n v="8"/>
    <x v="2"/>
    <x v="0"/>
    <x v="1"/>
    <x v="88"/>
    <x v="2"/>
    <x v="6"/>
    <x v="1"/>
    <x v="0"/>
    <x v="1"/>
    <x v="2"/>
    <s v="Standard"/>
    <n v="11"/>
  </r>
  <r>
    <x v="100"/>
    <x v="4"/>
    <x v="0"/>
    <x v="0"/>
    <x v="1"/>
    <x v="3"/>
    <x v="0"/>
    <s v="Brandsen"/>
    <x v="2"/>
    <n v="249.78"/>
    <x v="8"/>
    <x v="0"/>
    <x v="1"/>
    <x v="4"/>
    <x v="2"/>
    <n v="4"/>
    <n v="0"/>
    <x v="2"/>
    <x v="1"/>
    <n v="0"/>
    <x v="2"/>
    <n v="1"/>
    <x v="3"/>
    <x v="2"/>
    <x v="2"/>
    <x v="89"/>
    <x v="2"/>
    <x v="3"/>
    <x v="0"/>
    <x v="1"/>
    <x v="1"/>
    <x v="0"/>
    <s v="No Preference"/>
    <n v="11"/>
  </r>
  <r>
    <x v="101"/>
    <x v="6"/>
    <x v="0"/>
    <x v="0"/>
    <x v="0"/>
    <x v="0"/>
    <x v="1"/>
    <s v="Faīẕābād"/>
    <x v="15"/>
    <n v="251.63"/>
    <x v="6"/>
    <x v="0"/>
    <x v="0"/>
    <x v="3"/>
    <x v="1"/>
    <n v="1"/>
    <n v="0"/>
    <x v="2"/>
    <x v="0"/>
    <n v="0"/>
    <x v="2"/>
    <n v="2"/>
    <x v="1"/>
    <x v="2"/>
    <x v="3"/>
    <x v="90"/>
    <x v="1"/>
    <x v="1"/>
    <x v="5"/>
    <x v="0"/>
    <x v="0"/>
    <x v="2"/>
    <s v="Express"/>
    <n v="10"/>
  </r>
  <r>
    <x v="102"/>
    <x v="6"/>
    <x v="0"/>
    <x v="1"/>
    <x v="1"/>
    <x v="3"/>
    <x v="1"/>
    <s v="Lemery"/>
    <x v="10"/>
    <n v="254.29"/>
    <x v="6"/>
    <x v="0"/>
    <x v="2"/>
    <x v="4"/>
    <x v="2"/>
    <n v="4"/>
    <n v="0"/>
    <x v="1"/>
    <x v="2"/>
    <n v="1"/>
    <x v="1"/>
    <n v="7"/>
    <x v="2"/>
    <x v="0"/>
    <x v="1"/>
    <x v="82"/>
    <x v="0"/>
    <x v="5"/>
    <x v="1"/>
    <x v="1"/>
    <x v="1"/>
    <x v="3"/>
    <s v="Express"/>
    <n v="3"/>
  </r>
  <r>
    <x v="103"/>
    <x v="3"/>
    <x v="0"/>
    <x v="0"/>
    <x v="1"/>
    <x v="3"/>
    <x v="2"/>
    <s v="Abaetetuba"/>
    <x v="8"/>
    <n v="255.86"/>
    <x v="10"/>
    <x v="0"/>
    <x v="0"/>
    <x v="0"/>
    <x v="2"/>
    <n v="5"/>
    <n v="2"/>
    <x v="3"/>
    <x v="1"/>
    <n v="0"/>
    <x v="2"/>
    <n v="1"/>
    <x v="2"/>
    <x v="1"/>
    <x v="2"/>
    <x v="91"/>
    <x v="0"/>
    <x v="0"/>
    <x v="4"/>
    <x v="0"/>
    <x v="1"/>
    <x v="1"/>
    <s v="No Preference"/>
    <n v="4"/>
  </r>
  <r>
    <x v="104"/>
    <x v="0"/>
    <x v="0"/>
    <x v="1"/>
    <x v="0"/>
    <x v="2"/>
    <x v="2"/>
    <s v="Tessalit"/>
    <x v="11"/>
    <n v="257.37"/>
    <x v="4"/>
    <x v="0"/>
    <x v="0"/>
    <x v="3"/>
    <x v="0"/>
    <n v="3"/>
    <n v="0"/>
    <x v="1"/>
    <x v="1"/>
    <n v="2"/>
    <x v="1"/>
    <n v="5"/>
    <x v="0"/>
    <x v="0"/>
    <x v="2"/>
    <x v="92"/>
    <x v="3"/>
    <x v="11"/>
    <x v="6"/>
    <x v="0"/>
    <x v="1"/>
    <x v="0"/>
    <s v="Express"/>
    <n v="13"/>
  </r>
  <r>
    <x v="105"/>
    <x v="3"/>
    <x v="0"/>
    <x v="0"/>
    <x v="1"/>
    <x v="3"/>
    <x v="2"/>
    <s v="Pasadena"/>
    <x v="10"/>
    <n v="257.43"/>
    <x v="3"/>
    <x v="0"/>
    <x v="0"/>
    <x v="0"/>
    <x v="1"/>
    <n v="2"/>
    <n v="0"/>
    <x v="2"/>
    <x v="2"/>
    <n v="1"/>
    <x v="1"/>
    <n v="7"/>
    <x v="2"/>
    <x v="2"/>
    <x v="4"/>
    <x v="93"/>
    <x v="0"/>
    <x v="5"/>
    <x v="0"/>
    <x v="0"/>
    <x v="0"/>
    <x v="2"/>
    <s v="Standard"/>
    <n v="13"/>
  </r>
  <r>
    <x v="106"/>
    <x v="2"/>
    <x v="0"/>
    <x v="1"/>
    <x v="1"/>
    <x v="1"/>
    <x v="2"/>
    <s v="Rzewnie"/>
    <x v="0"/>
    <n v="263.14999999999998"/>
    <x v="10"/>
    <x v="0"/>
    <x v="1"/>
    <x v="2"/>
    <x v="2"/>
    <n v="5"/>
    <n v="1"/>
    <x v="3"/>
    <x v="2"/>
    <n v="1"/>
    <x v="0"/>
    <n v="10"/>
    <x v="1"/>
    <x v="1"/>
    <x v="4"/>
    <x v="44"/>
    <x v="0"/>
    <x v="0"/>
    <x v="4"/>
    <x v="0"/>
    <x v="1"/>
    <x v="3"/>
    <s v="Express"/>
    <n v="10"/>
  </r>
  <r>
    <x v="107"/>
    <x v="6"/>
    <x v="0"/>
    <x v="0"/>
    <x v="1"/>
    <x v="3"/>
    <x v="2"/>
    <s v="Prince Rupert"/>
    <x v="8"/>
    <n v="263.5"/>
    <x v="1"/>
    <x v="0"/>
    <x v="2"/>
    <x v="3"/>
    <x v="1"/>
    <n v="2"/>
    <n v="2"/>
    <x v="0"/>
    <x v="0"/>
    <n v="0"/>
    <x v="0"/>
    <n v="8"/>
    <x v="2"/>
    <x v="1"/>
    <x v="0"/>
    <x v="94"/>
    <x v="2"/>
    <x v="3"/>
    <x v="4"/>
    <x v="1"/>
    <x v="1"/>
    <x v="1"/>
    <s v="Standard"/>
    <n v="1"/>
  </r>
  <r>
    <x v="108"/>
    <x v="1"/>
    <x v="0"/>
    <x v="1"/>
    <x v="1"/>
    <x v="1"/>
    <x v="0"/>
    <s v="Espírito Santo do Pinhal"/>
    <x v="13"/>
    <n v="264.01"/>
    <x v="8"/>
    <x v="0"/>
    <x v="1"/>
    <x v="3"/>
    <x v="2"/>
    <n v="4"/>
    <n v="0"/>
    <x v="3"/>
    <x v="2"/>
    <n v="1"/>
    <x v="1"/>
    <n v="5"/>
    <x v="3"/>
    <x v="2"/>
    <x v="4"/>
    <x v="95"/>
    <x v="2"/>
    <x v="6"/>
    <x v="4"/>
    <x v="0"/>
    <x v="1"/>
    <x v="2"/>
    <s v="No Preference"/>
    <n v="2"/>
  </r>
  <r>
    <x v="109"/>
    <x v="2"/>
    <x v="0"/>
    <x v="0"/>
    <x v="0"/>
    <x v="2"/>
    <x v="2"/>
    <s v="Kiambu"/>
    <x v="19"/>
    <n v="264.52"/>
    <x v="6"/>
    <x v="0"/>
    <x v="0"/>
    <x v="3"/>
    <x v="0"/>
    <n v="3"/>
    <n v="1"/>
    <x v="0"/>
    <x v="0"/>
    <n v="0"/>
    <x v="0"/>
    <n v="10"/>
    <x v="3"/>
    <x v="0"/>
    <x v="0"/>
    <x v="61"/>
    <x v="0"/>
    <x v="5"/>
    <x v="1"/>
    <x v="0"/>
    <x v="0"/>
    <x v="1"/>
    <s v="No Preference"/>
    <n v="6"/>
  </r>
  <r>
    <x v="110"/>
    <x v="3"/>
    <x v="0"/>
    <x v="7"/>
    <x v="0"/>
    <x v="2"/>
    <x v="2"/>
    <s v="Jiangcun"/>
    <x v="14"/>
    <n v="268.93"/>
    <x v="5"/>
    <x v="0"/>
    <x v="2"/>
    <x v="4"/>
    <x v="2"/>
    <n v="5"/>
    <n v="1"/>
    <x v="1"/>
    <x v="1"/>
    <n v="1"/>
    <x v="2"/>
    <n v="3"/>
    <x v="3"/>
    <x v="1"/>
    <x v="0"/>
    <x v="96"/>
    <x v="2"/>
    <x v="3"/>
    <x v="2"/>
    <x v="1"/>
    <x v="1"/>
    <x v="3"/>
    <s v="Express"/>
    <n v="8"/>
  </r>
  <r>
    <x v="111"/>
    <x v="3"/>
    <x v="0"/>
    <x v="0"/>
    <x v="1"/>
    <x v="3"/>
    <x v="1"/>
    <s v="Fīrūzābād"/>
    <x v="10"/>
    <n v="270.82"/>
    <x v="5"/>
    <x v="0"/>
    <x v="1"/>
    <x v="0"/>
    <x v="1"/>
    <n v="2"/>
    <n v="0"/>
    <x v="0"/>
    <x v="2"/>
    <n v="1"/>
    <x v="0"/>
    <n v="8"/>
    <x v="2"/>
    <x v="1"/>
    <x v="4"/>
    <x v="97"/>
    <x v="2"/>
    <x v="6"/>
    <x v="3"/>
    <x v="0"/>
    <x v="1"/>
    <x v="0"/>
    <s v="Standard"/>
    <n v="13"/>
  </r>
  <r>
    <x v="112"/>
    <x v="7"/>
    <x v="0"/>
    <x v="0"/>
    <x v="1"/>
    <x v="0"/>
    <x v="1"/>
    <s v="Tanudan"/>
    <x v="4"/>
    <n v="277.29000000000002"/>
    <x v="8"/>
    <x v="0"/>
    <x v="2"/>
    <x v="2"/>
    <x v="2"/>
    <n v="4"/>
    <n v="1"/>
    <x v="0"/>
    <x v="2"/>
    <n v="2"/>
    <x v="0"/>
    <n v="8"/>
    <x v="2"/>
    <x v="0"/>
    <x v="3"/>
    <x v="98"/>
    <x v="3"/>
    <x v="4"/>
    <x v="2"/>
    <x v="0"/>
    <x v="0"/>
    <x v="0"/>
    <s v="No Preference"/>
    <n v="4"/>
  </r>
  <r>
    <x v="113"/>
    <x v="2"/>
    <x v="0"/>
    <x v="0"/>
    <x v="0"/>
    <x v="1"/>
    <x v="1"/>
    <s v="Fort Wayne"/>
    <x v="17"/>
    <n v="281.37"/>
    <x v="0"/>
    <x v="0"/>
    <x v="0"/>
    <x v="1"/>
    <x v="0"/>
    <n v="3"/>
    <n v="2"/>
    <x v="2"/>
    <x v="1"/>
    <n v="0"/>
    <x v="2"/>
    <n v="2"/>
    <x v="2"/>
    <x v="0"/>
    <x v="0"/>
    <x v="6"/>
    <x v="3"/>
    <x v="4"/>
    <x v="1"/>
    <x v="1"/>
    <x v="0"/>
    <x v="3"/>
    <s v="Express"/>
    <n v="14"/>
  </r>
  <r>
    <x v="114"/>
    <x v="4"/>
    <x v="0"/>
    <x v="1"/>
    <x v="0"/>
    <x v="3"/>
    <x v="0"/>
    <s v="Xinqiao"/>
    <x v="16"/>
    <n v="287.95"/>
    <x v="10"/>
    <x v="0"/>
    <x v="2"/>
    <x v="1"/>
    <x v="0"/>
    <n v="3"/>
    <n v="2"/>
    <x v="0"/>
    <x v="1"/>
    <n v="2"/>
    <x v="1"/>
    <n v="7"/>
    <x v="1"/>
    <x v="1"/>
    <x v="2"/>
    <x v="99"/>
    <x v="2"/>
    <x v="3"/>
    <x v="1"/>
    <x v="0"/>
    <x v="0"/>
    <x v="1"/>
    <s v="Standard"/>
    <n v="11"/>
  </r>
  <r>
    <x v="115"/>
    <x v="4"/>
    <x v="0"/>
    <x v="4"/>
    <x v="0"/>
    <x v="0"/>
    <x v="0"/>
    <s v="Carregueira"/>
    <x v="5"/>
    <n v="288.14999999999998"/>
    <x v="10"/>
    <x v="0"/>
    <x v="0"/>
    <x v="2"/>
    <x v="2"/>
    <n v="4"/>
    <n v="1"/>
    <x v="3"/>
    <x v="2"/>
    <n v="1"/>
    <x v="2"/>
    <n v="4"/>
    <x v="0"/>
    <x v="1"/>
    <x v="1"/>
    <x v="100"/>
    <x v="1"/>
    <x v="1"/>
    <x v="1"/>
    <x v="0"/>
    <x v="1"/>
    <x v="3"/>
    <s v="Standard"/>
    <n v="13"/>
  </r>
  <r>
    <x v="116"/>
    <x v="4"/>
    <x v="0"/>
    <x v="0"/>
    <x v="0"/>
    <x v="2"/>
    <x v="2"/>
    <s v="Revolucion Verde"/>
    <x v="0"/>
    <n v="289.08"/>
    <x v="0"/>
    <x v="0"/>
    <x v="0"/>
    <x v="1"/>
    <x v="1"/>
    <n v="1"/>
    <n v="0"/>
    <x v="0"/>
    <x v="1"/>
    <n v="1"/>
    <x v="0"/>
    <n v="10"/>
    <x v="0"/>
    <x v="2"/>
    <x v="4"/>
    <x v="101"/>
    <x v="1"/>
    <x v="1"/>
    <x v="3"/>
    <x v="0"/>
    <x v="0"/>
    <x v="0"/>
    <s v="Standard"/>
    <n v="7"/>
  </r>
  <r>
    <x v="117"/>
    <x v="6"/>
    <x v="0"/>
    <x v="0"/>
    <x v="1"/>
    <x v="3"/>
    <x v="2"/>
    <s v="Maralal"/>
    <x v="19"/>
    <n v="292.64"/>
    <x v="3"/>
    <x v="0"/>
    <x v="1"/>
    <x v="2"/>
    <x v="1"/>
    <n v="1"/>
    <n v="1"/>
    <x v="0"/>
    <x v="2"/>
    <n v="2"/>
    <x v="0"/>
    <n v="10"/>
    <x v="0"/>
    <x v="1"/>
    <x v="3"/>
    <x v="102"/>
    <x v="3"/>
    <x v="9"/>
    <x v="5"/>
    <x v="0"/>
    <x v="1"/>
    <x v="0"/>
    <s v="Standard"/>
    <n v="1"/>
  </r>
  <r>
    <x v="118"/>
    <x v="1"/>
    <x v="0"/>
    <x v="7"/>
    <x v="1"/>
    <x v="0"/>
    <x v="0"/>
    <s v="Stepnogorsk"/>
    <x v="3"/>
    <n v="293.99"/>
    <x v="2"/>
    <x v="0"/>
    <x v="2"/>
    <x v="3"/>
    <x v="2"/>
    <n v="4"/>
    <n v="0"/>
    <x v="0"/>
    <x v="2"/>
    <n v="2"/>
    <x v="1"/>
    <n v="7"/>
    <x v="3"/>
    <x v="1"/>
    <x v="3"/>
    <x v="103"/>
    <x v="2"/>
    <x v="8"/>
    <x v="0"/>
    <x v="1"/>
    <x v="0"/>
    <x v="0"/>
    <s v="No Preference"/>
    <n v="5"/>
  </r>
  <r>
    <x v="119"/>
    <x v="3"/>
    <x v="0"/>
    <x v="4"/>
    <x v="1"/>
    <x v="1"/>
    <x v="0"/>
    <s v="Ferreira do Alentejo"/>
    <x v="19"/>
    <n v="297.45"/>
    <x v="10"/>
    <x v="0"/>
    <x v="2"/>
    <x v="2"/>
    <x v="2"/>
    <n v="5"/>
    <n v="0"/>
    <x v="1"/>
    <x v="1"/>
    <n v="0"/>
    <x v="1"/>
    <n v="7"/>
    <x v="2"/>
    <x v="1"/>
    <x v="0"/>
    <x v="59"/>
    <x v="1"/>
    <x v="10"/>
    <x v="0"/>
    <x v="1"/>
    <x v="1"/>
    <x v="1"/>
    <s v="No Preference"/>
    <n v="4"/>
  </r>
  <r>
    <x v="120"/>
    <x v="2"/>
    <x v="0"/>
    <x v="0"/>
    <x v="1"/>
    <x v="1"/>
    <x v="0"/>
    <s v="Curahkalak Tengah"/>
    <x v="15"/>
    <n v="301.01"/>
    <x v="6"/>
    <x v="0"/>
    <x v="2"/>
    <x v="1"/>
    <x v="1"/>
    <n v="1"/>
    <n v="2"/>
    <x v="3"/>
    <x v="0"/>
    <n v="2"/>
    <x v="0"/>
    <n v="8"/>
    <x v="0"/>
    <x v="0"/>
    <x v="4"/>
    <x v="90"/>
    <x v="1"/>
    <x v="1"/>
    <x v="5"/>
    <x v="1"/>
    <x v="0"/>
    <x v="2"/>
    <s v="Express"/>
    <n v="13"/>
  </r>
  <r>
    <x v="121"/>
    <x v="6"/>
    <x v="0"/>
    <x v="1"/>
    <x v="0"/>
    <x v="3"/>
    <x v="0"/>
    <s v="Foso"/>
    <x v="1"/>
    <n v="302.60000000000002"/>
    <x v="6"/>
    <x v="0"/>
    <x v="0"/>
    <x v="2"/>
    <x v="2"/>
    <n v="4"/>
    <n v="2"/>
    <x v="1"/>
    <x v="1"/>
    <n v="2"/>
    <x v="0"/>
    <n v="10"/>
    <x v="3"/>
    <x v="2"/>
    <x v="0"/>
    <x v="38"/>
    <x v="1"/>
    <x v="10"/>
    <x v="1"/>
    <x v="1"/>
    <x v="0"/>
    <x v="3"/>
    <s v="Standard"/>
    <n v="2"/>
  </r>
  <r>
    <x v="122"/>
    <x v="6"/>
    <x v="0"/>
    <x v="1"/>
    <x v="1"/>
    <x v="0"/>
    <x v="0"/>
    <s v="Tempuran"/>
    <x v="12"/>
    <n v="302.74"/>
    <x v="7"/>
    <x v="0"/>
    <x v="2"/>
    <x v="2"/>
    <x v="2"/>
    <n v="5"/>
    <n v="0"/>
    <x v="3"/>
    <x v="1"/>
    <n v="0"/>
    <x v="1"/>
    <n v="6"/>
    <x v="1"/>
    <x v="0"/>
    <x v="2"/>
    <x v="71"/>
    <x v="1"/>
    <x v="2"/>
    <x v="5"/>
    <x v="0"/>
    <x v="0"/>
    <x v="0"/>
    <s v="Express"/>
    <n v="5"/>
  </r>
  <r>
    <x v="123"/>
    <x v="2"/>
    <x v="0"/>
    <x v="5"/>
    <x v="0"/>
    <x v="3"/>
    <x v="2"/>
    <s v="Gereshk"/>
    <x v="1"/>
    <n v="305.54000000000002"/>
    <x v="1"/>
    <x v="0"/>
    <x v="1"/>
    <x v="3"/>
    <x v="2"/>
    <n v="5"/>
    <n v="0"/>
    <x v="1"/>
    <x v="2"/>
    <n v="0"/>
    <x v="1"/>
    <n v="5"/>
    <x v="0"/>
    <x v="0"/>
    <x v="4"/>
    <x v="58"/>
    <x v="0"/>
    <x v="0"/>
    <x v="6"/>
    <x v="0"/>
    <x v="1"/>
    <x v="0"/>
    <s v="No Preference"/>
    <n v="7"/>
  </r>
  <r>
    <x v="124"/>
    <x v="1"/>
    <x v="0"/>
    <x v="7"/>
    <x v="0"/>
    <x v="2"/>
    <x v="0"/>
    <s v="Hengfeng"/>
    <x v="3"/>
    <n v="307.61"/>
    <x v="1"/>
    <x v="0"/>
    <x v="2"/>
    <x v="2"/>
    <x v="1"/>
    <n v="1"/>
    <n v="0"/>
    <x v="2"/>
    <x v="2"/>
    <n v="0"/>
    <x v="0"/>
    <n v="9"/>
    <x v="0"/>
    <x v="0"/>
    <x v="2"/>
    <x v="69"/>
    <x v="2"/>
    <x v="8"/>
    <x v="6"/>
    <x v="0"/>
    <x v="0"/>
    <x v="2"/>
    <s v="No Preference"/>
    <n v="10"/>
  </r>
  <r>
    <x v="125"/>
    <x v="7"/>
    <x v="0"/>
    <x v="0"/>
    <x v="1"/>
    <x v="2"/>
    <x v="1"/>
    <s v="Macau"/>
    <x v="7"/>
    <n v="308.54000000000002"/>
    <x v="10"/>
    <x v="0"/>
    <x v="2"/>
    <x v="2"/>
    <x v="0"/>
    <n v="3"/>
    <n v="0"/>
    <x v="3"/>
    <x v="0"/>
    <n v="1"/>
    <x v="1"/>
    <n v="5"/>
    <x v="1"/>
    <x v="2"/>
    <x v="3"/>
    <x v="103"/>
    <x v="2"/>
    <x v="8"/>
    <x v="0"/>
    <x v="1"/>
    <x v="0"/>
    <x v="0"/>
    <s v="Standard"/>
    <n v="7"/>
  </r>
  <r>
    <x v="126"/>
    <x v="5"/>
    <x v="0"/>
    <x v="0"/>
    <x v="1"/>
    <x v="1"/>
    <x v="1"/>
    <s v="Yongfu"/>
    <x v="14"/>
    <n v="308.87"/>
    <x v="5"/>
    <x v="0"/>
    <x v="1"/>
    <x v="3"/>
    <x v="2"/>
    <n v="4"/>
    <n v="1"/>
    <x v="0"/>
    <x v="0"/>
    <n v="2"/>
    <x v="2"/>
    <n v="2"/>
    <x v="3"/>
    <x v="1"/>
    <x v="1"/>
    <x v="104"/>
    <x v="3"/>
    <x v="11"/>
    <x v="2"/>
    <x v="0"/>
    <x v="0"/>
    <x v="3"/>
    <s v="Express"/>
    <n v="11"/>
  </r>
  <r>
    <x v="127"/>
    <x v="4"/>
    <x v="0"/>
    <x v="1"/>
    <x v="0"/>
    <x v="1"/>
    <x v="1"/>
    <s v="Noisy-le-Grand"/>
    <x v="4"/>
    <n v="311.74"/>
    <x v="7"/>
    <x v="0"/>
    <x v="2"/>
    <x v="2"/>
    <x v="2"/>
    <n v="4"/>
    <n v="2"/>
    <x v="2"/>
    <x v="2"/>
    <n v="2"/>
    <x v="0"/>
    <n v="10"/>
    <x v="0"/>
    <x v="0"/>
    <x v="2"/>
    <x v="105"/>
    <x v="3"/>
    <x v="4"/>
    <x v="3"/>
    <x v="0"/>
    <x v="1"/>
    <x v="3"/>
    <s v="Express"/>
    <n v="11"/>
  </r>
  <r>
    <x v="128"/>
    <x v="1"/>
    <x v="0"/>
    <x v="1"/>
    <x v="1"/>
    <x v="0"/>
    <x v="1"/>
    <s v="Tiwi"/>
    <x v="3"/>
    <n v="314.36"/>
    <x v="4"/>
    <x v="0"/>
    <x v="1"/>
    <x v="3"/>
    <x v="2"/>
    <n v="5"/>
    <n v="2"/>
    <x v="1"/>
    <x v="1"/>
    <n v="1"/>
    <x v="2"/>
    <n v="4"/>
    <x v="3"/>
    <x v="2"/>
    <x v="1"/>
    <x v="80"/>
    <x v="1"/>
    <x v="10"/>
    <x v="3"/>
    <x v="0"/>
    <x v="1"/>
    <x v="3"/>
    <s v="Express"/>
    <n v="1"/>
  </r>
  <r>
    <x v="129"/>
    <x v="2"/>
    <x v="0"/>
    <x v="0"/>
    <x v="1"/>
    <x v="1"/>
    <x v="0"/>
    <s v="Tancheng"/>
    <x v="19"/>
    <n v="320.5"/>
    <x v="2"/>
    <x v="0"/>
    <x v="1"/>
    <x v="3"/>
    <x v="2"/>
    <n v="4"/>
    <n v="2"/>
    <x v="2"/>
    <x v="2"/>
    <n v="0"/>
    <x v="0"/>
    <n v="9"/>
    <x v="2"/>
    <x v="1"/>
    <x v="1"/>
    <x v="106"/>
    <x v="0"/>
    <x v="0"/>
    <x v="5"/>
    <x v="0"/>
    <x v="1"/>
    <x v="2"/>
    <s v="Express"/>
    <n v="9"/>
  </r>
  <r>
    <x v="130"/>
    <x v="1"/>
    <x v="0"/>
    <x v="0"/>
    <x v="0"/>
    <x v="2"/>
    <x v="0"/>
    <s v="Kragan"/>
    <x v="15"/>
    <n v="320.94"/>
    <x v="7"/>
    <x v="0"/>
    <x v="0"/>
    <x v="3"/>
    <x v="0"/>
    <n v="3"/>
    <n v="2"/>
    <x v="3"/>
    <x v="0"/>
    <n v="2"/>
    <x v="0"/>
    <n v="10"/>
    <x v="3"/>
    <x v="0"/>
    <x v="1"/>
    <x v="86"/>
    <x v="2"/>
    <x v="3"/>
    <x v="5"/>
    <x v="1"/>
    <x v="1"/>
    <x v="3"/>
    <s v="No Preference"/>
    <n v="10"/>
  </r>
  <r>
    <x v="131"/>
    <x v="7"/>
    <x v="0"/>
    <x v="6"/>
    <x v="1"/>
    <x v="1"/>
    <x v="1"/>
    <s v="Xiluodu"/>
    <x v="5"/>
    <n v="324.39"/>
    <x v="3"/>
    <x v="0"/>
    <x v="0"/>
    <x v="1"/>
    <x v="1"/>
    <n v="2"/>
    <n v="0"/>
    <x v="3"/>
    <x v="1"/>
    <n v="1"/>
    <x v="1"/>
    <n v="6"/>
    <x v="0"/>
    <x v="2"/>
    <x v="2"/>
    <x v="107"/>
    <x v="2"/>
    <x v="3"/>
    <x v="1"/>
    <x v="0"/>
    <x v="1"/>
    <x v="2"/>
    <s v="Express"/>
    <n v="1"/>
  </r>
  <r>
    <x v="132"/>
    <x v="4"/>
    <x v="0"/>
    <x v="2"/>
    <x v="0"/>
    <x v="1"/>
    <x v="2"/>
    <s v="Longxing"/>
    <x v="8"/>
    <n v="333.32"/>
    <x v="9"/>
    <x v="0"/>
    <x v="0"/>
    <x v="2"/>
    <x v="2"/>
    <n v="5"/>
    <n v="0"/>
    <x v="2"/>
    <x v="1"/>
    <n v="0"/>
    <x v="2"/>
    <n v="3"/>
    <x v="1"/>
    <x v="0"/>
    <x v="3"/>
    <x v="46"/>
    <x v="2"/>
    <x v="6"/>
    <x v="2"/>
    <x v="0"/>
    <x v="1"/>
    <x v="1"/>
    <s v="No Preference"/>
    <n v="3"/>
  </r>
  <r>
    <x v="133"/>
    <x v="1"/>
    <x v="0"/>
    <x v="0"/>
    <x v="1"/>
    <x v="1"/>
    <x v="0"/>
    <s v="Quebrada Canoa"/>
    <x v="18"/>
    <n v="333.56"/>
    <x v="10"/>
    <x v="0"/>
    <x v="2"/>
    <x v="0"/>
    <x v="2"/>
    <n v="5"/>
    <n v="1"/>
    <x v="2"/>
    <x v="0"/>
    <n v="2"/>
    <x v="2"/>
    <n v="2"/>
    <x v="1"/>
    <x v="0"/>
    <x v="4"/>
    <x v="108"/>
    <x v="2"/>
    <x v="6"/>
    <x v="5"/>
    <x v="0"/>
    <x v="0"/>
    <x v="3"/>
    <s v="No Preference"/>
    <n v="14"/>
  </r>
  <r>
    <x v="134"/>
    <x v="7"/>
    <x v="0"/>
    <x v="1"/>
    <x v="1"/>
    <x v="0"/>
    <x v="0"/>
    <s v="Évry"/>
    <x v="15"/>
    <n v="333.8"/>
    <x v="8"/>
    <x v="0"/>
    <x v="2"/>
    <x v="4"/>
    <x v="2"/>
    <n v="5"/>
    <n v="2"/>
    <x v="0"/>
    <x v="2"/>
    <n v="1"/>
    <x v="1"/>
    <n v="7"/>
    <x v="3"/>
    <x v="1"/>
    <x v="3"/>
    <x v="106"/>
    <x v="0"/>
    <x v="0"/>
    <x v="5"/>
    <x v="0"/>
    <x v="1"/>
    <x v="2"/>
    <s v="No Preference"/>
    <n v="2"/>
  </r>
  <r>
    <x v="135"/>
    <x v="3"/>
    <x v="0"/>
    <x v="0"/>
    <x v="1"/>
    <x v="0"/>
    <x v="1"/>
    <s v="Franceville"/>
    <x v="7"/>
    <n v="334.22"/>
    <x v="9"/>
    <x v="0"/>
    <x v="0"/>
    <x v="1"/>
    <x v="1"/>
    <n v="2"/>
    <n v="2"/>
    <x v="0"/>
    <x v="1"/>
    <n v="2"/>
    <x v="0"/>
    <n v="8"/>
    <x v="3"/>
    <x v="1"/>
    <x v="1"/>
    <x v="33"/>
    <x v="0"/>
    <x v="0"/>
    <x v="2"/>
    <x v="1"/>
    <x v="1"/>
    <x v="2"/>
    <s v="Standard"/>
    <n v="1"/>
  </r>
  <r>
    <x v="136"/>
    <x v="3"/>
    <x v="0"/>
    <x v="0"/>
    <x v="1"/>
    <x v="0"/>
    <x v="0"/>
    <s v="Qiman"/>
    <x v="7"/>
    <n v="336.96"/>
    <x v="5"/>
    <x v="0"/>
    <x v="1"/>
    <x v="4"/>
    <x v="1"/>
    <n v="2"/>
    <n v="2"/>
    <x v="3"/>
    <x v="0"/>
    <n v="0"/>
    <x v="1"/>
    <n v="7"/>
    <x v="2"/>
    <x v="1"/>
    <x v="2"/>
    <x v="109"/>
    <x v="2"/>
    <x v="8"/>
    <x v="6"/>
    <x v="0"/>
    <x v="0"/>
    <x v="3"/>
    <s v="No Preference"/>
    <n v="7"/>
  </r>
  <r>
    <x v="137"/>
    <x v="3"/>
    <x v="0"/>
    <x v="1"/>
    <x v="0"/>
    <x v="0"/>
    <x v="0"/>
    <s v="Garça"/>
    <x v="0"/>
    <n v="337.21"/>
    <x v="0"/>
    <x v="0"/>
    <x v="0"/>
    <x v="2"/>
    <x v="2"/>
    <n v="5"/>
    <n v="1"/>
    <x v="2"/>
    <x v="2"/>
    <n v="0"/>
    <x v="0"/>
    <n v="9"/>
    <x v="3"/>
    <x v="0"/>
    <x v="0"/>
    <x v="63"/>
    <x v="2"/>
    <x v="6"/>
    <x v="6"/>
    <x v="0"/>
    <x v="0"/>
    <x v="1"/>
    <s v="Express"/>
    <n v="11"/>
  </r>
  <r>
    <x v="138"/>
    <x v="5"/>
    <x v="0"/>
    <x v="1"/>
    <x v="0"/>
    <x v="3"/>
    <x v="1"/>
    <s v="Jackson"/>
    <x v="14"/>
    <n v="338.89"/>
    <x v="4"/>
    <x v="0"/>
    <x v="1"/>
    <x v="0"/>
    <x v="1"/>
    <n v="2"/>
    <n v="1"/>
    <x v="2"/>
    <x v="2"/>
    <n v="2"/>
    <x v="1"/>
    <n v="6"/>
    <x v="3"/>
    <x v="2"/>
    <x v="3"/>
    <x v="110"/>
    <x v="0"/>
    <x v="7"/>
    <x v="1"/>
    <x v="0"/>
    <x v="0"/>
    <x v="0"/>
    <s v="Express"/>
    <n v="3"/>
  </r>
  <r>
    <x v="139"/>
    <x v="2"/>
    <x v="0"/>
    <x v="1"/>
    <x v="0"/>
    <x v="0"/>
    <x v="2"/>
    <s v="Turkestan"/>
    <x v="6"/>
    <n v="338.96"/>
    <x v="2"/>
    <x v="0"/>
    <x v="0"/>
    <x v="2"/>
    <x v="2"/>
    <n v="4"/>
    <n v="2"/>
    <x v="3"/>
    <x v="2"/>
    <n v="1"/>
    <x v="0"/>
    <n v="9"/>
    <x v="1"/>
    <x v="2"/>
    <x v="0"/>
    <x v="21"/>
    <x v="2"/>
    <x v="3"/>
    <x v="4"/>
    <x v="0"/>
    <x v="0"/>
    <x v="0"/>
    <s v="Standard"/>
    <n v="4"/>
  </r>
  <r>
    <x v="140"/>
    <x v="3"/>
    <x v="0"/>
    <x v="1"/>
    <x v="0"/>
    <x v="2"/>
    <x v="2"/>
    <s v="Yonghe"/>
    <x v="12"/>
    <n v="339.12"/>
    <x v="5"/>
    <x v="0"/>
    <x v="1"/>
    <x v="0"/>
    <x v="2"/>
    <n v="4"/>
    <n v="0"/>
    <x v="1"/>
    <x v="0"/>
    <n v="0"/>
    <x v="1"/>
    <n v="5"/>
    <x v="2"/>
    <x v="0"/>
    <x v="2"/>
    <x v="111"/>
    <x v="3"/>
    <x v="4"/>
    <x v="4"/>
    <x v="1"/>
    <x v="1"/>
    <x v="3"/>
    <s v="No Preference"/>
    <n v="1"/>
  </r>
  <r>
    <x v="141"/>
    <x v="2"/>
    <x v="0"/>
    <x v="0"/>
    <x v="0"/>
    <x v="0"/>
    <x v="1"/>
    <s v="Madan"/>
    <x v="9"/>
    <n v="340.31"/>
    <x v="2"/>
    <x v="0"/>
    <x v="0"/>
    <x v="4"/>
    <x v="1"/>
    <n v="1"/>
    <n v="1"/>
    <x v="2"/>
    <x v="2"/>
    <n v="0"/>
    <x v="1"/>
    <n v="5"/>
    <x v="2"/>
    <x v="2"/>
    <x v="4"/>
    <x v="112"/>
    <x v="2"/>
    <x v="8"/>
    <x v="3"/>
    <x v="1"/>
    <x v="0"/>
    <x v="3"/>
    <s v="No Preference"/>
    <n v="14"/>
  </r>
  <r>
    <x v="142"/>
    <x v="0"/>
    <x v="0"/>
    <x v="1"/>
    <x v="0"/>
    <x v="3"/>
    <x v="1"/>
    <s v="Cibuah"/>
    <x v="11"/>
    <n v="343.77"/>
    <x v="1"/>
    <x v="0"/>
    <x v="2"/>
    <x v="4"/>
    <x v="2"/>
    <n v="4"/>
    <n v="2"/>
    <x v="0"/>
    <x v="0"/>
    <n v="2"/>
    <x v="2"/>
    <n v="4"/>
    <x v="0"/>
    <x v="2"/>
    <x v="3"/>
    <x v="32"/>
    <x v="3"/>
    <x v="11"/>
    <x v="5"/>
    <x v="0"/>
    <x v="1"/>
    <x v="3"/>
    <s v="No Preference"/>
    <n v="3"/>
  </r>
  <r>
    <x v="143"/>
    <x v="1"/>
    <x v="0"/>
    <x v="1"/>
    <x v="1"/>
    <x v="3"/>
    <x v="1"/>
    <s v="Kāshmar"/>
    <x v="15"/>
    <n v="343.77"/>
    <x v="1"/>
    <x v="0"/>
    <x v="0"/>
    <x v="0"/>
    <x v="0"/>
    <n v="3"/>
    <n v="2"/>
    <x v="2"/>
    <x v="2"/>
    <n v="2"/>
    <x v="0"/>
    <n v="9"/>
    <x v="1"/>
    <x v="2"/>
    <x v="1"/>
    <x v="112"/>
    <x v="2"/>
    <x v="8"/>
    <x v="3"/>
    <x v="0"/>
    <x v="0"/>
    <x v="0"/>
    <s v="Express"/>
    <n v="6"/>
  </r>
  <r>
    <x v="144"/>
    <x v="4"/>
    <x v="0"/>
    <x v="0"/>
    <x v="0"/>
    <x v="0"/>
    <x v="0"/>
    <s v="Wŏnsan"/>
    <x v="11"/>
    <n v="345.04"/>
    <x v="0"/>
    <x v="0"/>
    <x v="1"/>
    <x v="2"/>
    <x v="2"/>
    <n v="5"/>
    <n v="1"/>
    <x v="2"/>
    <x v="2"/>
    <n v="0"/>
    <x v="0"/>
    <n v="8"/>
    <x v="0"/>
    <x v="1"/>
    <x v="3"/>
    <x v="113"/>
    <x v="2"/>
    <x v="6"/>
    <x v="3"/>
    <x v="0"/>
    <x v="0"/>
    <x v="1"/>
    <s v="Express"/>
    <n v="13"/>
  </r>
  <r>
    <x v="145"/>
    <x v="5"/>
    <x v="0"/>
    <x v="0"/>
    <x v="0"/>
    <x v="1"/>
    <x v="2"/>
    <s v="Baturité"/>
    <x v="0"/>
    <n v="352.87"/>
    <x v="7"/>
    <x v="1"/>
    <x v="1"/>
    <x v="4"/>
    <x v="0"/>
    <n v="3"/>
    <n v="0"/>
    <x v="3"/>
    <x v="0"/>
    <n v="0"/>
    <x v="1"/>
    <n v="6"/>
    <x v="1"/>
    <x v="1"/>
    <x v="2"/>
    <x v="114"/>
    <x v="3"/>
    <x v="11"/>
    <x v="4"/>
    <x v="1"/>
    <x v="1"/>
    <x v="0"/>
    <s v="Standard"/>
    <n v="12"/>
  </r>
  <r>
    <x v="146"/>
    <x v="3"/>
    <x v="0"/>
    <x v="1"/>
    <x v="1"/>
    <x v="3"/>
    <x v="0"/>
    <s v="Jiangcun"/>
    <x v="19"/>
    <n v="355.28"/>
    <x v="10"/>
    <x v="0"/>
    <x v="2"/>
    <x v="4"/>
    <x v="2"/>
    <n v="5"/>
    <n v="0"/>
    <x v="2"/>
    <x v="1"/>
    <n v="1"/>
    <x v="2"/>
    <n v="4"/>
    <x v="2"/>
    <x v="0"/>
    <x v="3"/>
    <x v="115"/>
    <x v="2"/>
    <x v="8"/>
    <x v="1"/>
    <x v="0"/>
    <x v="0"/>
    <x v="1"/>
    <s v="No Preference"/>
    <n v="5"/>
  </r>
  <r>
    <x v="147"/>
    <x v="5"/>
    <x v="0"/>
    <x v="1"/>
    <x v="0"/>
    <x v="3"/>
    <x v="2"/>
    <s v="Paris 17"/>
    <x v="14"/>
    <n v="355.31"/>
    <x v="7"/>
    <x v="1"/>
    <x v="0"/>
    <x v="2"/>
    <x v="1"/>
    <n v="1"/>
    <n v="0"/>
    <x v="3"/>
    <x v="0"/>
    <n v="1"/>
    <x v="2"/>
    <n v="2"/>
    <x v="0"/>
    <x v="2"/>
    <x v="0"/>
    <x v="116"/>
    <x v="1"/>
    <x v="1"/>
    <x v="4"/>
    <x v="1"/>
    <x v="0"/>
    <x v="3"/>
    <s v="Express"/>
    <n v="12"/>
  </r>
  <r>
    <x v="148"/>
    <x v="4"/>
    <x v="0"/>
    <x v="1"/>
    <x v="0"/>
    <x v="1"/>
    <x v="0"/>
    <s v="Vilar"/>
    <x v="2"/>
    <n v="358.72"/>
    <x v="3"/>
    <x v="0"/>
    <x v="1"/>
    <x v="3"/>
    <x v="2"/>
    <n v="5"/>
    <n v="1"/>
    <x v="2"/>
    <x v="1"/>
    <n v="0"/>
    <x v="0"/>
    <n v="8"/>
    <x v="2"/>
    <x v="1"/>
    <x v="3"/>
    <x v="117"/>
    <x v="3"/>
    <x v="11"/>
    <x v="1"/>
    <x v="0"/>
    <x v="0"/>
    <x v="3"/>
    <s v="Standard"/>
    <n v="12"/>
  </r>
  <r>
    <x v="149"/>
    <x v="4"/>
    <x v="0"/>
    <x v="5"/>
    <x v="0"/>
    <x v="3"/>
    <x v="1"/>
    <s v="Sacramento"/>
    <x v="6"/>
    <n v="363.84"/>
    <x v="7"/>
    <x v="1"/>
    <x v="0"/>
    <x v="3"/>
    <x v="1"/>
    <n v="2"/>
    <n v="1"/>
    <x v="2"/>
    <x v="0"/>
    <n v="0"/>
    <x v="2"/>
    <n v="3"/>
    <x v="0"/>
    <x v="2"/>
    <x v="1"/>
    <x v="118"/>
    <x v="1"/>
    <x v="1"/>
    <x v="5"/>
    <x v="0"/>
    <x v="1"/>
    <x v="3"/>
    <s v="Express"/>
    <n v="5"/>
  </r>
  <r>
    <x v="150"/>
    <x v="1"/>
    <x v="0"/>
    <x v="1"/>
    <x v="1"/>
    <x v="3"/>
    <x v="2"/>
    <s v="Dobrica"/>
    <x v="14"/>
    <n v="365.1"/>
    <x v="10"/>
    <x v="0"/>
    <x v="1"/>
    <x v="1"/>
    <x v="0"/>
    <n v="3"/>
    <n v="0"/>
    <x v="0"/>
    <x v="0"/>
    <n v="1"/>
    <x v="2"/>
    <n v="3"/>
    <x v="1"/>
    <x v="2"/>
    <x v="0"/>
    <x v="118"/>
    <x v="1"/>
    <x v="1"/>
    <x v="5"/>
    <x v="1"/>
    <x v="0"/>
    <x v="0"/>
    <s v="No Preference"/>
    <n v="1"/>
  </r>
  <r>
    <x v="151"/>
    <x v="1"/>
    <x v="0"/>
    <x v="0"/>
    <x v="1"/>
    <x v="2"/>
    <x v="1"/>
    <s v="Muslyumovo"/>
    <x v="13"/>
    <n v="365.37"/>
    <x v="1"/>
    <x v="0"/>
    <x v="2"/>
    <x v="2"/>
    <x v="1"/>
    <n v="2"/>
    <n v="1"/>
    <x v="2"/>
    <x v="1"/>
    <n v="1"/>
    <x v="1"/>
    <n v="5"/>
    <x v="2"/>
    <x v="0"/>
    <x v="2"/>
    <x v="119"/>
    <x v="1"/>
    <x v="10"/>
    <x v="1"/>
    <x v="0"/>
    <x v="0"/>
    <x v="0"/>
    <s v="Express"/>
    <n v="7"/>
  </r>
  <r>
    <x v="152"/>
    <x v="6"/>
    <x v="0"/>
    <x v="1"/>
    <x v="1"/>
    <x v="0"/>
    <x v="1"/>
    <s v="Na Chaluai"/>
    <x v="5"/>
    <n v="365.88"/>
    <x v="0"/>
    <x v="1"/>
    <x v="0"/>
    <x v="3"/>
    <x v="0"/>
    <n v="3"/>
    <n v="2"/>
    <x v="1"/>
    <x v="1"/>
    <n v="0"/>
    <x v="0"/>
    <n v="9"/>
    <x v="1"/>
    <x v="0"/>
    <x v="4"/>
    <x v="120"/>
    <x v="2"/>
    <x v="3"/>
    <x v="1"/>
    <x v="0"/>
    <x v="1"/>
    <x v="2"/>
    <s v="Express"/>
    <n v="7"/>
  </r>
  <r>
    <x v="153"/>
    <x v="4"/>
    <x v="0"/>
    <x v="0"/>
    <x v="0"/>
    <x v="3"/>
    <x v="0"/>
    <s v="Guadalupe"/>
    <x v="12"/>
    <n v="366.16"/>
    <x v="0"/>
    <x v="1"/>
    <x v="2"/>
    <x v="0"/>
    <x v="2"/>
    <n v="4"/>
    <n v="2"/>
    <x v="1"/>
    <x v="2"/>
    <n v="1"/>
    <x v="1"/>
    <n v="5"/>
    <x v="2"/>
    <x v="2"/>
    <x v="3"/>
    <x v="121"/>
    <x v="1"/>
    <x v="1"/>
    <x v="4"/>
    <x v="1"/>
    <x v="1"/>
    <x v="2"/>
    <s v="No Preference"/>
    <n v="4"/>
  </r>
  <r>
    <x v="154"/>
    <x v="5"/>
    <x v="0"/>
    <x v="1"/>
    <x v="1"/>
    <x v="0"/>
    <x v="0"/>
    <s v="Magdalena"/>
    <x v="8"/>
    <n v="366.77"/>
    <x v="4"/>
    <x v="1"/>
    <x v="2"/>
    <x v="0"/>
    <x v="0"/>
    <n v="3"/>
    <n v="2"/>
    <x v="2"/>
    <x v="0"/>
    <n v="0"/>
    <x v="0"/>
    <n v="9"/>
    <x v="3"/>
    <x v="0"/>
    <x v="0"/>
    <x v="112"/>
    <x v="2"/>
    <x v="8"/>
    <x v="3"/>
    <x v="1"/>
    <x v="1"/>
    <x v="3"/>
    <s v="Standard"/>
    <n v="1"/>
  </r>
  <r>
    <x v="155"/>
    <x v="7"/>
    <x v="0"/>
    <x v="1"/>
    <x v="1"/>
    <x v="1"/>
    <x v="0"/>
    <s v="Portela"/>
    <x v="5"/>
    <n v="367.56"/>
    <x v="6"/>
    <x v="1"/>
    <x v="0"/>
    <x v="0"/>
    <x v="2"/>
    <n v="5"/>
    <n v="1"/>
    <x v="0"/>
    <x v="0"/>
    <n v="0"/>
    <x v="0"/>
    <n v="8"/>
    <x v="2"/>
    <x v="0"/>
    <x v="4"/>
    <x v="122"/>
    <x v="1"/>
    <x v="10"/>
    <x v="6"/>
    <x v="1"/>
    <x v="1"/>
    <x v="2"/>
    <s v="Standard"/>
    <n v="14"/>
  </r>
  <r>
    <x v="156"/>
    <x v="2"/>
    <x v="0"/>
    <x v="1"/>
    <x v="1"/>
    <x v="3"/>
    <x v="2"/>
    <s v="Dongzhou"/>
    <x v="8"/>
    <n v="378.47"/>
    <x v="1"/>
    <x v="0"/>
    <x v="0"/>
    <x v="4"/>
    <x v="1"/>
    <n v="2"/>
    <n v="0.33"/>
    <x v="1"/>
    <x v="0"/>
    <n v="1"/>
    <x v="0"/>
    <n v="10"/>
    <x v="2"/>
    <x v="1"/>
    <x v="4"/>
    <x v="123"/>
    <x v="3"/>
    <x v="9"/>
    <x v="0"/>
    <x v="1"/>
    <x v="1"/>
    <x v="1"/>
    <s v="Express"/>
    <n v="2"/>
  </r>
  <r>
    <x v="157"/>
    <x v="0"/>
    <x v="0"/>
    <x v="0"/>
    <x v="1"/>
    <x v="3"/>
    <x v="0"/>
    <s v="Ebu"/>
    <x v="11"/>
    <n v="378.71"/>
    <x v="3"/>
    <x v="0"/>
    <x v="0"/>
    <x v="0"/>
    <x v="1"/>
    <n v="1"/>
    <n v="2"/>
    <x v="1"/>
    <x v="2"/>
    <n v="2"/>
    <x v="1"/>
    <n v="5"/>
    <x v="3"/>
    <x v="2"/>
    <x v="4"/>
    <x v="118"/>
    <x v="1"/>
    <x v="1"/>
    <x v="5"/>
    <x v="0"/>
    <x v="0"/>
    <x v="1"/>
    <s v="Express"/>
    <n v="14"/>
  </r>
  <r>
    <x v="158"/>
    <x v="2"/>
    <x v="0"/>
    <x v="0"/>
    <x v="1"/>
    <x v="3"/>
    <x v="1"/>
    <s v="Labège"/>
    <x v="10"/>
    <n v="381.3"/>
    <x v="0"/>
    <x v="1"/>
    <x v="0"/>
    <x v="1"/>
    <x v="1"/>
    <n v="1"/>
    <n v="1"/>
    <x v="3"/>
    <x v="1"/>
    <n v="0"/>
    <x v="2"/>
    <n v="4"/>
    <x v="2"/>
    <x v="2"/>
    <x v="3"/>
    <x v="27"/>
    <x v="3"/>
    <x v="4"/>
    <x v="1"/>
    <x v="1"/>
    <x v="1"/>
    <x v="1"/>
    <s v="Express"/>
    <n v="7"/>
  </r>
  <r>
    <x v="159"/>
    <x v="3"/>
    <x v="0"/>
    <x v="1"/>
    <x v="0"/>
    <x v="2"/>
    <x v="1"/>
    <s v="Tingsryd"/>
    <x v="18"/>
    <n v="382.94"/>
    <x v="9"/>
    <x v="1"/>
    <x v="1"/>
    <x v="2"/>
    <x v="0"/>
    <n v="3"/>
    <n v="0"/>
    <x v="1"/>
    <x v="0"/>
    <n v="0"/>
    <x v="1"/>
    <n v="6"/>
    <x v="3"/>
    <x v="2"/>
    <x v="0"/>
    <x v="124"/>
    <x v="0"/>
    <x v="7"/>
    <x v="0"/>
    <x v="1"/>
    <x v="1"/>
    <x v="2"/>
    <s v="Standard"/>
    <n v="3"/>
  </r>
  <r>
    <x v="160"/>
    <x v="7"/>
    <x v="0"/>
    <x v="0"/>
    <x v="1"/>
    <x v="2"/>
    <x v="1"/>
    <s v="Veiga"/>
    <x v="10"/>
    <n v="383.13"/>
    <x v="10"/>
    <x v="0"/>
    <x v="2"/>
    <x v="0"/>
    <x v="2"/>
    <n v="5"/>
    <n v="0"/>
    <x v="1"/>
    <x v="0"/>
    <n v="2"/>
    <x v="1"/>
    <n v="6"/>
    <x v="3"/>
    <x v="2"/>
    <x v="1"/>
    <x v="125"/>
    <x v="2"/>
    <x v="8"/>
    <x v="3"/>
    <x v="1"/>
    <x v="1"/>
    <x v="2"/>
    <s v="No Preference"/>
    <n v="7"/>
  </r>
  <r>
    <x v="161"/>
    <x v="1"/>
    <x v="0"/>
    <x v="0"/>
    <x v="1"/>
    <x v="2"/>
    <x v="1"/>
    <s v="Burgastai"/>
    <x v="11"/>
    <n v="384.26"/>
    <x v="1"/>
    <x v="0"/>
    <x v="2"/>
    <x v="0"/>
    <x v="1"/>
    <n v="2"/>
    <n v="1"/>
    <x v="3"/>
    <x v="0"/>
    <n v="0"/>
    <x v="0"/>
    <n v="9"/>
    <x v="0"/>
    <x v="0"/>
    <x v="2"/>
    <x v="126"/>
    <x v="1"/>
    <x v="10"/>
    <x v="6"/>
    <x v="1"/>
    <x v="0"/>
    <x v="2"/>
    <s v="No Preference"/>
    <n v="11"/>
  </r>
  <r>
    <x v="162"/>
    <x v="4"/>
    <x v="0"/>
    <x v="1"/>
    <x v="1"/>
    <x v="0"/>
    <x v="1"/>
    <s v="Guanzhou"/>
    <x v="3"/>
    <n v="388.82"/>
    <x v="2"/>
    <x v="1"/>
    <x v="2"/>
    <x v="1"/>
    <x v="0"/>
    <n v="3"/>
    <n v="0"/>
    <x v="2"/>
    <x v="1"/>
    <n v="0"/>
    <x v="0"/>
    <n v="8"/>
    <x v="2"/>
    <x v="2"/>
    <x v="4"/>
    <x v="68"/>
    <x v="2"/>
    <x v="8"/>
    <x v="1"/>
    <x v="1"/>
    <x v="1"/>
    <x v="2"/>
    <s v="No Preference"/>
    <n v="6"/>
  </r>
  <r>
    <x v="163"/>
    <x v="4"/>
    <x v="0"/>
    <x v="1"/>
    <x v="0"/>
    <x v="2"/>
    <x v="0"/>
    <s v="Deqing"/>
    <x v="2"/>
    <n v="390.44"/>
    <x v="8"/>
    <x v="0"/>
    <x v="2"/>
    <x v="4"/>
    <x v="1"/>
    <n v="1"/>
    <n v="0"/>
    <x v="1"/>
    <x v="1"/>
    <n v="0"/>
    <x v="2"/>
    <n v="4"/>
    <x v="1"/>
    <x v="2"/>
    <x v="4"/>
    <x v="127"/>
    <x v="3"/>
    <x v="11"/>
    <x v="6"/>
    <x v="0"/>
    <x v="1"/>
    <x v="2"/>
    <s v="Standard"/>
    <n v="4"/>
  </r>
  <r>
    <x v="164"/>
    <x v="3"/>
    <x v="0"/>
    <x v="0"/>
    <x v="0"/>
    <x v="3"/>
    <x v="1"/>
    <s v="Göteborg"/>
    <x v="1"/>
    <n v="391.87"/>
    <x v="10"/>
    <x v="0"/>
    <x v="0"/>
    <x v="2"/>
    <x v="2"/>
    <n v="4"/>
    <n v="2"/>
    <x v="3"/>
    <x v="1"/>
    <n v="0"/>
    <x v="2"/>
    <n v="2"/>
    <x v="0"/>
    <x v="2"/>
    <x v="1"/>
    <x v="32"/>
    <x v="3"/>
    <x v="11"/>
    <x v="5"/>
    <x v="0"/>
    <x v="1"/>
    <x v="1"/>
    <s v="Standard"/>
    <n v="6"/>
  </r>
  <r>
    <x v="165"/>
    <x v="5"/>
    <x v="0"/>
    <x v="3"/>
    <x v="0"/>
    <x v="1"/>
    <x v="1"/>
    <s v="Jagistay"/>
    <x v="1"/>
    <n v="393.35"/>
    <x v="4"/>
    <x v="1"/>
    <x v="2"/>
    <x v="3"/>
    <x v="2"/>
    <n v="4"/>
    <n v="2"/>
    <x v="3"/>
    <x v="0"/>
    <n v="0"/>
    <x v="2"/>
    <n v="4"/>
    <x v="1"/>
    <x v="1"/>
    <x v="3"/>
    <x v="128"/>
    <x v="1"/>
    <x v="2"/>
    <x v="0"/>
    <x v="0"/>
    <x v="0"/>
    <x v="2"/>
    <s v="No Preference"/>
    <n v="12"/>
  </r>
  <r>
    <x v="166"/>
    <x v="4"/>
    <x v="0"/>
    <x v="1"/>
    <x v="0"/>
    <x v="0"/>
    <x v="0"/>
    <s v="Valongo"/>
    <x v="9"/>
    <n v="393.78"/>
    <x v="1"/>
    <x v="0"/>
    <x v="0"/>
    <x v="3"/>
    <x v="2"/>
    <n v="4"/>
    <n v="1"/>
    <x v="1"/>
    <x v="1"/>
    <n v="0"/>
    <x v="1"/>
    <n v="5"/>
    <x v="2"/>
    <x v="1"/>
    <x v="4"/>
    <x v="91"/>
    <x v="0"/>
    <x v="0"/>
    <x v="4"/>
    <x v="0"/>
    <x v="1"/>
    <x v="2"/>
    <s v="No Preference"/>
    <n v="14"/>
  </r>
  <r>
    <x v="167"/>
    <x v="4"/>
    <x v="0"/>
    <x v="6"/>
    <x v="0"/>
    <x v="3"/>
    <x v="0"/>
    <s v="Maní"/>
    <x v="12"/>
    <n v="395.01"/>
    <x v="5"/>
    <x v="0"/>
    <x v="2"/>
    <x v="2"/>
    <x v="1"/>
    <n v="2"/>
    <n v="2"/>
    <x v="1"/>
    <x v="1"/>
    <n v="0"/>
    <x v="1"/>
    <n v="6"/>
    <x v="0"/>
    <x v="2"/>
    <x v="3"/>
    <x v="129"/>
    <x v="0"/>
    <x v="5"/>
    <x v="6"/>
    <x v="0"/>
    <x v="1"/>
    <x v="0"/>
    <s v="Standard"/>
    <n v="3"/>
  </r>
  <r>
    <x v="168"/>
    <x v="0"/>
    <x v="0"/>
    <x v="1"/>
    <x v="0"/>
    <x v="3"/>
    <x v="2"/>
    <s v="Sertolovo"/>
    <x v="8"/>
    <n v="397.25"/>
    <x v="1"/>
    <x v="0"/>
    <x v="2"/>
    <x v="4"/>
    <x v="1"/>
    <n v="2"/>
    <n v="1"/>
    <x v="2"/>
    <x v="0"/>
    <n v="1"/>
    <x v="0"/>
    <n v="10"/>
    <x v="3"/>
    <x v="2"/>
    <x v="1"/>
    <x v="31"/>
    <x v="1"/>
    <x v="1"/>
    <x v="6"/>
    <x v="1"/>
    <x v="0"/>
    <x v="0"/>
    <s v="No Preference"/>
    <n v="2"/>
  </r>
  <r>
    <x v="169"/>
    <x v="5"/>
    <x v="0"/>
    <x v="0"/>
    <x v="0"/>
    <x v="2"/>
    <x v="0"/>
    <s v="Muaratiga"/>
    <x v="19"/>
    <n v="399.58"/>
    <x v="1"/>
    <x v="0"/>
    <x v="1"/>
    <x v="3"/>
    <x v="2"/>
    <n v="4"/>
    <n v="0"/>
    <x v="0"/>
    <x v="1"/>
    <n v="1"/>
    <x v="0"/>
    <n v="8"/>
    <x v="2"/>
    <x v="1"/>
    <x v="4"/>
    <x v="125"/>
    <x v="2"/>
    <x v="8"/>
    <x v="3"/>
    <x v="0"/>
    <x v="1"/>
    <x v="2"/>
    <s v="Standard"/>
    <n v="7"/>
  </r>
  <r>
    <x v="170"/>
    <x v="6"/>
    <x v="0"/>
    <x v="1"/>
    <x v="0"/>
    <x v="2"/>
    <x v="1"/>
    <s v="Beigucheng"/>
    <x v="10"/>
    <n v="400.86"/>
    <x v="4"/>
    <x v="1"/>
    <x v="0"/>
    <x v="3"/>
    <x v="0"/>
    <n v="3"/>
    <n v="1"/>
    <x v="3"/>
    <x v="1"/>
    <n v="1"/>
    <x v="1"/>
    <n v="7"/>
    <x v="2"/>
    <x v="0"/>
    <x v="3"/>
    <x v="69"/>
    <x v="2"/>
    <x v="8"/>
    <x v="6"/>
    <x v="0"/>
    <x v="1"/>
    <x v="1"/>
    <s v="No Preference"/>
    <n v="5"/>
  </r>
  <r>
    <x v="171"/>
    <x v="4"/>
    <x v="0"/>
    <x v="1"/>
    <x v="1"/>
    <x v="0"/>
    <x v="2"/>
    <s v="Xiamayu"/>
    <x v="2"/>
    <n v="401.43"/>
    <x v="9"/>
    <x v="1"/>
    <x v="2"/>
    <x v="0"/>
    <x v="1"/>
    <n v="2"/>
    <n v="0"/>
    <x v="0"/>
    <x v="0"/>
    <n v="0"/>
    <x v="1"/>
    <n v="6"/>
    <x v="1"/>
    <x v="1"/>
    <x v="4"/>
    <x v="130"/>
    <x v="0"/>
    <x v="7"/>
    <x v="6"/>
    <x v="0"/>
    <x v="0"/>
    <x v="2"/>
    <s v="No Preference"/>
    <n v="5"/>
  </r>
  <r>
    <x v="172"/>
    <x v="5"/>
    <x v="0"/>
    <x v="0"/>
    <x v="0"/>
    <x v="0"/>
    <x v="0"/>
    <s v="Ugljevik"/>
    <x v="9"/>
    <n v="401.75"/>
    <x v="9"/>
    <x v="1"/>
    <x v="0"/>
    <x v="3"/>
    <x v="2"/>
    <n v="4"/>
    <n v="0.3"/>
    <x v="0"/>
    <x v="2"/>
    <n v="1"/>
    <x v="0"/>
    <n v="8"/>
    <x v="1"/>
    <x v="0"/>
    <x v="2"/>
    <x v="123"/>
    <x v="3"/>
    <x v="9"/>
    <x v="0"/>
    <x v="1"/>
    <x v="0"/>
    <x v="0"/>
    <s v="Standard"/>
    <n v="6"/>
  </r>
  <r>
    <x v="173"/>
    <x v="6"/>
    <x v="0"/>
    <x v="0"/>
    <x v="0"/>
    <x v="1"/>
    <x v="1"/>
    <s v="Lipovci"/>
    <x v="9"/>
    <n v="404.57"/>
    <x v="3"/>
    <x v="0"/>
    <x v="2"/>
    <x v="0"/>
    <x v="0"/>
    <n v="3"/>
    <n v="0"/>
    <x v="1"/>
    <x v="0"/>
    <n v="2"/>
    <x v="1"/>
    <n v="7"/>
    <x v="3"/>
    <x v="0"/>
    <x v="0"/>
    <x v="14"/>
    <x v="1"/>
    <x v="1"/>
    <x v="2"/>
    <x v="1"/>
    <x v="0"/>
    <x v="2"/>
    <s v="Express"/>
    <n v="14"/>
  </r>
  <r>
    <x v="174"/>
    <x v="6"/>
    <x v="0"/>
    <x v="1"/>
    <x v="0"/>
    <x v="1"/>
    <x v="2"/>
    <s v="Tallahassee"/>
    <x v="5"/>
    <n v="411.95"/>
    <x v="2"/>
    <x v="1"/>
    <x v="1"/>
    <x v="4"/>
    <x v="0"/>
    <n v="3"/>
    <n v="1"/>
    <x v="0"/>
    <x v="0"/>
    <n v="0"/>
    <x v="2"/>
    <n v="4"/>
    <x v="3"/>
    <x v="0"/>
    <x v="2"/>
    <x v="131"/>
    <x v="3"/>
    <x v="9"/>
    <x v="3"/>
    <x v="0"/>
    <x v="0"/>
    <x v="3"/>
    <s v="Standard"/>
    <n v="5"/>
  </r>
  <r>
    <x v="175"/>
    <x v="0"/>
    <x v="0"/>
    <x v="1"/>
    <x v="0"/>
    <x v="1"/>
    <x v="1"/>
    <s v="Zhongdong"/>
    <x v="19"/>
    <n v="413.7"/>
    <x v="9"/>
    <x v="1"/>
    <x v="2"/>
    <x v="3"/>
    <x v="0"/>
    <n v="3"/>
    <n v="0.3"/>
    <x v="2"/>
    <x v="1"/>
    <n v="0"/>
    <x v="0"/>
    <n v="9"/>
    <x v="1"/>
    <x v="2"/>
    <x v="4"/>
    <x v="132"/>
    <x v="1"/>
    <x v="2"/>
    <x v="4"/>
    <x v="1"/>
    <x v="0"/>
    <x v="2"/>
    <s v="No Preference"/>
    <n v="6"/>
  </r>
  <r>
    <x v="176"/>
    <x v="3"/>
    <x v="0"/>
    <x v="3"/>
    <x v="0"/>
    <x v="0"/>
    <x v="0"/>
    <s v="Boshkengash"/>
    <x v="19"/>
    <n v="414.06"/>
    <x v="6"/>
    <x v="1"/>
    <x v="2"/>
    <x v="2"/>
    <x v="2"/>
    <n v="4"/>
    <n v="2"/>
    <x v="1"/>
    <x v="2"/>
    <n v="2"/>
    <x v="2"/>
    <n v="4"/>
    <x v="1"/>
    <x v="2"/>
    <x v="2"/>
    <x v="133"/>
    <x v="2"/>
    <x v="3"/>
    <x v="1"/>
    <x v="0"/>
    <x v="1"/>
    <x v="1"/>
    <s v="Express"/>
    <n v="2"/>
  </r>
  <r>
    <x v="177"/>
    <x v="3"/>
    <x v="0"/>
    <x v="0"/>
    <x v="1"/>
    <x v="2"/>
    <x v="1"/>
    <s v="Hongguang"/>
    <x v="9"/>
    <n v="414.83"/>
    <x v="5"/>
    <x v="0"/>
    <x v="2"/>
    <x v="1"/>
    <x v="2"/>
    <n v="4"/>
    <n v="0.5"/>
    <x v="3"/>
    <x v="2"/>
    <n v="2"/>
    <x v="2"/>
    <n v="4"/>
    <x v="1"/>
    <x v="2"/>
    <x v="3"/>
    <x v="134"/>
    <x v="1"/>
    <x v="10"/>
    <x v="1"/>
    <x v="1"/>
    <x v="1"/>
    <x v="1"/>
    <s v="Express"/>
    <n v="8"/>
  </r>
  <r>
    <x v="178"/>
    <x v="0"/>
    <x v="0"/>
    <x v="0"/>
    <x v="1"/>
    <x v="0"/>
    <x v="1"/>
    <s v="Palma De Mallorca"/>
    <x v="7"/>
    <n v="415.3"/>
    <x v="7"/>
    <x v="1"/>
    <x v="1"/>
    <x v="0"/>
    <x v="1"/>
    <n v="2"/>
    <n v="1"/>
    <x v="2"/>
    <x v="1"/>
    <n v="1"/>
    <x v="0"/>
    <n v="9"/>
    <x v="3"/>
    <x v="1"/>
    <x v="2"/>
    <x v="125"/>
    <x v="2"/>
    <x v="8"/>
    <x v="3"/>
    <x v="1"/>
    <x v="0"/>
    <x v="3"/>
    <s v="Standard"/>
    <n v="2"/>
  </r>
  <r>
    <x v="179"/>
    <x v="6"/>
    <x v="0"/>
    <x v="0"/>
    <x v="1"/>
    <x v="3"/>
    <x v="2"/>
    <s v="Naranjal"/>
    <x v="8"/>
    <n v="418.62"/>
    <x v="6"/>
    <x v="1"/>
    <x v="1"/>
    <x v="2"/>
    <x v="1"/>
    <n v="2"/>
    <n v="0"/>
    <x v="2"/>
    <x v="0"/>
    <n v="0"/>
    <x v="0"/>
    <n v="9"/>
    <x v="3"/>
    <x v="0"/>
    <x v="4"/>
    <x v="135"/>
    <x v="2"/>
    <x v="3"/>
    <x v="6"/>
    <x v="0"/>
    <x v="1"/>
    <x v="2"/>
    <s v="Standard"/>
    <n v="11"/>
  </r>
  <r>
    <x v="180"/>
    <x v="1"/>
    <x v="0"/>
    <x v="5"/>
    <x v="0"/>
    <x v="0"/>
    <x v="0"/>
    <s v="Pryamitsyno"/>
    <x v="9"/>
    <n v="418.83"/>
    <x v="4"/>
    <x v="1"/>
    <x v="0"/>
    <x v="1"/>
    <x v="2"/>
    <n v="5"/>
    <n v="1"/>
    <x v="0"/>
    <x v="2"/>
    <n v="1"/>
    <x v="1"/>
    <n v="5"/>
    <x v="0"/>
    <x v="1"/>
    <x v="2"/>
    <x v="136"/>
    <x v="2"/>
    <x v="6"/>
    <x v="4"/>
    <x v="0"/>
    <x v="1"/>
    <x v="2"/>
    <s v="No Preference"/>
    <n v="13"/>
  </r>
  <r>
    <x v="181"/>
    <x v="6"/>
    <x v="0"/>
    <x v="0"/>
    <x v="0"/>
    <x v="3"/>
    <x v="2"/>
    <s v="Saraburi"/>
    <x v="18"/>
    <n v="419.53"/>
    <x v="10"/>
    <x v="0"/>
    <x v="2"/>
    <x v="2"/>
    <x v="2"/>
    <n v="5"/>
    <n v="2"/>
    <x v="3"/>
    <x v="0"/>
    <n v="2"/>
    <x v="0"/>
    <n v="10"/>
    <x v="0"/>
    <x v="1"/>
    <x v="4"/>
    <x v="137"/>
    <x v="0"/>
    <x v="0"/>
    <x v="3"/>
    <x v="1"/>
    <x v="1"/>
    <x v="0"/>
    <s v="Express"/>
    <n v="6"/>
  </r>
  <r>
    <x v="182"/>
    <x v="3"/>
    <x v="0"/>
    <x v="1"/>
    <x v="1"/>
    <x v="1"/>
    <x v="0"/>
    <s v="Rakszawa"/>
    <x v="13"/>
    <n v="421.95"/>
    <x v="9"/>
    <x v="1"/>
    <x v="2"/>
    <x v="3"/>
    <x v="2"/>
    <n v="5"/>
    <n v="0"/>
    <x v="1"/>
    <x v="0"/>
    <n v="1"/>
    <x v="2"/>
    <n v="1"/>
    <x v="3"/>
    <x v="0"/>
    <x v="4"/>
    <x v="49"/>
    <x v="0"/>
    <x v="0"/>
    <x v="4"/>
    <x v="1"/>
    <x v="0"/>
    <x v="2"/>
    <s v="No Preference"/>
    <n v="7"/>
  </r>
  <r>
    <x v="183"/>
    <x v="5"/>
    <x v="0"/>
    <x v="0"/>
    <x v="0"/>
    <x v="3"/>
    <x v="2"/>
    <s v="Yläne"/>
    <x v="15"/>
    <n v="422.92"/>
    <x v="1"/>
    <x v="0"/>
    <x v="2"/>
    <x v="0"/>
    <x v="1"/>
    <n v="1"/>
    <n v="2"/>
    <x v="0"/>
    <x v="2"/>
    <n v="0"/>
    <x v="1"/>
    <n v="6"/>
    <x v="2"/>
    <x v="2"/>
    <x v="0"/>
    <x v="54"/>
    <x v="2"/>
    <x v="6"/>
    <x v="6"/>
    <x v="1"/>
    <x v="0"/>
    <x v="1"/>
    <s v="No Preference"/>
    <n v="6"/>
  </r>
  <r>
    <x v="184"/>
    <x v="6"/>
    <x v="0"/>
    <x v="1"/>
    <x v="1"/>
    <x v="1"/>
    <x v="2"/>
    <s v="Namur"/>
    <x v="17"/>
    <n v="423.92"/>
    <x v="9"/>
    <x v="1"/>
    <x v="2"/>
    <x v="3"/>
    <x v="1"/>
    <n v="1"/>
    <n v="2"/>
    <x v="2"/>
    <x v="2"/>
    <n v="0"/>
    <x v="0"/>
    <n v="9"/>
    <x v="1"/>
    <x v="1"/>
    <x v="3"/>
    <x v="138"/>
    <x v="1"/>
    <x v="1"/>
    <x v="2"/>
    <x v="1"/>
    <x v="0"/>
    <x v="2"/>
    <s v="Standard"/>
    <n v="8"/>
  </r>
  <r>
    <x v="185"/>
    <x v="6"/>
    <x v="0"/>
    <x v="1"/>
    <x v="1"/>
    <x v="1"/>
    <x v="1"/>
    <s v="Kelīshād va Sūdarjān"/>
    <x v="13"/>
    <n v="424.18"/>
    <x v="3"/>
    <x v="0"/>
    <x v="2"/>
    <x v="0"/>
    <x v="2"/>
    <n v="4"/>
    <n v="1"/>
    <x v="0"/>
    <x v="0"/>
    <n v="2"/>
    <x v="2"/>
    <n v="4"/>
    <x v="0"/>
    <x v="0"/>
    <x v="0"/>
    <x v="139"/>
    <x v="3"/>
    <x v="11"/>
    <x v="3"/>
    <x v="1"/>
    <x v="0"/>
    <x v="2"/>
    <s v="Express"/>
    <n v="5"/>
  </r>
  <r>
    <x v="186"/>
    <x v="3"/>
    <x v="0"/>
    <x v="0"/>
    <x v="0"/>
    <x v="0"/>
    <x v="2"/>
    <s v="Perzów"/>
    <x v="3"/>
    <n v="425.21"/>
    <x v="0"/>
    <x v="1"/>
    <x v="0"/>
    <x v="1"/>
    <x v="2"/>
    <n v="4"/>
    <n v="2"/>
    <x v="2"/>
    <x v="2"/>
    <n v="0"/>
    <x v="2"/>
    <n v="4"/>
    <x v="1"/>
    <x v="2"/>
    <x v="4"/>
    <x v="91"/>
    <x v="0"/>
    <x v="0"/>
    <x v="4"/>
    <x v="0"/>
    <x v="0"/>
    <x v="1"/>
    <s v="Express"/>
    <n v="12"/>
  </r>
  <r>
    <x v="187"/>
    <x v="6"/>
    <x v="0"/>
    <x v="1"/>
    <x v="1"/>
    <x v="3"/>
    <x v="1"/>
    <s v="Huzhen"/>
    <x v="14"/>
    <n v="426.22"/>
    <x v="5"/>
    <x v="0"/>
    <x v="2"/>
    <x v="4"/>
    <x v="2"/>
    <n v="5"/>
    <n v="0.3"/>
    <x v="2"/>
    <x v="0"/>
    <n v="1"/>
    <x v="1"/>
    <n v="7"/>
    <x v="2"/>
    <x v="0"/>
    <x v="0"/>
    <x v="140"/>
    <x v="0"/>
    <x v="0"/>
    <x v="5"/>
    <x v="0"/>
    <x v="0"/>
    <x v="3"/>
    <s v="No Preference"/>
    <n v="3"/>
  </r>
  <r>
    <x v="188"/>
    <x v="7"/>
    <x v="0"/>
    <x v="1"/>
    <x v="0"/>
    <x v="3"/>
    <x v="2"/>
    <s v="Antipolo"/>
    <x v="12"/>
    <n v="429.24"/>
    <x v="5"/>
    <x v="0"/>
    <x v="0"/>
    <x v="1"/>
    <x v="1"/>
    <n v="2"/>
    <n v="2"/>
    <x v="1"/>
    <x v="1"/>
    <n v="0"/>
    <x v="2"/>
    <n v="3"/>
    <x v="3"/>
    <x v="2"/>
    <x v="1"/>
    <x v="141"/>
    <x v="0"/>
    <x v="0"/>
    <x v="4"/>
    <x v="1"/>
    <x v="1"/>
    <x v="1"/>
    <s v="No Preference"/>
    <n v="13"/>
  </r>
  <r>
    <x v="189"/>
    <x v="7"/>
    <x v="0"/>
    <x v="1"/>
    <x v="1"/>
    <x v="0"/>
    <x v="1"/>
    <s v="San Pascual"/>
    <x v="4"/>
    <n v="432.84"/>
    <x v="4"/>
    <x v="1"/>
    <x v="2"/>
    <x v="0"/>
    <x v="2"/>
    <n v="5"/>
    <n v="2"/>
    <x v="3"/>
    <x v="1"/>
    <n v="0"/>
    <x v="2"/>
    <n v="1"/>
    <x v="1"/>
    <x v="1"/>
    <x v="0"/>
    <x v="142"/>
    <x v="3"/>
    <x v="11"/>
    <x v="4"/>
    <x v="1"/>
    <x v="1"/>
    <x v="0"/>
    <s v="No Preference"/>
    <n v="4"/>
  </r>
  <r>
    <x v="190"/>
    <x v="6"/>
    <x v="0"/>
    <x v="0"/>
    <x v="0"/>
    <x v="2"/>
    <x v="0"/>
    <s v="Nasielsk"/>
    <x v="3"/>
    <n v="433.82"/>
    <x v="1"/>
    <x v="0"/>
    <x v="0"/>
    <x v="3"/>
    <x v="1"/>
    <n v="2"/>
    <n v="1"/>
    <x v="1"/>
    <x v="2"/>
    <n v="0"/>
    <x v="0"/>
    <n v="8"/>
    <x v="0"/>
    <x v="2"/>
    <x v="4"/>
    <x v="143"/>
    <x v="1"/>
    <x v="2"/>
    <x v="2"/>
    <x v="1"/>
    <x v="0"/>
    <x v="1"/>
    <s v="Express"/>
    <n v="10"/>
  </r>
  <r>
    <x v="191"/>
    <x v="2"/>
    <x v="0"/>
    <x v="0"/>
    <x v="1"/>
    <x v="0"/>
    <x v="2"/>
    <s v="Xinglongchang"/>
    <x v="9"/>
    <n v="433.99"/>
    <x v="7"/>
    <x v="1"/>
    <x v="2"/>
    <x v="3"/>
    <x v="1"/>
    <n v="2"/>
    <n v="1"/>
    <x v="3"/>
    <x v="0"/>
    <n v="0"/>
    <x v="2"/>
    <n v="2"/>
    <x v="3"/>
    <x v="2"/>
    <x v="3"/>
    <x v="144"/>
    <x v="3"/>
    <x v="11"/>
    <x v="5"/>
    <x v="1"/>
    <x v="1"/>
    <x v="2"/>
    <s v="No Preference"/>
    <n v="8"/>
  </r>
  <r>
    <x v="192"/>
    <x v="1"/>
    <x v="0"/>
    <x v="0"/>
    <x v="0"/>
    <x v="3"/>
    <x v="2"/>
    <s v="Al Qarārah"/>
    <x v="8"/>
    <n v="434.86"/>
    <x v="7"/>
    <x v="1"/>
    <x v="1"/>
    <x v="1"/>
    <x v="2"/>
    <n v="5"/>
    <n v="2"/>
    <x v="3"/>
    <x v="2"/>
    <n v="0"/>
    <x v="2"/>
    <n v="4"/>
    <x v="0"/>
    <x v="0"/>
    <x v="4"/>
    <x v="28"/>
    <x v="1"/>
    <x v="2"/>
    <x v="4"/>
    <x v="0"/>
    <x v="1"/>
    <x v="3"/>
    <s v="Express"/>
    <n v="11"/>
  </r>
  <r>
    <x v="193"/>
    <x v="7"/>
    <x v="0"/>
    <x v="2"/>
    <x v="0"/>
    <x v="1"/>
    <x v="2"/>
    <s v="Pinagsibaan"/>
    <x v="2"/>
    <n v="435.37"/>
    <x v="7"/>
    <x v="1"/>
    <x v="0"/>
    <x v="0"/>
    <x v="1"/>
    <n v="2"/>
    <n v="1"/>
    <x v="2"/>
    <x v="1"/>
    <n v="0"/>
    <x v="2"/>
    <n v="3"/>
    <x v="1"/>
    <x v="1"/>
    <x v="3"/>
    <x v="118"/>
    <x v="1"/>
    <x v="1"/>
    <x v="5"/>
    <x v="0"/>
    <x v="0"/>
    <x v="1"/>
    <s v="Standard"/>
    <n v="4"/>
  </r>
  <r>
    <x v="194"/>
    <x v="6"/>
    <x v="0"/>
    <x v="0"/>
    <x v="1"/>
    <x v="0"/>
    <x v="1"/>
    <s v="Nanhuang"/>
    <x v="7"/>
    <n v="437.3"/>
    <x v="4"/>
    <x v="1"/>
    <x v="2"/>
    <x v="1"/>
    <x v="2"/>
    <n v="4"/>
    <n v="0"/>
    <x v="3"/>
    <x v="2"/>
    <n v="0"/>
    <x v="1"/>
    <n v="7"/>
    <x v="3"/>
    <x v="1"/>
    <x v="1"/>
    <x v="145"/>
    <x v="1"/>
    <x v="10"/>
    <x v="3"/>
    <x v="0"/>
    <x v="0"/>
    <x v="3"/>
    <s v="No Preference"/>
    <n v="1"/>
  </r>
  <r>
    <x v="195"/>
    <x v="3"/>
    <x v="0"/>
    <x v="1"/>
    <x v="1"/>
    <x v="1"/>
    <x v="1"/>
    <s v="Novoorsk"/>
    <x v="0"/>
    <n v="437.4"/>
    <x v="1"/>
    <x v="0"/>
    <x v="2"/>
    <x v="2"/>
    <x v="2"/>
    <n v="4"/>
    <n v="1"/>
    <x v="3"/>
    <x v="2"/>
    <n v="2"/>
    <x v="1"/>
    <n v="5"/>
    <x v="2"/>
    <x v="1"/>
    <x v="3"/>
    <x v="128"/>
    <x v="1"/>
    <x v="2"/>
    <x v="0"/>
    <x v="1"/>
    <x v="1"/>
    <x v="1"/>
    <s v="Express"/>
    <n v="1"/>
  </r>
  <r>
    <x v="196"/>
    <x v="1"/>
    <x v="0"/>
    <x v="1"/>
    <x v="0"/>
    <x v="3"/>
    <x v="2"/>
    <s v="Seleuš"/>
    <x v="18"/>
    <n v="441.73"/>
    <x v="0"/>
    <x v="1"/>
    <x v="0"/>
    <x v="2"/>
    <x v="2"/>
    <n v="4"/>
    <n v="2"/>
    <x v="2"/>
    <x v="2"/>
    <n v="0"/>
    <x v="0"/>
    <n v="8"/>
    <x v="0"/>
    <x v="0"/>
    <x v="3"/>
    <x v="146"/>
    <x v="3"/>
    <x v="11"/>
    <x v="0"/>
    <x v="0"/>
    <x v="1"/>
    <x v="1"/>
    <s v="Standard"/>
    <n v="8"/>
  </r>
  <r>
    <x v="197"/>
    <x v="2"/>
    <x v="0"/>
    <x v="0"/>
    <x v="1"/>
    <x v="2"/>
    <x v="0"/>
    <s v="Clichy"/>
    <x v="9"/>
    <n v="445.34"/>
    <x v="6"/>
    <x v="1"/>
    <x v="1"/>
    <x v="4"/>
    <x v="1"/>
    <n v="2"/>
    <n v="1"/>
    <x v="2"/>
    <x v="2"/>
    <n v="1"/>
    <x v="2"/>
    <n v="3"/>
    <x v="1"/>
    <x v="1"/>
    <x v="1"/>
    <x v="44"/>
    <x v="0"/>
    <x v="0"/>
    <x v="4"/>
    <x v="0"/>
    <x v="0"/>
    <x v="3"/>
    <s v="No Preference"/>
    <n v="3"/>
  </r>
  <r>
    <x v="198"/>
    <x v="3"/>
    <x v="0"/>
    <x v="1"/>
    <x v="0"/>
    <x v="2"/>
    <x v="0"/>
    <s v="Garibaldi"/>
    <x v="8"/>
    <n v="446.86"/>
    <x v="6"/>
    <x v="1"/>
    <x v="1"/>
    <x v="1"/>
    <x v="1"/>
    <n v="1"/>
    <n v="2"/>
    <x v="0"/>
    <x v="1"/>
    <n v="0"/>
    <x v="2"/>
    <n v="2"/>
    <x v="0"/>
    <x v="2"/>
    <x v="2"/>
    <x v="41"/>
    <x v="2"/>
    <x v="3"/>
    <x v="6"/>
    <x v="1"/>
    <x v="1"/>
    <x v="0"/>
    <s v="No Preference"/>
    <n v="5"/>
  </r>
  <r>
    <x v="199"/>
    <x v="4"/>
    <x v="0"/>
    <x v="1"/>
    <x v="1"/>
    <x v="0"/>
    <x v="0"/>
    <s v="Gudja"/>
    <x v="11"/>
    <n v="449.72"/>
    <x v="10"/>
    <x v="0"/>
    <x v="2"/>
    <x v="3"/>
    <x v="0"/>
    <n v="3"/>
    <n v="0"/>
    <x v="3"/>
    <x v="2"/>
    <n v="1"/>
    <x v="0"/>
    <n v="9"/>
    <x v="3"/>
    <x v="0"/>
    <x v="4"/>
    <x v="147"/>
    <x v="3"/>
    <x v="11"/>
    <x v="0"/>
    <x v="0"/>
    <x v="0"/>
    <x v="0"/>
    <s v="Express"/>
    <n v="3"/>
  </r>
  <r>
    <x v="200"/>
    <x v="1"/>
    <x v="0"/>
    <x v="1"/>
    <x v="0"/>
    <x v="2"/>
    <x v="2"/>
    <s v="Pingtang"/>
    <x v="5"/>
    <n v="455.44"/>
    <x v="4"/>
    <x v="1"/>
    <x v="2"/>
    <x v="0"/>
    <x v="1"/>
    <n v="2"/>
    <n v="1"/>
    <x v="2"/>
    <x v="1"/>
    <n v="2"/>
    <x v="2"/>
    <n v="3"/>
    <x v="2"/>
    <x v="0"/>
    <x v="4"/>
    <x v="148"/>
    <x v="0"/>
    <x v="7"/>
    <x v="1"/>
    <x v="1"/>
    <x v="1"/>
    <x v="2"/>
    <s v="No Preference"/>
    <n v="3"/>
  </r>
  <r>
    <x v="201"/>
    <x v="6"/>
    <x v="0"/>
    <x v="0"/>
    <x v="0"/>
    <x v="0"/>
    <x v="0"/>
    <s v="Monchegorsk"/>
    <x v="9"/>
    <n v="455.81"/>
    <x v="10"/>
    <x v="0"/>
    <x v="0"/>
    <x v="1"/>
    <x v="0"/>
    <n v="3"/>
    <n v="1"/>
    <x v="2"/>
    <x v="2"/>
    <n v="1"/>
    <x v="1"/>
    <n v="6"/>
    <x v="0"/>
    <x v="0"/>
    <x v="0"/>
    <x v="74"/>
    <x v="0"/>
    <x v="5"/>
    <x v="0"/>
    <x v="1"/>
    <x v="1"/>
    <x v="0"/>
    <s v="Express"/>
    <n v="6"/>
  </r>
  <r>
    <x v="202"/>
    <x v="4"/>
    <x v="0"/>
    <x v="0"/>
    <x v="0"/>
    <x v="0"/>
    <x v="1"/>
    <s v="Labo"/>
    <x v="17"/>
    <n v="459.39"/>
    <x v="1"/>
    <x v="0"/>
    <x v="2"/>
    <x v="1"/>
    <x v="1"/>
    <n v="2"/>
    <n v="0.3"/>
    <x v="2"/>
    <x v="1"/>
    <n v="2"/>
    <x v="2"/>
    <n v="4"/>
    <x v="1"/>
    <x v="1"/>
    <x v="3"/>
    <x v="103"/>
    <x v="2"/>
    <x v="8"/>
    <x v="0"/>
    <x v="1"/>
    <x v="1"/>
    <x v="1"/>
    <s v="No Preference"/>
    <n v="14"/>
  </r>
  <r>
    <x v="203"/>
    <x v="3"/>
    <x v="0"/>
    <x v="1"/>
    <x v="0"/>
    <x v="2"/>
    <x v="2"/>
    <s v="Hinlayagan Ilaud"/>
    <x v="0"/>
    <n v="461.09"/>
    <x v="9"/>
    <x v="1"/>
    <x v="0"/>
    <x v="0"/>
    <x v="1"/>
    <n v="1"/>
    <n v="0"/>
    <x v="1"/>
    <x v="2"/>
    <n v="0"/>
    <x v="2"/>
    <n v="4"/>
    <x v="0"/>
    <x v="0"/>
    <x v="0"/>
    <x v="149"/>
    <x v="1"/>
    <x v="1"/>
    <x v="2"/>
    <x v="0"/>
    <x v="1"/>
    <x v="2"/>
    <s v="No Preference"/>
    <n v="8"/>
  </r>
  <r>
    <x v="204"/>
    <x v="2"/>
    <x v="0"/>
    <x v="1"/>
    <x v="1"/>
    <x v="1"/>
    <x v="2"/>
    <s v="Pangkalanbunut"/>
    <x v="19"/>
    <n v="463.07"/>
    <x v="4"/>
    <x v="1"/>
    <x v="2"/>
    <x v="0"/>
    <x v="1"/>
    <n v="2"/>
    <n v="0"/>
    <x v="0"/>
    <x v="1"/>
    <n v="1"/>
    <x v="2"/>
    <n v="2"/>
    <x v="0"/>
    <x v="0"/>
    <x v="2"/>
    <x v="38"/>
    <x v="1"/>
    <x v="10"/>
    <x v="1"/>
    <x v="0"/>
    <x v="1"/>
    <x v="0"/>
    <s v="No Preference"/>
    <n v="11"/>
  </r>
  <r>
    <x v="205"/>
    <x v="6"/>
    <x v="0"/>
    <x v="1"/>
    <x v="1"/>
    <x v="2"/>
    <x v="0"/>
    <s v="Nawu"/>
    <x v="3"/>
    <n v="465.07"/>
    <x v="9"/>
    <x v="1"/>
    <x v="0"/>
    <x v="1"/>
    <x v="2"/>
    <n v="4"/>
    <n v="0"/>
    <x v="1"/>
    <x v="0"/>
    <n v="1"/>
    <x v="2"/>
    <n v="2"/>
    <x v="1"/>
    <x v="2"/>
    <x v="1"/>
    <x v="33"/>
    <x v="0"/>
    <x v="0"/>
    <x v="2"/>
    <x v="1"/>
    <x v="1"/>
    <x v="0"/>
    <s v="No Preference"/>
    <n v="8"/>
  </r>
  <r>
    <x v="206"/>
    <x v="3"/>
    <x v="0"/>
    <x v="1"/>
    <x v="0"/>
    <x v="1"/>
    <x v="0"/>
    <s v="Julayjilah"/>
    <x v="6"/>
    <n v="465.48"/>
    <x v="10"/>
    <x v="0"/>
    <x v="2"/>
    <x v="3"/>
    <x v="0"/>
    <n v="3"/>
    <n v="2"/>
    <x v="1"/>
    <x v="1"/>
    <n v="1"/>
    <x v="0"/>
    <n v="8"/>
    <x v="0"/>
    <x v="1"/>
    <x v="1"/>
    <x v="17"/>
    <x v="1"/>
    <x v="2"/>
    <x v="5"/>
    <x v="1"/>
    <x v="1"/>
    <x v="0"/>
    <s v="No Preference"/>
    <n v="1"/>
  </r>
  <r>
    <x v="207"/>
    <x v="4"/>
    <x v="0"/>
    <x v="0"/>
    <x v="1"/>
    <x v="2"/>
    <x v="2"/>
    <s v="Harhorin"/>
    <x v="14"/>
    <n v="466.74"/>
    <x v="4"/>
    <x v="1"/>
    <x v="1"/>
    <x v="3"/>
    <x v="2"/>
    <n v="4"/>
    <n v="0.2"/>
    <x v="1"/>
    <x v="0"/>
    <n v="2"/>
    <x v="2"/>
    <n v="3"/>
    <x v="1"/>
    <x v="1"/>
    <x v="0"/>
    <x v="150"/>
    <x v="3"/>
    <x v="9"/>
    <x v="3"/>
    <x v="0"/>
    <x v="0"/>
    <x v="2"/>
    <s v="Express"/>
    <n v="5"/>
  </r>
  <r>
    <x v="208"/>
    <x v="6"/>
    <x v="0"/>
    <x v="1"/>
    <x v="0"/>
    <x v="0"/>
    <x v="2"/>
    <s v="Pasinan Barat"/>
    <x v="7"/>
    <n v="470.38"/>
    <x v="9"/>
    <x v="1"/>
    <x v="2"/>
    <x v="1"/>
    <x v="2"/>
    <n v="4"/>
    <n v="0"/>
    <x v="1"/>
    <x v="0"/>
    <n v="2"/>
    <x v="2"/>
    <n v="3"/>
    <x v="1"/>
    <x v="0"/>
    <x v="4"/>
    <x v="151"/>
    <x v="2"/>
    <x v="3"/>
    <x v="4"/>
    <x v="0"/>
    <x v="0"/>
    <x v="3"/>
    <s v="Standard"/>
    <n v="9"/>
  </r>
  <r>
    <x v="209"/>
    <x v="6"/>
    <x v="0"/>
    <x v="1"/>
    <x v="0"/>
    <x v="0"/>
    <x v="2"/>
    <s v="Sishilichengzi"/>
    <x v="5"/>
    <n v="472.52"/>
    <x v="9"/>
    <x v="1"/>
    <x v="0"/>
    <x v="1"/>
    <x v="2"/>
    <n v="4"/>
    <n v="0"/>
    <x v="2"/>
    <x v="2"/>
    <n v="2"/>
    <x v="0"/>
    <n v="8"/>
    <x v="0"/>
    <x v="1"/>
    <x v="1"/>
    <x v="152"/>
    <x v="3"/>
    <x v="4"/>
    <x v="3"/>
    <x v="1"/>
    <x v="0"/>
    <x v="1"/>
    <s v="No Preference"/>
    <n v="14"/>
  </r>
  <r>
    <x v="210"/>
    <x v="6"/>
    <x v="0"/>
    <x v="2"/>
    <x v="1"/>
    <x v="0"/>
    <x v="2"/>
    <s v="Moutnice"/>
    <x v="20"/>
    <n v="472.61"/>
    <x v="6"/>
    <x v="1"/>
    <x v="1"/>
    <x v="4"/>
    <x v="2"/>
    <n v="5"/>
    <n v="2"/>
    <x v="0"/>
    <x v="1"/>
    <n v="1"/>
    <x v="2"/>
    <n v="4"/>
    <x v="3"/>
    <x v="0"/>
    <x v="2"/>
    <x v="153"/>
    <x v="2"/>
    <x v="8"/>
    <x v="0"/>
    <x v="0"/>
    <x v="0"/>
    <x v="3"/>
    <s v="Express"/>
    <n v="5"/>
  </r>
  <r>
    <x v="211"/>
    <x v="5"/>
    <x v="0"/>
    <x v="1"/>
    <x v="1"/>
    <x v="1"/>
    <x v="2"/>
    <s v="Huangjin"/>
    <x v="5"/>
    <n v="473.28"/>
    <x v="3"/>
    <x v="0"/>
    <x v="0"/>
    <x v="4"/>
    <x v="2"/>
    <n v="5"/>
    <n v="1"/>
    <x v="1"/>
    <x v="1"/>
    <n v="1"/>
    <x v="0"/>
    <n v="9"/>
    <x v="3"/>
    <x v="0"/>
    <x v="1"/>
    <x v="154"/>
    <x v="3"/>
    <x v="9"/>
    <x v="4"/>
    <x v="1"/>
    <x v="1"/>
    <x v="2"/>
    <s v="Standard"/>
    <n v="13"/>
  </r>
  <r>
    <x v="212"/>
    <x v="1"/>
    <x v="0"/>
    <x v="1"/>
    <x v="1"/>
    <x v="0"/>
    <x v="0"/>
    <s v="Yuyapichis"/>
    <x v="18"/>
    <n v="473.5"/>
    <x v="7"/>
    <x v="1"/>
    <x v="2"/>
    <x v="1"/>
    <x v="2"/>
    <n v="4"/>
    <n v="1"/>
    <x v="2"/>
    <x v="2"/>
    <n v="2"/>
    <x v="2"/>
    <n v="3"/>
    <x v="1"/>
    <x v="1"/>
    <x v="4"/>
    <x v="145"/>
    <x v="1"/>
    <x v="10"/>
    <x v="3"/>
    <x v="1"/>
    <x v="0"/>
    <x v="3"/>
    <s v="Express"/>
    <n v="10"/>
  </r>
  <r>
    <x v="213"/>
    <x v="1"/>
    <x v="0"/>
    <x v="0"/>
    <x v="1"/>
    <x v="2"/>
    <x v="1"/>
    <s v="Dayr Sharaf"/>
    <x v="18"/>
    <n v="475.64"/>
    <x v="10"/>
    <x v="0"/>
    <x v="0"/>
    <x v="3"/>
    <x v="2"/>
    <n v="4"/>
    <n v="1"/>
    <x v="2"/>
    <x v="1"/>
    <n v="1"/>
    <x v="2"/>
    <n v="2"/>
    <x v="0"/>
    <x v="0"/>
    <x v="2"/>
    <x v="127"/>
    <x v="3"/>
    <x v="11"/>
    <x v="6"/>
    <x v="0"/>
    <x v="0"/>
    <x v="1"/>
    <s v="Standard"/>
    <n v="9"/>
  </r>
  <r>
    <x v="214"/>
    <x v="0"/>
    <x v="0"/>
    <x v="0"/>
    <x v="1"/>
    <x v="0"/>
    <x v="1"/>
    <s v="Taishihe"/>
    <x v="10"/>
    <n v="475.65"/>
    <x v="8"/>
    <x v="0"/>
    <x v="1"/>
    <x v="0"/>
    <x v="2"/>
    <n v="5"/>
    <n v="0"/>
    <x v="3"/>
    <x v="2"/>
    <n v="2"/>
    <x v="1"/>
    <n v="6"/>
    <x v="2"/>
    <x v="0"/>
    <x v="2"/>
    <x v="155"/>
    <x v="1"/>
    <x v="2"/>
    <x v="0"/>
    <x v="0"/>
    <x v="0"/>
    <x v="0"/>
    <s v="Express"/>
    <n v="14"/>
  </r>
  <r>
    <x v="215"/>
    <x v="5"/>
    <x v="0"/>
    <x v="1"/>
    <x v="0"/>
    <x v="1"/>
    <x v="2"/>
    <s v="Kembé"/>
    <x v="10"/>
    <n v="479.62"/>
    <x v="9"/>
    <x v="1"/>
    <x v="1"/>
    <x v="3"/>
    <x v="1"/>
    <n v="1"/>
    <n v="2"/>
    <x v="3"/>
    <x v="0"/>
    <n v="1"/>
    <x v="2"/>
    <n v="3"/>
    <x v="2"/>
    <x v="1"/>
    <x v="4"/>
    <x v="156"/>
    <x v="0"/>
    <x v="5"/>
    <x v="5"/>
    <x v="1"/>
    <x v="1"/>
    <x v="1"/>
    <s v="Express"/>
    <n v="10"/>
  </r>
  <r>
    <x v="216"/>
    <x v="2"/>
    <x v="0"/>
    <x v="1"/>
    <x v="1"/>
    <x v="2"/>
    <x v="2"/>
    <s v="Liren"/>
    <x v="6"/>
    <n v="486.4"/>
    <x v="0"/>
    <x v="1"/>
    <x v="0"/>
    <x v="1"/>
    <x v="2"/>
    <n v="5"/>
    <n v="1"/>
    <x v="3"/>
    <x v="2"/>
    <n v="0"/>
    <x v="0"/>
    <n v="9"/>
    <x v="2"/>
    <x v="2"/>
    <x v="0"/>
    <x v="140"/>
    <x v="0"/>
    <x v="0"/>
    <x v="5"/>
    <x v="0"/>
    <x v="1"/>
    <x v="2"/>
    <s v="Express"/>
    <n v="13"/>
  </r>
  <r>
    <x v="217"/>
    <x v="2"/>
    <x v="0"/>
    <x v="1"/>
    <x v="1"/>
    <x v="2"/>
    <x v="1"/>
    <s v="Taiyuan"/>
    <x v="3"/>
    <n v="487.25"/>
    <x v="8"/>
    <x v="0"/>
    <x v="0"/>
    <x v="3"/>
    <x v="1"/>
    <n v="2"/>
    <n v="1"/>
    <x v="3"/>
    <x v="1"/>
    <n v="0"/>
    <x v="2"/>
    <n v="4"/>
    <x v="1"/>
    <x v="2"/>
    <x v="1"/>
    <x v="157"/>
    <x v="2"/>
    <x v="6"/>
    <x v="1"/>
    <x v="1"/>
    <x v="1"/>
    <x v="0"/>
    <s v="Standard"/>
    <n v="1"/>
  </r>
  <r>
    <x v="218"/>
    <x v="3"/>
    <x v="0"/>
    <x v="5"/>
    <x v="0"/>
    <x v="3"/>
    <x v="2"/>
    <s v="Rumbek"/>
    <x v="19"/>
    <n v="490.11"/>
    <x v="9"/>
    <x v="1"/>
    <x v="0"/>
    <x v="3"/>
    <x v="2"/>
    <n v="4"/>
    <n v="2"/>
    <x v="2"/>
    <x v="0"/>
    <n v="1"/>
    <x v="2"/>
    <n v="1"/>
    <x v="2"/>
    <x v="0"/>
    <x v="4"/>
    <x v="158"/>
    <x v="3"/>
    <x v="9"/>
    <x v="1"/>
    <x v="1"/>
    <x v="1"/>
    <x v="1"/>
    <s v="Standard"/>
    <n v="14"/>
  </r>
  <r>
    <x v="219"/>
    <x v="7"/>
    <x v="0"/>
    <x v="1"/>
    <x v="0"/>
    <x v="1"/>
    <x v="1"/>
    <s v="Faqqū‘ah"/>
    <x v="8"/>
    <n v="490.41"/>
    <x v="8"/>
    <x v="0"/>
    <x v="2"/>
    <x v="3"/>
    <x v="2"/>
    <n v="4"/>
    <n v="0"/>
    <x v="2"/>
    <x v="2"/>
    <n v="0"/>
    <x v="2"/>
    <n v="2"/>
    <x v="1"/>
    <x v="1"/>
    <x v="4"/>
    <x v="60"/>
    <x v="3"/>
    <x v="9"/>
    <x v="0"/>
    <x v="1"/>
    <x v="0"/>
    <x v="1"/>
    <s v="Express"/>
    <n v="3"/>
  </r>
  <r>
    <x v="220"/>
    <x v="6"/>
    <x v="0"/>
    <x v="1"/>
    <x v="0"/>
    <x v="3"/>
    <x v="2"/>
    <s v="Nanqiao"/>
    <x v="18"/>
    <n v="497.75"/>
    <x v="7"/>
    <x v="1"/>
    <x v="1"/>
    <x v="0"/>
    <x v="1"/>
    <n v="1"/>
    <n v="2"/>
    <x v="0"/>
    <x v="1"/>
    <n v="2"/>
    <x v="2"/>
    <n v="1"/>
    <x v="0"/>
    <x v="0"/>
    <x v="1"/>
    <x v="80"/>
    <x v="1"/>
    <x v="10"/>
    <x v="3"/>
    <x v="0"/>
    <x v="1"/>
    <x v="0"/>
    <s v="Express"/>
    <n v="13"/>
  </r>
  <r>
    <x v="221"/>
    <x v="5"/>
    <x v="0"/>
    <x v="1"/>
    <x v="1"/>
    <x v="1"/>
    <x v="0"/>
    <s v="Tanahmerah"/>
    <x v="5"/>
    <n v="497.8"/>
    <x v="5"/>
    <x v="0"/>
    <x v="0"/>
    <x v="3"/>
    <x v="2"/>
    <n v="5"/>
    <n v="0.2"/>
    <x v="3"/>
    <x v="2"/>
    <n v="1"/>
    <x v="2"/>
    <n v="2"/>
    <x v="0"/>
    <x v="0"/>
    <x v="4"/>
    <x v="159"/>
    <x v="3"/>
    <x v="4"/>
    <x v="0"/>
    <x v="0"/>
    <x v="1"/>
    <x v="0"/>
    <s v="No Preference"/>
    <n v="9"/>
  </r>
  <r>
    <x v="222"/>
    <x v="8"/>
    <x v="1"/>
    <x v="1"/>
    <x v="0"/>
    <x v="3"/>
    <x v="0"/>
    <s v="Qianjin"/>
    <x v="18"/>
    <n v="52.34"/>
    <x v="1"/>
    <x v="0"/>
    <x v="1"/>
    <x v="3"/>
    <x v="2"/>
    <n v="4"/>
    <n v="1"/>
    <x v="2"/>
    <x v="2"/>
    <n v="1"/>
    <x v="1"/>
    <n v="5"/>
    <x v="0"/>
    <x v="1"/>
    <x v="2"/>
    <x v="110"/>
    <x v="0"/>
    <x v="7"/>
    <x v="1"/>
    <x v="0"/>
    <x v="0"/>
    <x v="1"/>
    <s v="Express"/>
    <n v="13"/>
  </r>
  <r>
    <x v="223"/>
    <x v="9"/>
    <x v="1"/>
    <x v="1"/>
    <x v="1"/>
    <x v="2"/>
    <x v="2"/>
    <s v="São Mateus do Maranhão"/>
    <x v="4"/>
    <n v="53.45"/>
    <x v="1"/>
    <x v="0"/>
    <x v="2"/>
    <x v="1"/>
    <x v="0"/>
    <n v="3"/>
    <n v="1"/>
    <x v="3"/>
    <x v="2"/>
    <n v="1"/>
    <x v="0"/>
    <n v="9"/>
    <x v="1"/>
    <x v="1"/>
    <x v="0"/>
    <x v="160"/>
    <x v="1"/>
    <x v="10"/>
    <x v="0"/>
    <x v="1"/>
    <x v="1"/>
    <x v="2"/>
    <s v="Standard"/>
    <n v="11"/>
  </r>
  <r>
    <x v="224"/>
    <x v="10"/>
    <x v="1"/>
    <x v="0"/>
    <x v="0"/>
    <x v="1"/>
    <x v="1"/>
    <s v="Shalkar"/>
    <x v="5"/>
    <n v="54.71"/>
    <x v="8"/>
    <x v="0"/>
    <x v="2"/>
    <x v="4"/>
    <x v="1"/>
    <n v="2"/>
    <n v="1"/>
    <x v="2"/>
    <x v="1"/>
    <n v="1"/>
    <x v="2"/>
    <n v="3"/>
    <x v="3"/>
    <x v="2"/>
    <x v="2"/>
    <x v="161"/>
    <x v="2"/>
    <x v="6"/>
    <x v="2"/>
    <x v="0"/>
    <x v="0"/>
    <x v="2"/>
    <s v="Express"/>
    <n v="3"/>
  </r>
  <r>
    <x v="225"/>
    <x v="11"/>
    <x v="1"/>
    <x v="0"/>
    <x v="0"/>
    <x v="2"/>
    <x v="2"/>
    <s v="Kazimierz Dolny"/>
    <x v="18"/>
    <n v="55.73"/>
    <x v="0"/>
    <x v="0"/>
    <x v="1"/>
    <x v="0"/>
    <x v="0"/>
    <n v="3"/>
    <n v="0.3"/>
    <x v="1"/>
    <x v="0"/>
    <n v="1"/>
    <x v="2"/>
    <n v="3"/>
    <x v="1"/>
    <x v="1"/>
    <x v="2"/>
    <x v="124"/>
    <x v="0"/>
    <x v="7"/>
    <x v="0"/>
    <x v="1"/>
    <x v="0"/>
    <x v="2"/>
    <s v="Express"/>
    <n v="3"/>
  </r>
  <r>
    <x v="226"/>
    <x v="12"/>
    <x v="1"/>
    <x v="1"/>
    <x v="0"/>
    <x v="3"/>
    <x v="0"/>
    <s v="Péfki"/>
    <x v="13"/>
    <n v="56.02"/>
    <x v="10"/>
    <x v="0"/>
    <x v="0"/>
    <x v="4"/>
    <x v="0"/>
    <n v="3"/>
    <n v="1"/>
    <x v="0"/>
    <x v="1"/>
    <n v="1"/>
    <x v="1"/>
    <n v="6"/>
    <x v="1"/>
    <x v="2"/>
    <x v="2"/>
    <x v="162"/>
    <x v="2"/>
    <x v="8"/>
    <x v="5"/>
    <x v="1"/>
    <x v="0"/>
    <x v="2"/>
    <s v="Standard"/>
    <n v="12"/>
  </r>
  <r>
    <x v="227"/>
    <x v="8"/>
    <x v="1"/>
    <x v="1"/>
    <x v="0"/>
    <x v="2"/>
    <x v="0"/>
    <s v="Újezd"/>
    <x v="10"/>
    <n v="58.27"/>
    <x v="5"/>
    <x v="0"/>
    <x v="1"/>
    <x v="4"/>
    <x v="2"/>
    <n v="4"/>
    <n v="1"/>
    <x v="1"/>
    <x v="2"/>
    <n v="1"/>
    <x v="2"/>
    <n v="4"/>
    <x v="0"/>
    <x v="0"/>
    <x v="1"/>
    <x v="10"/>
    <x v="2"/>
    <x v="6"/>
    <x v="1"/>
    <x v="1"/>
    <x v="0"/>
    <x v="2"/>
    <s v="No Preference"/>
    <n v="13"/>
  </r>
  <r>
    <x v="228"/>
    <x v="8"/>
    <x v="1"/>
    <x v="0"/>
    <x v="0"/>
    <x v="0"/>
    <x v="0"/>
    <s v="Manwakh"/>
    <x v="8"/>
    <n v="58.49"/>
    <x v="1"/>
    <x v="0"/>
    <x v="0"/>
    <x v="1"/>
    <x v="1"/>
    <n v="2"/>
    <n v="0"/>
    <x v="1"/>
    <x v="1"/>
    <n v="0"/>
    <x v="0"/>
    <n v="8"/>
    <x v="1"/>
    <x v="1"/>
    <x v="4"/>
    <x v="163"/>
    <x v="1"/>
    <x v="10"/>
    <x v="4"/>
    <x v="0"/>
    <x v="0"/>
    <x v="1"/>
    <s v="Express"/>
    <n v="7"/>
  </r>
  <r>
    <x v="229"/>
    <x v="8"/>
    <x v="1"/>
    <x v="1"/>
    <x v="0"/>
    <x v="1"/>
    <x v="2"/>
    <s v="Alameda"/>
    <x v="8"/>
    <n v="58.51"/>
    <x v="5"/>
    <x v="0"/>
    <x v="0"/>
    <x v="0"/>
    <x v="2"/>
    <n v="4"/>
    <n v="0.5"/>
    <x v="0"/>
    <x v="0"/>
    <n v="0"/>
    <x v="2"/>
    <n v="4"/>
    <x v="0"/>
    <x v="2"/>
    <x v="2"/>
    <x v="164"/>
    <x v="3"/>
    <x v="9"/>
    <x v="2"/>
    <x v="0"/>
    <x v="0"/>
    <x v="1"/>
    <s v="No Preference"/>
    <n v="14"/>
  </r>
  <r>
    <x v="230"/>
    <x v="13"/>
    <x v="1"/>
    <x v="0"/>
    <x v="0"/>
    <x v="0"/>
    <x v="0"/>
    <s v="Czarna Dąbrówka"/>
    <x v="13"/>
    <n v="61.21"/>
    <x v="0"/>
    <x v="0"/>
    <x v="2"/>
    <x v="4"/>
    <x v="2"/>
    <n v="5"/>
    <n v="0"/>
    <x v="0"/>
    <x v="0"/>
    <n v="0"/>
    <x v="1"/>
    <n v="5"/>
    <x v="2"/>
    <x v="0"/>
    <x v="3"/>
    <x v="89"/>
    <x v="2"/>
    <x v="3"/>
    <x v="0"/>
    <x v="0"/>
    <x v="1"/>
    <x v="1"/>
    <s v="Standard"/>
    <n v="13"/>
  </r>
  <r>
    <x v="231"/>
    <x v="14"/>
    <x v="1"/>
    <x v="0"/>
    <x v="1"/>
    <x v="3"/>
    <x v="0"/>
    <s v="Gaosheng"/>
    <x v="5"/>
    <n v="61.22"/>
    <x v="4"/>
    <x v="0"/>
    <x v="1"/>
    <x v="4"/>
    <x v="1"/>
    <n v="2"/>
    <n v="2"/>
    <x v="2"/>
    <x v="1"/>
    <n v="1"/>
    <x v="1"/>
    <n v="7"/>
    <x v="1"/>
    <x v="2"/>
    <x v="0"/>
    <x v="165"/>
    <x v="1"/>
    <x v="1"/>
    <x v="4"/>
    <x v="0"/>
    <x v="0"/>
    <x v="2"/>
    <s v="No Preference"/>
    <n v="5"/>
  </r>
  <r>
    <x v="232"/>
    <x v="9"/>
    <x v="1"/>
    <x v="1"/>
    <x v="0"/>
    <x v="1"/>
    <x v="1"/>
    <s v="Kyoto"/>
    <x v="5"/>
    <n v="63.6"/>
    <x v="0"/>
    <x v="0"/>
    <x v="2"/>
    <x v="4"/>
    <x v="1"/>
    <n v="1"/>
    <n v="0"/>
    <x v="3"/>
    <x v="0"/>
    <n v="2"/>
    <x v="2"/>
    <n v="1"/>
    <x v="3"/>
    <x v="2"/>
    <x v="2"/>
    <x v="144"/>
    <x v="3"/>
    <x v="11"/>
    <x v="5"/>
    <x v="1"/>
    <x v="0"/>
    <x v="0"/>
    <s v="No Preference"/>
    <n v="6"/>
  </r>
  <r>
    <x v="233"/>
    <x v="14"/>
    <x v="1"/>
    <x v="0"/>
    <x v="0"/>
    <x v="0"/>
    <x v="2"/>
    <s v="Bairan"/>
    <x v="3"/>
    <n v="65.45"/>
    <x v="1"/>
    <x v="0"/>
    <x v="1"/>
    <x v="1"/>
    <x v="2"/>
    <n v="4"/>
    <n v="1"/>
    <x v="3"/>
    <x v="1"/>
    <n v="0"/>
    <x v="2"/>
    <n v="2"/>
    <x v="0"/>
    <x v="0"/>
    <x v="3"/>
    <x v="166"/>
    <x v="2"/>
    <x v="8"/>
    <x v="2"/>
    <x v="0"/>
    <x v="0"/>
    <x v="3"/>
    <s v="No Preference"/>
    <n v="3"/>
  </r>
  <r>
    <x v="234"/>
    <x v="13"/>
    <x v="1"/>
    <x v="1"/>
    <x v="0"/>
    <x v="3"/>
    <x v="1"/>
    <s v="Majennang"/>
    <x v="2"/>
    <n v="71.72"/>
    <x v="0"/>
    <x v="0"/>
    <x v="0"/>
    <x v="3"/>
    <x v="2"/>
    <n v="5"/>
    <n v="1"/>
    <x v="3"/>
    <x v="2"/>
    <n v="2"/>
    <x v="1"/>
    <n v="5"/>
    <x v="2"/>
    <x v="1"/>
    <x v="2"/>
    <x v="167"/>
    <x v="3"/>
    <x v="4"/>
    <x v="6"/>
    <x v="0"/>
    <x v="0"/>
    <x v="0"/>
    <s v="Express"/>
    <n v="13"/>
  </r>
  <r>
    <x v="235"/>
    <x v="15"/>
    <x v="1"/>
    <x v="0"/>
    <x v="0"/>
    <x v="0"/>
    <x v="2"/>
    <s v="Fteliá"/>
    <x v="0"/>
    <n v="71.95"/>
    <x v="5"/>
    <x v="0"/>
    <x v="2"/>
    <x v="3"/>
    <x v="2"/>
    <n v="5"/>
    <n v="2"/>
    <x v="0"/>
    <x v="1"/>
    <n v="2"/>
    <x v="0"/>
    <n v="10"/>
    <x v="3"/>
    <x v="2"/>
    <x v="0"/>
    <x v="168"/>
    <x v="2"/>
    <x v="8"/>
    <x v="0"/>
    <x v="1"/>
    <x v="0"/>
    <x v="1"/>
    <s v="No Preference"/>
    <n v="13"/>
  </r>
  <r>
    <x v="236"/>
    <x v="16"/>
    <x v="1"/>
    <x v="1"/>
    <x v="0"/>
    <x v="1"/>
    <x v="1"/>
    <s v="Cravo Norte"/>
    <x v="16"/>
    <n v="73.23"/>
    <x v="9"/>
    <x v="0"/>
    <x v="0"/>
    <x v="1"/>
    <x v="1"/>
    <n v="2"/>
    <n v="2"/>
    <x v="2"/>
    <x v="1"/>
    <n v="1"/>
    <x v="2"/>
    <n v="2"/>
    <x v="2"/>
    <x v="0"/>
    <x v="3"/>
    <x v="79"/>
    <x v="1"/>
    <x v="10"/>
    <x v="3"/>
    <x v="0"/>
    <x v="0"/>
    <x v="2"/>
    <s v="No Preference"/>
    <n v="6"/>
  </r>
  <r>
    <x v="237"/>
    <x v="15"/>
    <x v="1"/>
    <x v="0"/>
    <x v="0"/>
    <x v="1"/>
    <x v="1"/>
    <s v="Hallsberg"/>
    <x v="9"/>
    <n v="73.319999999999993"/>
    <x v="2"/>
    <x v="0"/>
    <x v="1"/>
    <x v="4"/>
    <x v="1"/>
    <n v="1"/>
    <n v="1"/>
    <x v="0"/>
    <x v="0"/>
    <n v="1"/>
    <x v="2"/>
    <n v="1"/>
    <x v="0"/>
    <x v="0"/>
    <x v="0"/>
    <x v="98"/>
    <x v="3"/>
    <x v="4"/>
    <x v="2"/>
    <x v="0"/>
    <x v="1"/>
    <x v="0"/>
    <s v="Standard"/>
    <n v="14"/>
  </r>
  <r>
    <x v="238"/>
    <x v="12"/>
    <x v="1"/>
    <x v="5"/>
    <x v="1"/>
    <x v="3"/>
    <x v="0"/>
    <s v="Tafo"/>
    <x v="15"/>
    <n v="73.739999999999995"/>
    <x v="4"/>
    <x v="0"/>
    <x v="0"/>
    <x v="0"/>
    <x v="1"/>
    <n v="2"/>
    <n v="0.3"/>
    <x v="3"/>
    <x v="0"/>
    <n v="1"/>
    <x v="2"/>
    <n v="3"/>
    <x v="0"/>
    <x v="0"/>
    <x v="4"/>
    <x v="70"/>
    <x v="1"/>
    <x v="1"/>
    <x v="2"/>
    <x v="1"/>
    <x v="1"/>
    <x v="0"/>
    <s v="Standard"/>
    <n v="13"/>
  </r>
  <r>
    <x v="239"/>
    <x v="10"/>
    <x v="1"/>
    <x v="0"/>
    <x v="0"/>
    <x v="2"/>
    <x v="0"/>
    <s v="Pasirjaya"/>
    <x v="6"/>
    <n v="74.69"/>
    <x v="2"/>
    <x v="0"/>
    <x v="1"/>
    <x v="4"/>
    <x v="0"/>
    <n v="3"/>
    <n v="1"/>
    <x v="2"/>
    <x v="2"/>
    <n v="0"/>
    <x v="1"/>
    <n v="6"/>
    <x v="0"/>
    <x v="2"/>
    <x v="2"/>
    <x v="99"/>
    <x v="2"/>
    <x v="3"/>
    <x v="1"/>
    <x v="1"/>
    <x v="0"/>
    <x v="2"/>
    <s v="No Preference"/>
    <n v="3"/>
  </r>
  <r>
    <x v="240"/>
    <x v="11"/>
    <x v="1"/>
    <x v="0"/>
    <x v="0"/>
    <x v="3"/>
    <x v="2"/>
    <s v="Gustavsberg"/>
    <x v="8"/>
    <n v="77.650000000000006"/>
    <x v="1"/>
    <x v="0"/>
    <x v="0"/>
    <x v="2"/>
    <x v="2"/>
    <n v="4"/>
    <n v="1"/>
    <x v="1"/>
    <x v="2"/>
    <n v="2"/>
    <x v="2"/>
    <n v="3"/>
    <x v="3"/>
    <x v="1"/>
    <x v="1"/>
    <x v="152"/>
    <x v="3"/>
    <x v="4"/>
    <x v="3"/>
    <x v="0"/>
    <x v="0"/>
    <x v="1"/>
    <s v="No Preference"/>
    <n v="1"/>
  </r>
  <r>
    <x v="241"/>
    <x v="9"/>
    <x v="1"/>
    <x v="1"/>
    <x v="1"/>
    <x v="0"/>
    <x v="1"/>
    <s v="Dayapan"/>
    <x v="10"/>
    <n v="78"/>
    <x v="3"/>
    <x v="0"/>
    <x v="0"/>
    <x v="2"/>
    <x v="2"/>
    <n v="5"/>
    <n v="0"/>
    <x v="0"/>
    <x v="0"/>
    <n v="1"/>
    <x v="2"/>
    <n v="1"/>
    <x v="2"/>
    <x v="2"/>
    <x v="0"/>
    <x v="75"/>
    <x v="2"/>
    <x v="3"/>
    <x v="2"/>
    <x v="0"/>
    <x v="1"/>
    <x v="0"/>
    <s v="No Preference"/>
    <n v="11"/>
  </r>
  <r>
    <x v="242"/>
    <x v="17"/>
    <x v="1"/>
    <x v="1"/>
    <x v="1"/>
    <x v="1"/>
    <x v="2"/>
    <s v="Tayabamba"/>
    <x v="13"/>
    <n v="78.319999999999993"/>
    <x v="6"/>
    <x v="0"/>
    <x v="0"/>
    <x v="1"/>
    <x v="2"/>
    <n v="4"/>
    <n v="2"/>
    <x v="2"/>
    <x v="2"/>
    <n v="2"/>
    <x v="0"/>
    <n v="10"/>
    <x v="2"/>
    <x v="0"/>
    <x v="2"/>
    <x v="163"/>
    <x v="1"/>
    <x v="10"/>
    <x v="4"/>
    <x v="1"/>
    <x v="0"/>
    <x v="2"/>
    <s v="Standard"/>
    <n v="7"/>
  </r>
  <r>
    <x v="243"/>
    <x v="13"/>
    <x v="1"/>
    <x v="0"/>
    <x v="0"/>
    <x v="3"/>
    <x v="0"/>
    <s v="Cluses"/>
    <x v="16"/>
    <n v="78.900000000000006"/>
    <x v="10"/>
    <x v="0"/>
    <x v="1"/>
    <x v="0"/>
    <x v="1"/>
    <n v="1"/>
    <n v="1"/>
    <x v="2"/>
    <x v="0"/>
    <n v="0"/>
    <x v="2"/>
    <n v="1"/>
    <x v="0"/>
    <x v="1"/>
    <x v="0"/>
    <x v="169"/>
    <x v="2"/>
    <x v="8"/>
    <x v="2"/>
    <x v="1"/>
    <x v="0"/>
    <x v="1"/>
    <s v="Standard"/>
    <n v="10"/>
  </r>
  <r>
    <x v="244"/>
    <x v="13"/>
    <x v="1"/>
    <x v="0"/>
    <x v="0"/>
    <x v="0"/>
    <x v="2"/>
    <s v="Rokytne"/>
    <x v="13"/>
    <n v="79.81"/>
    <x v="8"/>
    <x v="0"/>
    <x v="2"/>
    <x v="4"/>
    <x v="2"/>
    <n v="5"/>
    <n v="0"/>
    <x v="3"/>
    <x v="0"/>
    <n v="0"/>
    <x v="0"/>
    <n v="9"/>
    <x v="1"/>
    <x v="0"/>
    <x v="0"/>
    <x v="134"/>
    <x v="1"/>
    <x v="10"/>
    <x v="1"/>
    <x v="1"/>
    <x v="0"/>
    <x v="0"/>
    <s v="Standard"/>
    <n v="14"/>
  </r>
  <r>
    <x v="245"/>
    <x v="15"/>
    <x v="1"/>
    <x v="0"/>
    <x v="0"/>
    <x v="2"/>
    <x v="2"/>
    <s v="Zengfu"/>
    <x v="4"/>
    <n v="81.180000000000007"/>
    <x v="9"/>
    <x v="0"/>
    <x v="0"/>
    <x v="0"/>
    <x v="2"/>
    <n v="5"/>
    <n v="1"/>
    <x v="2"/>
    <x v="0"/>
    <n v="2"/>
    <x v="2"/>
    <n v="3"/>
    <x v="1"/>
    <x v="1"/>
    <x v="1"/>
    <x v="73"/>
    <x v="0"/>
    <x v="7"/>
    <x v="5"/>
    <x v="1"/>
    <x v="1"/>
    <x v="3"/>
    <s v="Express"/>
    <n v="3"/>
  </r>
  <r>
    <x v="246"/>
    <x v="16"/>
    <x v="1"/>
    <x v="1"/>
    <x v="0"/>
    <x v="3"/>
    <x v="0"/>
    <s v="Tochio-honchō"/>
    <x v="10"/>
    <n v="81.23"/>
    <x v="6"/>
    <x v="0"/>
    <x v="2"/>
    <x v="1"/>
    <x v="2"/>
    <n v="5"/>
    <n v="2"/>
    <x v="3"/>
    <x v="0"/>
    <n v="1"/>
    <x v="0"/>
    <n v="10"/>
    <x v="0"/>
    <x v="1"/>
    <x v="1"/>
    <x v="170"/>
    <x v="0"/>
    <x v="0"/>
    <x v="1"/>
    <x v="1"/>
    <x v="0"/>
    <x v="0"/>
    <s v="Standard"/>
    <n v="6"/>
  </r>
  <r>
    <x v="247"/>
    <x v="16"/>
    <x v="1"/>
    <x v="0"/>
    <x v="1"/>
    <x v="1"/>
    <x v="2"/>
    <s v="Taiyigong"/>
    <x v="20"/>
    <n v="82.37"/>
    <x v="1"/>
    <x v="0"/>
    <x v="2"/>
    <x v="2"/>
    <x v="1"/>
    <n v="1"/>
    <n v="1"/>
    <x v="1"/>
    <x v="0"/>
    <n v="0"/>
    <x v="2"/>
    <n v="4"/>
    <x v="0"/>
    <x v="0"/>
    <x v="3"/>
    <x v="171"/>
    <x v="3"/>
    <x v="9"/>
    <x v="3"/>
    <x v="1"/>
    <x v="1"/>
    <x v="3"/>
    <s v="Standard"/>
    <n v="2"/>
  </r>
  <r>
    <x v="248"/>
    <x v="12"/>
    <x v="1"/>
    <x v="0"/>
    <x v="0"/>
    <x v="1"/>
    <x v="1"/>
    <s v="Puqi"/>
    <x v="2"/>
    <n v="86.63"/>
    <x v="2"/>
    <x v="0"/>
    <x v="2"/>
    <x v="3"/>
    <x v="1"/>
    <n v="1"/>
    <n v="2"/>
    <x v="1"/>
    <x v="2"/>
    <n v="2"/>
    <x v="2"/>
    <n v="2"/>
    <x v="2"/>
    <x v="1"/>
    <x v="1"/>
    <x v="172"/>
    <x v="2"/>
    <x v="8"/>
    <x v="4"/>
    <x v="0"/>
    <x v="1"/>
    <x v="0"/>
    <s v="Express"/>
    <n v="3"/>
  </r>
  <r>
    <x v="249"/>
    <x v="15"/>
    <x v="1"/>
    <x v="0"/>
    <x v="1"/>
    <x v="1"/>
    <x v="0"/>
    <s v="Narol"/>
    <x v="17"/>
    <n v="88.4"/>
    <x v="3"/>
    <x v="0"/>
    <x v="1"/>
    <x v="4"/>
    <x v="1"/>
    <n v="2"/>
    <n v="0"/>
    <x v="1"/>
    <x v="0"/>
    <n v="0"/>
    <x v="2"/>
    <n v="4"/>
    <x v="0"/>
    <x v="2"/>
    <x v="1"/>
    <x v="55"/>
    <x v="0"/>
    <x v="7"/>
    <x v="0"/>
    <x v="0"/>
    <x v="1"/>
    <x v="2"/>
    <s v="No Preference"/>
    <n v="4"/>
  </r>
  <r>
    <x v="250"/>
    <x v="15"/>
    <x v="1"/>
    <x v="0"/>
    <x v="1"/>
    <x v="2"/>
    <x v="1"/>
    <s v="Tangkilsari"/>
    <x v="5"/>
    <n v="90.79"/>
    <x v="0"/>
    <x v="0"/>
    <x v="1"/>
    <x v="0"/>
    <x v="1"/>
    <n v="1"/>
    <n v="2"/>
    <x v="1"/>
    <x v="2"/>
    <n v="0"/>
    <x v="2"/>
    <n v="2"/>
    <x v="0"/>
    <x v="1"/>
    <x v="4"/>
    <x v="36"/>
    <x v="2"/>
    <x v="8"/>
    <x v="4"/>
    <x v="1"/>
    <x v="1"/>
    <x v="1"/>
    <s v="No Preference"/>
    <n v="6"/>
  </r>
  <r>
    <x v="251"/>
    <x v="9"/>
    <x v="1"/>
    <x v="0"/>
    <x v="1"/>
    <x v="1"/>
    <x v="1"/>
    <s v="Leon Postigo"/>
    <x v="5"/>
    <n v="91.63"/>
    <x v="10"/>
    <x v="0"/>
    <x v="1"/>
    <x v="4"/>
    <x v="1"/>
    <n v="2"/>
    <n v="2"/>
    <x v="0"/>
    <x v="0"/>
    <n v="0"/>
    <x v="0"/>
    <n v="10"/>
    <x v="3"/>
    <x v="1"/>
    <x v="0"/>
    <x v="173"/>
    <x v="1"/>
    <x v="2"/>
    <x v="0"/>
    <x v="0"/>
    <x v="0"/>
    <x v="0"/>
    <s v="Standard"/>
    <n v="2"/>
  </r>
  <r>
    <x v="252"/>
    <x v="15"/>
    <x v="1"/>
    <x v="1"/>
    <x v="0"/>
    <x v="3"/>
    <x v="0"/>
    <s v="Rates"/>
    <x v="2"/>
    <n v="93.29"/>
    <x v="7"/>
    <x v="0"/>
    <x v="0"/>
    <x v="1"/>
    <x v="1"/>
    <n v="2"/>
    <n v="0"/>
    <x v="3"/>
    <x v="1"/>
    <n v="0"/>
    <x v="1"/>
    <n v="7"/>
    <x v="2"/>
    <x v="1"/>
    <x v="4"/>
    <x v="174"/>
    <x v="1"/>
    <x v="10"/>
    <x v="6"/>
    <x v="0"/>
    <x v="1"/>
    <x v="3"/>
    <s v="No Preference"/>
    <n v="9"/>
  </r>
  <r>
    <x v="253"/>
    <x v="14"/>
    <x v="1"/>
    <x v="0"/>
    <x v="0"/>
    <x v="1"/>
    <x v="2"/>
    <s v="Stěbořice"/>
    <x v="7"/>
    <n v="93.52"/>
    <x v="5"/>
    <x v="0"/>
    <x v="0"/>
    <x v="2"/>
    <x v="2"/>
    <n v="5"/>
    <n v="1"/>
    <x v="0"/>
    <x v="2"/>
    <n v="1"/>
    <x v="2"/>
    <n v="2"/>
    <x v="1"/>
    <x v="2"/>
    <x v="2"/>
    <x v="5"/>
    <x v="1"/>
    <x v="1"/>
    <x v="4"/>
    <x v="1"/>
    <x v="0"/>
    <x v="1"/>
    <s v="No Preference"/>
    <n v="12"/>
  </r>
  <r>
    <x v="254"/>
    <x v="17"/>
    <x v="1"/>
    <x v="0"/>
    <x v="0"/>
    <x v="0"/>
    <x v="0"/>
    <s v="Cipari"/>
    <x v="5"/>
    <n v="98.63"/>
    <x v="4"/>
    <x v="0"/>
    <x v="0"/>
    <x v="0"/>
    <x v="2"/>
    <n v="5"/>
    <n v="2"/>
    <x v="3"/>
    <x v="2"/>
    <n v="1"/>
    <x v="2"/>
    <n v="3"/>
    <x v="2"/>
    <x v="1"/>
    <x v="4"/>
    <x v="27"/>
    <x v="3"/>
    <x v="4"/>
    <x v="1"/>
    <x v="1"/>
    <x v="0"/>
    <x v="1"/>
    <s v="Standard"/>
    <n v="6"/>
  </r>
  <r>
    <x v="255"/>
    <x v="13"/>
    <x v="1"/>
    <x v="0"/>
    <x v="1"/>
    <x v="1"/>
    <x v="1"/>
    <s v="Sungai Raya"/>
    <x v="7"/>
    <n v="100.32"/>
    <x v="5"/>
    <x v="0"/>
    <x v="1"/>
    <x v="4"/>
    <x v="1"/>
    <n v="1"/>
    <n v="1"/>
    <x v="2"/>
    <x v="1"/>
    <n v="0"/>
    <x v="2"/>
    <n v="1"/>
    <x v="0"/>
    <x v="1"/>
    <x v="3"/>
    <x v="150"/>
    <x v="3"/>
    <x v="9"/>
    <x v="3"/>
    <x v="1"/>
    <x v="0"/>
    <x v="1"/>
    <s v="Express"/>
    <n v="8"/>
  </r>
  <r>
    <x v="256"/>
    <x v="15"/>
    <x v="1"/>
    <x v="7"/>
    <x v="1"/>
    <x v="1"/>
    <x v="2"/>
    <s v="Yueyang"/>
    <x v="11"/>
    <n v="101.29"/>
    <x v="7"/>
    <x v="0"/>
    <x v="1"/>
    <x v="2"/>
    <x v="1"/>
    <n v="1"/>
    <n v="2"/>
    <x v="1"/>
    <x v="0"/>
    <n v="2"/>
    <x v="1"/>
    <n v="7"/>
    <x v="0"/>
    <x v="0"/>
    <x v="1"/>
    <x v="97"/>
    <x v="2"/>
    <x v="6"/>
    <x v="3"/>
    <x v="1"/>
    <x v="0"/>
    <x v="2"/>
    <s v="No Preference"/>
    <n v="4"/>
  </r>
  <r>
    <x v="257"/>
    <x v="17"/>
    <x v="1"/>
    <x v="1"/>
    <x v="1"/>
    <x v="3"/>
    <x v="1"/>
    <s v="Wiwilí"/>
    <x v="7"/>
    <n v="101.31"/>
    <x v="1"/>
    <x v="0"/>
    <x v="2"/>
    <x v="3"/>
    <x v="1"/>
    <n v="1"/>
    <n v="1"/>
    <x v="3"/>
    <x v="2"/>
    <n v="0"/>
    <x v="2"/>
    <n v="1"/>
    <x v="3"/>
    <x v="0"/>
    <x v="4"/>
    <x v="175"/>
    <x v="2"/>
    <x v="6"/>
    <x v="5"/>
    <x v="0"/>
    <x v="0"/>
    <x v="2"/>
    <s v="Express"/>
    <n v="10"/>
  </r>
  <r>
    <x v="258"/>
    <x v="8"/>
    <x v="1"/>
    <x v="1"/>
    <x v="1"/>
    <x v="0"/>
    <x v="0"/>
    <s v="Xinjiang"/>
    <x v="10"/>
    <n v="102.91"/>
    <x v="0"/>
    <x v="0"/>
    <x v="2"/>
    <x v="1"/>
    <x v="1"/>
    <n v="1"/>
    <n v="1"/>
    <x v="1"/>
    <x v="1"/>
    <n v="1"/>
    <x v="0"/>
    <n v="10"/>
    <x v="3"/>
    <x v="2"/>
    <x v="2"/>
    <x v="170"/>
    <x v="0"/>
    <x v="0"/>
    <x v="1"/>
    <x v="0"/>
    <x v="1"/>
    <x v="3"/>
    <s v="Express"/>
    <n v="13"/>
  </r>
  <r>
    <x v="259"/>
    <x v="8"/>
    <x v="1"/>
    <x v="6"/>
    <x v="0"/>
    <x v="0"/>
    <x v="2"/>
    <s v="Särkisalo"/>
    <x v="19"/>
    <n v="104.74"/>
    <x v="1"/>
    <x v="0"/>
    <x v="0"/>
    <x v="1"/>
    <x v="2"/>
    <n v="4"/>
    <n v="2"/>
    <x v="0"/>
    <x v="1"/>
    <n v="0"/>
    <x v="2"/>
    <n v="4"/>
    <x v="2"/>
    <x v="0"/>
    <x v="2"/>
    <x v="168"/>
    <x v="2"/>
    <x v="8"/>
    <x v="0"/>
    <x v="1"/>
    <x v="1"/>
    <x v="3"/>
    <s v="No Preference"/>
    <n v="1"/>
  </r>
  <r>
    <x v="260"/>
    <x v="10"/>
    <x v="1"/>
    <x v="0"/>
    <x v="0"/>
    <x v="2"/>
    <x v="1"/>
    <s v="Lincheng"/>
    <x v="20"/>
    <n v="105.87"/>
    <x v="0"/>
    <x v="0"/>
    <x v="2"/>
    <x v="3"/>
    <x v="1"/>
    <n v="2"/>
    <n v="1"/>
    <x v="2"/>
    <x v="0"/>
    <n v="1"/>
    <x v="2"/>
    <n v="1"/>
    <x v="0"/>
    <x v="1"/>
    <x v="1"/>
    <x v="153"/>
    <x v="2"/>
    <x v="8"/>
    <x v="0"/>
    <x v="1"/>
    <x v="1"/>
    <x v="1"/>
    <s v="Express"/>
    <n v="4"/>
  </r>
  <r>
    <x v="261"/>
    <x v="11"/>
    <x v="1"/>
    <x v="0"/>
    <x v="1"/>
    <x v="2"/>
    <x v="1"/>
    <s v="Fengyi"/>
    <x v="5"/>
    <n v="106.69"/>
    <x v="3"/>
    <x v="0"/>
    <x v="0"/>
    <x v="3"/>
    <x v="2"/>
    <n v="4"/>
    <n v="1.3"/>
    <x v="1"/>
    <x v="1"/>
    <n v="2"/>
    <x v="0"/>
    <n v="10"/>
    <x v="3"/>
    <x v="2"/>
    <x v="2"/>
    <x v="176"/>
    <x v="2"/>
    <x v="8"/>
    <x v="5"/>
    <x v="1"/>
    <x v="0"/>
    <x v="0"/>
    <s v="Standard"/>
    <n v="14"/>
  </r>
  <r>
    <x v="262"/>
    <x v="9"/>
    <x v="1"/>
    <x v="0"/>
    <x v="1"/>
    <x v="0"/>
    <x v="0"/>
    <s v="San Bautista"/>
    <x v="13"/>
    <n v="106.96"/>
    <x v="1"/>
    <x v="0"/>
    <x v="1"/>
    <x v="3"/>
    <x v="1"/>
    <n v="1"/>
    <n v="2"/>
    <x v="2"/>
    <x v="0"/>
    <n v="0"/>
    <x v="1"/>
    <n v="7"/>
    <x v="0"/>
    <x v="1"/>
    <x v="0"/>
    <x v="177"/>
    <x v="0"/>
    <x v="0"/>
    <x v="2"/>
    <x v="0"/>
    <x v="0"/>
    <x v="3"/>
    <s v="Standard"/>
    <n v="3"/>
  </r>
  <r>
    <x v="263"/>
    <x v="14"/>
    <x v="1"/>
    <x v="0"/>
    <x v="0"/>
    <x v="0"/>
    <x v="1"/>
    <s v="Zwedru"/>
    <x v="12"/>
    <n v="107.82"/>
    <x v="4"/>
    <x v="0"/>
    <x v="2"/>
    <x v="4"/>
    <x v="0"/>
    <n v="3"/>
    <n v="2"/>
    <x v="3"/>
    <x v="1"/>
    <n v="2"/>
    <x v="0"/>
    <n v="10"/>
    <x v="2"/>
    <x v="0"/>
    <x v="3"/>
    <x v="52"/>
    <x v="3"/>
    <x v="9"/>
    <x v="3"/>
    <x v="1"/>
    <x v="0"/>
    <x v="0"/>
    <s v="No Preference"/>
    <n v="2"/>
  </r>
  <r>
    <x v="264"/>
    <x v="15"/>
    <x v="1"/>
    <x v="3"/>
    <x v="0"/>
    <x v="3"/>
    <x v="1"/>
    <s v="Ḑawrān ad Daydah"/>
    <x v="17"/>
    <n v="108.61"/>
    <x v="2"/>
    <x v="0"/>
    <x v="1"/>
    <x v="3"/>
    <x v="1"/>
    <n v="2"/>
    <n v="0"/>
    <x v="0"/>
    <x v="1"/>
    <n v="0"/>
    <x v="2"/>
    <n v="3"/>
    <x v="2"/>
    <x v="0"/>
    <x v="1"/>
    <x v="96"/>
    <x v="2"/>
    <x v="3"/>
    <x v="2"/>
    <x v="0"/>
    <x v="0"/>
    <x v="2"/>
    <s v="No Preference"/>
    <n v="14"/>
  </r>
  <r>
    <x v="265"/>
    <x v="14"/>
    <x v="1"/>
    <x v="0"/>
    <x v="0"/>
    <x v="0"/>
    <x v="2"/>
    <s v="Zilang"/>
    <x v="7"/>
    <n v="109.88"/>
    <x v="4"/>
    <x v="0"/>
    <x v="0"/>
    <x v="0"/>
    <x v="2"/>
    <n v="4"/>
    <n v="1"/>
    <x v="2"/>
    <x v="1"/>
    <n v="1"/>
    <x v="2"/>
    <n v="3"/>
    <x v="0"/>
    <x v="0"/>
    <x v="3"/>
    <x v="178"/>
    <x v="3"/>
    <x v="4"/>
    <x v="5"/>
    <x v="1"/>
    <x v="0"/>
    <x v="3"/>
    <s v="Standard"/>
    <n v="11"/>
  </r>
  <r>
    <x v="266"/>
    <x v="14"/>
    <x v="1"/>
    <x v="0"/>
    <x v="0"/>
    <x v="3"/>
    <x v="1"/>
    <s v="Delta del Tigre"/>
    <x v="18"/>
    <n v="110.4"/>
    <x v="0"/>
    <x v="0"/>
    <x v="2"/>
    <x v="4"/>
    <x v="1"/>
    <n v="1"/>
    <n v="2"/>
    <x v="0"/>
    <x v="2"/>
    <n v="1"/>
    <x v="2"/>
    <n v="3"/>
    <x v="0"/>
    <x v="1"/>
    <x v="0"/>
    <x v="179"/>
    <x v="2"/>
    <x v="3"/>
    <x v="3"/>
    <x v="1"/>
    <x v="1"/>
    <x v="2"/>
    <s v="Standard"/>
    <n v="12"/>
  </r>
  <r>
    <x v="267"/>
    <x v="15"/>
    <x v="1"/>
    <x v="1"/>
    <x v="0"/>
    <x v="2"/>
    <x v="1"/>
    <s v="Mértola"/>
    <x v="17"/>
    <n v="111.27"/>
    <x v="10"/>
    <x v="0"/>
    <x v="0"/>
    <x v="2"/>
    <x v="0"/>
    <n v="3"/>
    <n v="1"/>
    <x v="3"/>
    <x v="1"/>
    <n v="2"/>
    <x v="0"/>
    <n v="10"/>
    <x v="3"/>
    <x v="0"/>
    <x v="2"/>
    <x v="180"/>
    <x v="0"/>
    <x v="7"/>
    <x v="4"/>
    <x v="1"/>
    <x v="1"/>
    <x v="3"/>
    <s v="No Preference"/>
    <n v="12"/>
  </r>
  <r>
    <x v="268"/>
    <x v="13"/>
    <x v="1"/>
    <x v="0"/>
    <x v="1"/>
    <x v="1"/>
    <x v="0"/>
    <s v="Lebak"/>
    <x v="10"/>
    <n v="113.57"/>
    <x v="3"/>
    <x v="0"/>
    <x v="0"/>
    <x v="0"/>
    <x v="2"/>
    <n v="4"/>
    <n v="2"/>
    <x v="1"/>
    <x v="1"/>
    <n v="1"/>
    <x v="2"/>
    <n v="1"/>
    <x v="1"/>
    <x v="1"/>
    <x v="1"/>
    <x v="7"/>
    <x v="2"/>
    <x v="3"/>
    <x v="5"/>
    <x v="1"/>
    <x v="0"/>
    <x v="0"/>
    <s v="Standard"/>
    <n v="8"/>
  </r>
  <r>
    <x v="269"/>
    <x v="15"/>
    <x v="1"/>
    <x v="1"/>
    <x v="0"/>
    <x v="3"/>
    <x v="1"/>
    <s v="Yuannan"/>
    <x v="11"/>
    <n v="114.03"/>
    <x v="4"/>
    <x v="0"/>
    <x v="2"/>
    <x v="0"/>
    <x v="0"/>
    <n v="3"/>
    <n v="0"/>
    <x v="1"/>
    <x v="0"/>
    <n v="1"/>
    <x v="0"/>
    <n v="10"/>
    <x v="1"/>
    <x v="1"/>
    <x v="3"/>
    <x v="181"/>
    <x v="0"/>
    <x v="5"/>
    <x v="2"/>
    <x v="0"/>
    <x v="0"/>
    <x v="1"/>
    <s v="No Preference"/>
    <n v="6"/>
  </r>
  <r>
    <x v="270"/>
    <x v="9"/>
    <x v="1"/>
    <x v="1"/>
    <x v="1"/>
    <x v="3"/>
    <x v="1"/>
    <s v="Hengshi"/>
    <x v="6"/>
    <n v="116.14"/>
    <x v="7"/>
    <x v="0"/>
    <x v="2"/>
    <x v="2"/>
    <x v="2"/>
    <n v="4"/>
    <n v="1"/>
    <x v="3"/>
    <x v="2"/>
    <n v="0"/>
    <x v="0"/>
    <n v="8"/>
    <x v="0"/>
    <x v="2"/>
    <x v="3"/>
    <x v="182"/>
    <x v="0"/>
    <x v="5"/>
    <x v="4"/>
    <x v="1"/>
    <x v="0"/>
    <x v="0"/>
    <s v="Express"/>
    <n v="14"/>
  </r>
  <r>
    <x v="271"/>
    <x v="9"/>
    <x v="1"/>
    <x v="1"/>
    <x v="0"/>
    <x v="2"/>
    <x v="1"/>
    <s v="Malveira"/>
    <x v="7"/>
    <n v="116.92"/>
    <x v="4"/>
    <x v="0"/>
    <x v="2"/>
    <x v="1"/>
    <x v="0"/>
    <n v="3"/>
    <n v="2"/>
    <x v="0"/>
    <x v="1"/>
    <n v="2"/>
    <x v="2"/>
    <n v="3"/>
    <x v="2"/>
    <x v="2"/>
    <x v="0"/>
    <x v="42"/>
    <x v="0"/>
    <x v="0"/>
    <x v="0"/>
    <x v="0"/>
    <x v="1"/>
    <x v="3"/>
    <s v="No Preference"/>
    <n v="14"/>
  </r>
  <r>
    <x v="272"/>
    <x v="9"/>
    <x v="1"/>
    <x v="0"/>
    <x v="0"/>
    <x v="2"/>
    <x v="1"/>
    <s v="Turinsk"/>
    <x v="14"/>
    <n v="117.13"/>
    <x v="4"/>
    <x v="0"/>
    <x v="2"/>
    <x v="2"/>
    <x v="1"/>
    <n v="1"/>
    <n v="2"/>
    <x v="3"/>
    <x v="2"/>
    <n v="1"/>
    <x v="0"/>
    <n v="10"/>
    <x v="1"/>
    <x v="0"/>
    <x v="3"/>
    <x v="31"/>
    <x v="1"/>
    <x v="1"/>
    <x v="6"/>
    <x v="0"/>
    <x v="0"/>
    <x v="1"/>
    <s v="Express"/>
    <n v="6"/>
  </r>
  <r>
    <x v="273"/>
    <x v="9"/>
    <x v="1"/>
    <x v="0"/>
    <x v="0"/>
    <x v="1"/>
    <x v="0"/>
    <s v="Quimbaya"/>
    <x v="1"/>
    <n v="119.51"/>
    <x v="7"/>
    <x v="0"/>
    <x v="2"/>
    <x v="4"/>
    <x v="2"/>
    <n v="5"/>
    <n v="2"/>
    <x v="2"/>
    <x v="1"/>
    <n v="2"/>
    <x v="0"/>
    <n v="8"/>
    <x v="2"/>
    <x v="2"/>
    <x v="2"/>
    <x v="148"/>
    <x v="0"/>
    <x v="7"/>
    <x v="1"/>
    <x v="1"/>
    <x v="1"/>
    <x v="1"/>
    <s v="No Preference"/>
    <n v="1"/>
  </r>
  <r>
    <x v="274"/>
    <x v="15"/>
    <x v="1"/>
    <x v="0"/>
    <x v="1"/>
    <x v="0"/>
    <x v="2"/>
    <s v="Junshan"/>
    <x v="10"/>
    <n v="121.57"/>
    <x v="8"/>
    <x v="0"/>
    <x v="2"/>
    <x v="2"/>
    <x v="2"/>
    <n v="5"/>
    <n v="0"/>
    <x v="3"/>
    <x v="0"/>
    <n v="0"/>
    <x v="2"/>
    <n v="4"/>
    <x v="1"/>
    <x v="2"/>
    <x v="4"/>
    <x v="183"/>
    <x v="1"/>
    <x v="2"/>
    <x v="6"/>
    <x v="1"/>
    <x v="0"/>
    <x v="3"/>
    <s v="No Preference"/>
    <n v="13"/>
  </r>
  <r>
    <x v="275"/>
    <x v="17"/>
    <x v="1"/>
    <x v="0"/>
    <x v="0"/>
    <x v="0"/>
    <x v="0"/>
    <s v="Saint-Gratien"/>
    <x v="13"/>
    <n v="122.46"/>
    <x v="0"/>
    <x v="0"/>
    <x v="2"/>
    <x v="1"/>
    <x v="0"/>
    <n v="3"/>
    <n v="0"/>
    <x v="3"/>
    <x v="0"/>
    <n v="0"/>
    <x v="2"/>
    <n v="3"/>
    <x v="2"/>
    <x v="1"/>
    <x v="3"/>
    <x v="127"/>
    <x v="3"/>
    <x v="11"/>
    <x v="6"/>
    <x v="1"/>
    <x v="0"/>
    <x v="0"/>
    <s v="Standard"/>
    <n v="6"/>
  </r>
  <r>
    <x v="276"/>
    <x v="17"/>
    <x v="1"/>
    <x v="0"/>
    <x v="0"/>
    <x v="1"/>
    <x v="2"/>
    <s v="Wrząsowice"/>
    <x v="8"/>
    <n v="122.55"/>
    <x v="6"/>
    <x v="0"/>
    <x v="2"/>
    <x v="1"/>
    <x v="2"/>
    <n v="4"/>
    <n v="0.3"/>
    <x v="2"/>
    <x v="0"/>
    <n v="2"/>
    <x v="2"/>
    <n v="3"/>
    <x v="0"/>
    <x v="2"/>
    <x v="3"/>
    <x v="71"/>
    <x v="1"/>
    <x v="2"/>
    <x v="5"/>
    <x v="1"/>
    <x v="1"/>
    <x v="3"/>
    <s v="Express"/>
    <n v="4"/>
  </r>
  <r>
    <x v="277"/>
    <x v="11"/>
    <x v="1"/>
    <x v="0"/>
    <x v="0"/>
    <x v="0"/>
    <x v="0"/>
    <s v="Shimen"/>
    <x v="17"/>
    <n v="122.58"/>
    <x v="5"/>
    <x v="0"/>
    <x v="1"/>
    <x v="4"/>
    <x v="2"/>
    <n v="4"/>
    <n v="1.5"/>
    <x v="2"/>
    <x v="0"/>
    <n v="2"/>
    <x v="1"/>
    <n v="5"/>
    <x v="3"/>
    <x v="1"/>
    <x v="4"/>
    <x v="184"/>
    <x v="3"/>
    <x v="4"/>
    <x v="4"/>
    <x v="0"/>
    <x v="1"/>
    <x v="3"/>
    <s v="Express"/>
    <n v="12"/>
  </r>
  <r>
    <x v="278"/>
    <x v="9"/>
    <x v="1"/>
    <x v="1"/>
    <x v="0"/>
    <x v="2"/>
    <x v="0"/>
    <s v="Mouquim"/>
    <x v="4"/>
    <n v="122.99"/>
    <x v="0"/>
    <x v="0"/>
    <x v="1"/>
    <x v="2"/>
    <x v="2"/>
    <n v="5"/>
    <n v="1"/>
    <x v="3"/>
    <x v="1"/>
    <n v="1"/>
    <x v="0"/>
    <n v="8"/>
    <x v="3"/>
    <x v="2"/>
    <x v="1"/>
    <x v="185"/>
    <x v="2"/>
    <x v="6"/>
    <x v="6"/>
    <x v="0"/>
    <x v="1"/>
    <x v="1"/>
    <s v="No Preference"/>
    <n v="1"/>
  </r>
  <r>
    <x v="279"/>
    <x v="12"/>
    <x v="1"/>
    <x v="0"/>
    <x v="1"/>
    <x v="2"/>
    <x v="0"/>
    <s v="Xincheng"/>
    <x v="8"/>
    <n v="127.18"/>
    <x v="5"/>
    <x v="0"/>
    <x v="1"/>
    <x v="4"/>
    <x v="2"/>
    <n v="5"/>
    <n v="1"/>
    <x v="1"/>
    <x v="2"/>
    <n v="0"/>
    <x v="2"/>
    <n v="2"/>
    <x v="0"/>
    <x v="2"/>
    <x v="0"/>
    <x v="186"/>
    <x v="3"/>
    <x v="9"/>
    <x v="2"/>
    <x v="1"/>
    <x v="1"/>
    <x v="1"/>
    <s v="Standard"/>
    <n v="4"/>
  </r>
  <r>
    <x v="280"/>
    <x v="15"/>
    <x v="1"/>
    <x v="0"/>
    <x v="1"/>
    <x v="0"/>
    <x v="1"/>
    <s v="Chavarría"/>
    <x v="7"/>
    <n v="128.01"/>
    <x v="5"/>
    <x v="0"/>
    <x v="2"/>
    <x v="0"/>
    <x v="1"/>
    <n v="2"/>
    <n v="1"/>
    <x v="1"/>
    <x v="2"/>
    <n v="0"/>
    <x v="2"/>
    <n v="1"/>
    <x v="1"/>
    <x v="0"/>
    <x v="0"/>
    <x v="187"/>
    <x v="0"/>
    <x v="5"/>
    <x v="3"/>
    <x v="0"/>
    <x v="1"/>
    <x v="2"/>
    <s v="No Preference"/>
    <n v="10"/>
  </r>
  <r>
    <x v="281"/>
    <x v="15"/>
    <x v="1"/>
    <x v="0"/>
    <x v="0"/>
    <x v="1"/>
    <x v="0"/>
    <s v="Paris 15"/>
    <x v="5"/>
    <n v="128.74"/>
    <x v="0"/>
    <x v="0"/>
    <x v="2"/>
    <x v="4"/>
    <x v="1"/>
    <n v="1"/>
    <n v="1"/>
    <x v="1"/>
    <x v="2"/>
    <n v="1"/>
    <x v="0"/>
    <n v="8"/>
    <x v="1"/>
    <x v="2"/>
    <x v="2"/>
    <x v="188"/>
    <x v="3"/>
    <x v="4"/>
    <x v="2"/>
    <x v="1"/>
    <x v="0"/>
    <x v="1"/>
    <s v="Standard"/>
    <n v="1"/>
  </r>
  <r>
    <x v="282"/>
    <x v="12"/>
    <x v="1"/>
    <x v="1"/>
    <x v="1"/>
    <x v="1"/>
    <x v="1"/>
    <s v="Trzemeszno"/>
    <x v="5"/>
    <n v="132.52000000000001"/>
    <x v="1"/>
    <x v="0"/>
    <x v="2"/>
    <x v="2"/>
    <x v="1"/>
    <n v="2"/>
    <n v="0"/>
    <x v="1"/>
    <x v="2"/>
    <n v="2"/>
    <x v="0"/>
    <n v="10"/>
    <x v="2"/>
    <x v="0"/>
    <x v="0"/>
    <x v="189"/>
    <x v="3"/>
    <x v="9"/>
    <x v="5"/>
    <x v="0"/>
    <x v="0"/>
    <x v="3"/>
    <s v="Express"/>
    <n v="12"/>
  </r>
  <r>
    <x v="283"/>
    <x v="16"/>
    <x v="1"/>
    <x v="1"/>
    <x v="1"/>
    <x v="0"/>
    <x v="2"/>
    <s v="Banturkrajan"/>
    <x v="4"/>
    <n v="137.75"/>
    <x v="1"/>
    <x v="0"/>
    <x v="0"/>
    <x v="3"/>
    <x v="0"/>
    <n v="3"/>
    <n v="2"/>
    <x v="3"/>
    <x v="1"/>
    <n v="0"/>
    <x v="2"/>
    <n v="1"/>
    <x v="0"/>
    <x v="0"/>
    <x v="1"/>
    <x v="15"/>
    <x v="2"/>
    <x v="8"/>
    <x v="4"/>
    <x v="1"/>
    <x v="0"/>
    <x v="2"/>
    <s v="No Preference"/>
    <n v="4"/>
  </r>
  <r>
    <x v="284"/>
    <x v="11"/>
    <x v="1"/>
    <x v="1"/>
    <x v="1"/>
    <x v="2"/>
    <x v="0"/>
    <s v="Abiko"/>
    <x v="18"/>
    <n v="139.83000000000001"/>
    <x v="0"/>
    <x v="0"/>
    <x v="0"/>
    <x v="1"/>
    <x v="2"/>
    <n v="4"/>
    <n v="2"/>
    <x v="0"/>
    <x v="0"/>
    <n v="0"/>
    <x v="2"/>
    <n v="1"/>
    <x v="3"/>
    <x v="1"/>
    <x v="1"/>
    <x v="157"/>
    <x v="2"/>
    <x v="6"/>
    <x v="1"/>
    <x v="1"/>
    <x v="1"/>
    <x v="3"/>
    <s v="Express"/>
    <n v="10"/>
  </r>
  <r>
    <x v="285"/>
    <x v="14"/>
    <x v="1"/>
    <x v="1"/>
    <x v="0"/>
    <x v="0"/>
    <x v="2"/>
    <s v="Nakhchivan"/>
    <x v="16"/>
    <n v="141.09"/>
    <x v="4"/>
    <x v="0"/>
    <x v="1"/>
    <x v="3"/>
    <x v="2"/>
    <n v="4"/>
    <n v="0"/>
    <x v="3"/>
    <x v="1"/>
    <n v="2"/>
    <x v="2"/>
    <n v="3"/>
    <x v="1"/>
    <x v="2"/>
    <x v="0"/>
    <x v="190"/>
    <x v="1"/>
    <x v="2"/>
    <x v="3"/>
    <x v="1"/>
    <x v="0"/>
    <x v="0"/>
    <s v="Express"/>
    <n v="1"/>
  </r>
  <r>
    <x v="286"/>
    <x v="12"/>
    <x v="1"/>
    <x v="6"/>
    <x v="0"/>
    <x v="2"/>
    <x v="1"/>
    <s v="Voskhod"/>
    <x v="4"/>
    <n v="142.43"/>
    <x v="10"/>
    <x v="0"/>
    <x v="1"/>
    <x v="1"/>
    <x v="2"/>
    <n v="5"/>
    <n v="2"/>
    <x v="3"/>
    <x v="1"/>
    <n v="1"/>
    <x v="0"/>
    <n v="9"/>
    <x v="3"/>
    <x v="2"/>
    <x v="2"/>
    <x v="191"/>
    <x v="2"/>
    <x v="8"/>
    <x v="2"/>
    <x v="0"/>
    <x v="1"/>
    <x v="1"/>
    <s v="Express"/>
    <n v="8"/>
  </r>
  <r>
    <x v="287"/>
    <x v="11"/>
    <x v="1"/>
    <x v="0"/>
    <x v="1"/>
    <x v="2"/>
    <x v="1"/>
    <s v="Itsandzéni"/>
    <x v="6"/>
    <n v="143.80000000000001"/>
    <x v="6"/>
    <x v="0"/>
    <x v="1"/>
    <x v="1"/>
    <x v="1"/>
    <n v="2"/>
    <n v="2"/>
    <x v="2"/>
    <x v="2"/>
    <n v="0"/>
    <x v="1"/>
    <n v="7"/>
    <x v="3"/>
    <x v="1"/>
    <x v="0"/>
    <x v="192"/>
    <x v="3"/>
    <x v="11"/>
    <x v="6"/>
    <x v="0"/>
    <x v="1"/>
    <x v="0"/>
    <s v="No Preference"/>
    <n v="11"/>
  </r>
  <r>
    <x v="288"/>
    <x v="9"/>
    <x v="1"/>
    <x v="0"/>
    <x v="1"/>
    <x v="1"/>
    <x v="1"/>
    <s v="Staritsa"/>
    <x v="4"/>
    <n v="146.59"/>
    <x v="2"/>
    <x v="0"/>
    <x v="2"/>
    <x v="4"/>
    <x v="1"/>
    <n v="1"/>
    <n v="2"/>
    <x v="2"/>
    <x v="1"/>
    <n v="0"/>
    <x v="2"/>
    <n v="2"/>
    <x v="3"/>
    <x v="0"/>
    <x v="1"/>
    <x v="193"/>
    <x v="3"/>
    <x v="4"/>
    <x v="4"/>
    <x v="1"/>
    <x v="0"/>
    <x v="3"/>
    <s v="No Preference"/>
    <n v="3"/>
  </r>
  <r>
    <x v="289"/>
    <x v="12"/>
    <x v="1"/>
    <x v="2"/>
    <x v="0"/>
    <x v="3"/>
    <x v="1"/>
    <s v="Maslog"/>
    <x v="7"/>
    <n v="148.97999999999999"/>
    <x v="0"/>
    <x v="0"/>
    <x v="0"/>
    <x v="4"/>
    <x v="1"/>
    <n v="1"/>
    <n v="2"/>
    <x v="0"/>
    <x v="1"/>
    <n v="0"/>
    <x v="0"/>
    <n v="8"/>
    <x v="2"/>
    <x v="1"/>
    <x v="0"/>
    <x v="194"/>
    <x v="1"/>
    <x v="1"/>
    <x v="0"/>
    <x v="0"/>
    <x v="0"/>
    <x v="0"/>
    <s v="Standard"/>
    <n v="13"/>
  </r>
  <r>
    <x v="290"/>
    <x v="14"/>
    <x v="1"/>
    <x v="1"/>
    <x v="0"/>
    <x v="3"/>
    <x v="1"/>
    <s v="Tsuen Wan"/>
    <x v="19"/>
    <n v="151.25"/>
    <x v="5"/>
    <x v="0"/>
    <x v="1"/>
    <x v="1"/>
    <x v="2"/>
    <n v="5"/>
    <n v="0"/>
    <x v="1"/>
    <x v="2"/>
    <n v="1"/>
    <x v="0"/>
    <n v="8"/>
    <x v="0"/>
    <x v="1"/>
    <x v="0"/>
    <x v="195"/>
    <x v="0"/>
    <x v="5"/>
    <x v="2"/>
    <x v="0"/>
    <x v="1"/>
    <x v="1"/>
    <s v="No Preference"/>
    <n v="10"/>
  </r>
  <r>
    <x v="291"/>
    <x v="10"/>
    <x v="1"/>
    <x v="0"/>
    <x v="1"/>
    <x v="1"/>
    <x v="1"/>
    <s v="Al Jīzah"/>
    <x v="11"/>
    <n v="151.81"/>
    <x v="9"/>
    <x v="0"/>
    <x v="0"/>
    <x v="3"/>
    <x v="2"/>
    <n v="4"/>
    <n v="0"/>
    <x v="1"/>
    <x v="0"/>
    <n v="1"/>
    <x v="0"/>
    <n v="10"/>
    <x v="3"/>
    <x v="1"/>
    <x v="0"/>
    <x v="196"/>
    <x v="3"/>
    <x v="4"/>
    <x v="2"/>
    <x v="1"/>
    <x v="1"/>
    <x v="1"/>
    <s v="No Preference"/>
    <n v="1"/>
  </r>
  <r>
    <x v="292"/>
    <x v="17"/>
    <x v="1"/>
    <x v="1"/>
    <x v="0"/>
    <x v="2"/>
    <x v="1"/>
    <s v="Mbala"/>
    <x v="10"/>
    <n v="154.19"/>
    <x v="1"/>
    <x v="0"/>
    <x v="0"/>
    <x v="4"/>
    <x v="2"/>
    <n v="4"/>
    <n v="1"/>
    <x v="1"/>
    <x v="1"/>
    <n v="2"/>
    <x v="2"/>
    <n v="1"/>
    <x v="3"/>
    <x v="1"/>
    <x v="2"/>
    <x v="168"/>
    <x v="2"/>
    <x v="8"/>
    <x v="0"/>
    <x v="0"/>
    <x v="0"/>
    <x v="2"/>
    <s v="No Preference"/>
    <n v="1"/>
  </r>
  <r>
    <x v="293"/>
    <x v="9"/>
    <x v="1"/>
    <x v="1"/>
    <x v="0"/>
    <x v="0"/>
    <x v="2"/>
    <s v="Anyang"/>
    <x v="10"/>
    <n v="156.5"/>
    <x v="3"/>
    <x v="0"/>
    <x v="2"/>
    <x v="2"/>
    <x v="1"/>
    <n v="1"/>
    <n v="1"/>
    <x v="3"/>
    <x v="1"/>
    <n v="0"/>
    <x v="2"/>
    <n v="3"/>
    <x v="1"/>
    <x v="2"/>
    <x v="4"/>
    <x v="18"/>
    <x v="3"/>
    <x v="4"/>
    <x v="3"/>
    <x v="0"/>
    <x v="1"/>
    <x v="0"/>
    <s v="Standard"/>
    <n v="14"/>
  </r>
  <r>
    <x v="294"/>
    <x v="8"/>
    <x v="1"/>
    <x v="6"/>
    <x v="0"/>
    <x v="1"/>
    <x v="0"/>
    <s v="Gegernoong"/>
    <x v="9"/>
    <n v="157.26"/>
    <x v="10"/>
    <x v="0"/>
    <x v="0"/>
    <x v="2"/>
    <x v="0"/>
    <n v="3"/>
    <n v="1"/>
    <x v="1"/>
    <x v="0"/>
    <n v="1"/>
    <x v="2"/>
    <n v="1"/>
    <x v="3"/>
    <x v="2"/>
    <x v="1"/>
    <x v="145"/>
    <x v="1"/>
    <x v="10"/>
    <x v="3"/>
    <x v="1"/>
    <x v="1"/>
    <x v="2"/>
    <s v="Standard"/>
    <n v="8"/>
  </r>
  <r>
    <x v="295"/>
    <x v="11"/>
    <x v="1"/>
    <x v="0"/>
    <x v="0"/>
    <x v="2"/>
    <x v="0"/>
    <s v="Nanyaojie"/>
    <x v="1"/>
    <n v="159.82"/>
    <x v="5"/>
    <x v="0"/>
    <x v="1"/>
    <x v="1"/>
    <x v="1"/>
    <n v="1"/>
    <n v="1"/>
    <x v="3"/>
    <x v="1"/>
    <n v="2"/>
    <x v="0"/>
    <n v="8"/>
    <x v="0"/>
    <x v="1"/>
    <x v="1"/>
    <x v="154"/>
    <x v="3"/>
    <x v="9"/>
    <x v="4"/>
    <x v="0"/>
    <x v="0"/>
    <x v="1"/>
    <s v="No Preference"/>
    <n v="10"/>
  </r>
  <r>
    <x v="296"/>
    <x v="16"/>
    <x v="1"/>
    <x v="1"/>
    <x v="1"/>
    <x v="2"/>
    <x v="2"/>
    <s v="Queluz"/>
    <x v="9"/>
    <n v="160.47"/>
    <x v="4"/>
    <x v="0"/>
    <x v="2"/>
    <x v="2"/>
    <x v="2"/>
    <n v="5"/>
    <n v="0"/>
    <x v="0"/>
    <x v="0"/>
    <n v="0"/>
    <x v="2"/>
    <n v="3"/>
    <x v="3"/>
    <x v="0"/>
    <x v="0"/>
    <x v="0"/>
    <x v="0"/>
    <x v="0"/>
    <x v="0"/>
    <x v="0"/>
    <x v="1"/>
    <x v="0"/>
    <s v="No Preference"/>
    <n v="6"/>
  </r>
  <r>
    <x v="297"/>
    <x v="13"/>
    <x v="1"/>
    <x v="0"/>
    <x v="0"/>
    <x v="2"/>
    <x v="2"/>
    <s v="Waiwukak"/>
    <x v="14"/>
    <n v="162.24"/>
    <x v="4"/>
    <x v="0"/>
    <x v="1"/>
    <x v="4"/>
    <x v="0"/>
    <n v="3"/>
    <n v="1"/>
    <x v="0"/>
    <x v="1"/>
    <n v="2"/>
    <x v="1"/>
    <n v="6"/>
    <x v="2"/>
    <x v="0"/>
    <x v="2"/>
    <x v="197"/>
    <x v="2"/>
    <x v="6"/>
    <x v="5"/>
    <x v="1"/>
    <x v="1"/>
    <x v="0"/>
    <s v="Express"/>
    <n v="7"/>
  </r>
  <r>
    <x v="298"/>
    <x v="12"/>
    <x v="1"/>
    <x v="0"/>
    <x v="1"/>
    <x v="0"/>
    <x v="1"/>
    <s v="Shuntian"/>
    <x v="3"/>
    <n v="164.94"/>
    <x v="8"/>
    <x v="0"/>
    <x v="1"/>
    <x v="0"/>
    <x v="2"/>
    <n v="4"/>
    <n v="2"/>
    <x v="3"/>
    <x v="2"/>
    <n v="2"/>
    <x v="2"/>
    <n v="2"/>
    <x v="2"/>
    <x v="2"/>
    <x v="2"/>
    <x v="122"/>
    <x v="1"/>
    <x v="10"/>
    <x v="6"/>
    <x v="0"/>
    <x v="0"/>
    <x v="0"/>
    <s v="Express"/>
    <n v="6"/>
  </r>
  <r>
    <x v="299"/>
    <x v="9"/>
    <x v="1"/>
    <x v="0"/>
    <x v="1"/>
    <x v="1"/>
    <x v="2"/>
    <s v="Jaguaruana"/>
    <x v="9"/>
    <n v="166.74"/>
    <x v="1"/>
    <x v="0"/>
    <x v="2"/>
    <x v="1"/>
    <x v="2"/>
    <n v="5"/>
    <n v="0"/>
    <x v="3"/>
    <x v="0"/>
    <n v="0"/>
    <x v="1"/>
    <n v="6"/>
    <x v="2"/>
    <x v="2"/>
    <x v="4"/>
    <x v="198"/>
    <x v="3"/>
    <x v="4"/>
    <x v="0"/>
    <x v="1"/>
    <x v="1"/>
    <x v="3"/>
    <s v="No Preference"/>
    <n v="1"/>
  </r>
  <r>
    <x v="300"/>
    <x v="13"/>
    <x v="1"/>
    <x v="0"/>
    <x v="1"/>
    <x v="3"/>
    <x v="1"/>
    <s v="Lagoa Seca"/>
    <x v="4"/>
    <n v="167.61"/>
    <x v="5"/>
    <x v="0"/>
    <x v="0"/>
    <x v="3"/>
    <x v="2"/>
    <n v="5"/>
    <n v="1"/>
    <x v="0"/>
    <x v="0"/>
    <n v="2"/>
    <x v="2"/>
    <n v="2"/>
    <x v="2"/>
    <x v="2"/>
    <x v="4"/>
    <x v="199"/>
    <x v="2"/>
    <x v="3"/>
    <x v="0"/>
    <x v="0"/>
    <x v="1"/>
    <x v="2"/>
    <s v="No Preference"/>
    <n v="13"/>
  </r>
  <r>
    <x v="301"/>
    <x v="10"/>
    <x v="1"/>
    <x v="1"/>
    <x v="1"/>
    <x v="2"/>
    <x v="1"/>
    <s v="Hengshui"/>
    <x v="8"/>
    <n v="170.71"/>
    <x v="2"/>
    <x v="0"/>
    <x v="2"/>
    <x v="4"/>
    <x v="0"/>
    <n v="3"/>
    <n v="0"/>
    <x v="2"/>
    <x v="2"/>
    <n v="1"/>
    <x v="0"/>
    <n v="9"/>
    <x v="2"/>
    <x v="2"/>
    <x v="3"/>
    <x v="93"/>
    <x v="0"/>
    <x v="5"/>
    <x v="0"/>
    <x v="0"/>
    <x v="0"/>
    <x v="1"/>
    <s v="No Preference"/>
    <n v="7"/>
  </r>
  <r>
    <x v="302"/>
    <x v="13"/>
    <x v="1"/>
    <x v="0"/>
    <x v="0"/>
    <x v="2"/>
    <x v="2"/>
    <s v="Örebro"/>
    <x v="12"/>
    <n v="171.17"/>
    <x v="8"/>
    <x v="0"/>
    <x v="1"/>
    <x v="2"/>
    <x v="0"/>
    <n v="3"/>
    <n v="0"/>
    <x v="3"/>
    <x v="2"/>
    <n v="0"/>
    <x v="2"/>
    <n v="4"/>
    <x v="0"/>
    <x v="2"/>
    <x v="0"/>
    <x v="200"/>
    <x v="1"/>
    <x v="2"/>
    <x v="2"/>
    <x v="1"/>
    <x v="0"/>
    <x v="0"/>
    <s v="Standard"/>
    <n v="12"/>
  </r>
  <r>
    <x v="303"/>
    <x v="9"/>
    <x v="1"/>
    <x v="0"/>
    <x v="0"/>
    <x v="2"/>
    <x v="1"/>
    <s v="Banjar Batanpoh"/>
    <x v="10"/>
    <n v="171.52"/>
    <x v="10"/>
    <x v="0"/>
    <x v="2"/>
    <x v="4"/>
    <x v="2"/>
    <n v="5"/>
    <n v="2"/>
    <x v="1"/>
    <x v="1"/>
    <n v="1"/>
    <x v="0"/>
    <n v="9"/>
    <x v="0"/>
    <x v="0"/>
    <x v="1"/>
    <x v="53"/>
    <x v="1"/>
    <x v="1"/>
    <x v="3"/>
    <x v="0"/>
    <x v="0"/>
    <x v="1"/>
    <s v="Standard"/>
    <n v="12"/>
  </r>
  <r>
    <x v="304"/>
    <x v="9"/>
    <x v="1"/>
    <x v="1"/>
    <x v="1"/>
    <x v="3"/>
    <x v="2"/>
    <s v="Kýthnos"/>
    <x v="9"/>
    <n v="171.61"/>
    <x v="10"/>
    <x v="0"/>
    <x v="0"/>
    <x v="3"/>
    <x v="1"/>
    <n v="1"/>
    <n v="2"/>
    <x v="2"/>
    <x v="1"/>
    <n v="1"/>
    <x v="1"/>
    <n v="6"/>
    <x v="1"/>
    <x v="2"/>
    <x v="3"/>
    <x v="77"/>
    <x v="2"/>
    <x v="6"/>
    <x v="6"/>
    <x v="0"/>
    <x v="1"/>
    <x v="1"/>
    <s v="Express"/>
    <n v="8"/>
  </r>
  <r>
    <x v="305"/>
    <x v="15"/>
    <x v="1"/>
    <x v="0"/>
    <x v="1"/>
    <x v="2"/>
    <x v="0"/>
    <s v="Shibushi"/>
    <x v="12"/>
    <n v="172.5"/>
    <x v="9"/>
    <x v="0"/>
    <x v="0"/>
    <x v="2"/>
    <x v="0"/>
    <n v="3"/>
    <n v="0"/>
    <x v="1"/>
    <x v="2"/>
    <n v="0"/>
    <x v="0"/>
    <n v="8"/>
    <x v="2"/>
    <x v="2"/>
    <x v="3"/>
    <x v="64"/>
    <x v="1"/>
    <x v="10"/>
    <x v="5"/>
    <x v="0"/>
    <x v="1"/>
    <x v="3"/>
    <s v="No Preference"/>
    <n v="7"/>
  </r>
  <r>
    <x v="306"/>
    <x v="11"/>
    <x v="1"/>
    <x v="0"/>
    <x v="1"/>
    <x v="3"/>
    <x v="2"/>
    <s v="Mikun’"/>
    <x v="12"/>
    <n v="175.74"/>
    <x v="3"/>
    <x v="0"/>
    <x v="0"/>
    <x v="4"/>
    <x v="2"/>
    <n v="4"/>
    <n v="1"/>
    <x v="1"/>
    <x v="0"/>
    <n v="0"/>
    <x v="1"/>
    <n v="6"/>
    <x v="3"/>
    <x v="1"/>
    <x v="1"/>
    <x v="122"/>
    <x v="1"/>
    <x v="10"/>
    <x v="6"/>
    <x v="1"/>
    <x v="0"/>
    <x v="3"/>
    <s v="No Preference"/>
    <n v="6"/>
  </r>
  <r>
    <x v="307"/>
    <x v="12"/>
    <x v="1"/>
    <x v="1"/>
    <x v="0"/>
    <x v="2"/>
    <x v="1"/>
    <s v="Leśnica"/>
    <x v="5"/>
    <n v="178.04"/>
    <x v="3"/>
    <x v="0"/>
    <x v="1"/>
    <x v="4"/>
    <x v="1"/>
    <n v="1"/>
    <n v="2"/>
    <x v="1"/>
    <x v="2"/>
    <n v="0"/>
    <x v="1"/>
    <n v="5"/>
    <x v="1"/>
    <x v="1"/>
    <x v="3"/>
    <x v="134"/>
    <x v="1"/>
    <x v="10"/>
    <x v="1"/>
    <x v="1"/>
    <x v="1"/>
    <x v="2"/>
    <s v="No Preference"/>
    <n v="12"/>
  </r>
  <r>
    <x v="308"/>
    <x v="11"/>
    <x v="1"/>
    <x v="0"/>
    <x v="0"/>
    <x v="1"/>
    <x v="1"/>
    <s v="Cimara"/>
    <x v="10"/>
    <n v="181.1"/>
    <x v="5"/>
    <x v="0"/>
    <x v="0"/>
    <x v="1"/>
    <x v="2"/>
    <n v="5"/>
    <n v="2"/>
    <x v="2"/>
    <x v="0"/>
    <n v="2"/>
    <x v="1"/>
    <n v="7"/>
    <x v="2"/>
    <x v="1"/>
    <x v="3"/>
    <x v="201"/>
    <x v="3"/>
    <x v="9"/>
    <x v="6"/>
    <x v="1"/>
    <x v="1"/>
    <x v="3"/>
    <s v="No Preference"/>
    <n v="5"/>
  </r>
  <r>
    <x v="309"/>
    <x v="17"/>
    <x v="1"/>
    <x v="1"/>
    <x v="0"/>
    <x v="3"/>
    <x v="1"/>
    <s v="San Luis"/>
    <x v="15"/>
    <n v="181.87"/>
    <x v="0"/>
    <x v="0"/>
    <x v="2"/>
    <x v="0"/>
    <x v="1"/>
    <n v="1"/>
    <n v="1"/>
    <x v="1"/>
    <x v="0"/>
    <n v="2"/>
    <x v="2"/>
    <n v="4"/>
    <x v="1"/>
    <x v="2"/>
    <x v="0"/>
    <x v="202"/>
    <x v="2"/>
    <x v="8"/>
    <x v="0"/>
    <x v="1"/>
    <x v="0"/>
    <x v="0"/>
    <s v="No Preference"/>
    <n v="11"/>
  </r>
  <r>
    <x v="310"/>
    <x v="12"/>
    <x v="1"/>
    <x v="1"/>
    <x v="1"/>
    <x v="3"/>
    <x v="1"/>
    <s v="Samamiya"/>
    <x v="10"/>
    <n v="182.6"/>
    <x v="8"/>
    <x v="0"/>
    <x v="0"/>
    <x v="4"/>
    <x v="1"/>
    <n v="2"/>
    <n v="0.3"/>
    <x v="2"/>
    <x v="0"/>
    <n v="2"/>
    <x v="0"/>
    <n v="9"/>
    <x v="1"/>
    <x v="1"/>
    <x v="2"/>
    <x v="203"/>
    <x v="0"/>
    <x v="7"/>
    <x v="5"/>
    <x v="1"/>
    <x v="0"/>
    <x v="0"/>
    <s v="Express"/>
    <n v="5"/>
  </r>
  <r>
    <x v="311"/>
    <x v="14"/>
    <x v="1"/>
    <x v="3"/>
    <x v="0"/>
    <x v="3"/>
    <x v="0"/>
    <s v="Paris 17"/>
    <x v="10"/>
    <n v="182.89"/>
    <x v="5"/>
    <x v="0"/>
    <x v="2"/>
    <x v="4"/>
    <x v="0"/>
    <n v="3"/>
    <n v="1"/>
    <x v="2"/>
    <x v="0"/>
    <n v="1"/>
    <x v="0"/>
    <n v="9"/>
    <x v="2"/>
    <x v="0"/>
    <x v="2"/>
    <x v="5"/>
    <x v="1"/>
    <x v="1"/>
    <x v="4"/>
    <x v="1"/>
    <x v="1"/>
    <x v="0"/>
    <s v="Express"/>
    <n v="5"/>
  </r>
  <r>
    <x v="312"/>
    <x v="8"/>
    <x v="1"/>
    <x v="1"/>
    <x v="0"/>
    <x v="3"/>
    <x v="2"/>
    <s v="Huaqiu"/>
    <x v="8"/>
    <n v="182.94"/>
    <x v="4"/>
    <x v="0"/>
    <x v="2"/>
    <x v="2"/>
    <x v="2"/>
    <n v="5"/>
    <n v="2"/>
    <x v="0"/>
    <x v="0"/>
    <n v="2"/>
    <x v="1"/>
    <n v="7"/>
    <x v="2"/>
    <x v="2"/>
    <x v="4"/>
    <x v="204"/>
    <x v="0"/>
    <x v="7"/>
    <x v="1"/>
    <x v="0"/>
    <x v="0"/>
    <x v="2"/>
    <s v="Express"/>
    <n v="12"/>
  </r>
  <r>
    <x v="313"/>
    <x v="12"/>
    <x v="1"/>
    <x v="0"/>
    <x v="0"/>
    <x v="2"/>
    <x v="2"/>
    <s v="Dālbandīn"/>
    <x v="13"/>
    <n v="184.74"/>
    <x v="3"/>
    <x v="0"/>
    <x v="1"/>
    <x v="0"/>
    <x v="2"/>
    <n v="4"/>
    <n v="0"/>
    <x v="1"/>
    <x v="1"/>
    <n v="1"/>
    <x v="1"/>
    <n v="5"/>
    <x v="1"/>
    <x v="1"/>
    <x v="0"/>
    <x v="205"/>
    <x v="2"/>
    <x v="3"/>
    <x v="3"/>
    <x v="1"/>
    <x v="0"/>
    <x v="3"/>
    <s v="No Preference"/>
    <n v="10"/>
  </r>
  <r>
    <x v="314"/>
    <x v="17"/>
    <x v="1"/>
    <x v="1"/>
    <x v="1"/>
    <x v="0"/>
    <x v="2"/>
    <s v="Chatturat"/>
    <x v="2"/>
    <n v="187.22"/>
    <x v="2"/>
    <x v="0"/>
    <x v="0"/>
    <x v="4"/>
    <x v="0"/>
    <n v="3"/>
    <n v="0"/>
    <x v="1"/>
    <x v="1"/>
    <n v="1"/>
    <x v="2"/>
    <n v="4"/>
    <x v="2"/>
    <x v="2"/>
    <x v="3"/>
    <x v="206"/>
    <x v="1"/>
    <x v="2"/>
    <x v="1"/>
    <x v="1"/>
    <x v="1"/>
    <x v="0"/>
    <s v="Standard"/>
    <n v="4"/>
  </r>
  <r>
    <x v="315"/>
    <x v="11"/>
    <x v="1"/>
    <x v="1"/>
    <x v="1"/>
    <x v="0"/>
    <x v="1"/>
    <s v="Mizque"/>
    <x v="11"/>
    <n v="193.76"/>
    <x v="2"/>
    <x v="0"/>
    <x v="2"/>
    <x v="0"/>
    <x v="0"/>
    <n v="3"/>
    <n v="1"/>
    <x v="1"/>
    <x v="0"/>
    <n v="0"/>
    <x v="2"/>
    <n v="2"/>
    <x v="2"/>
    <x v="2"/>
    <x v="0"/>
    <x v="207"/>
    <x v="3"/>
    <x v="11"/>
    <x v="2"/>
    <x v="1"/>
    <x v="1"/>
    <x v="0"/>
    <s v="No Preference"/>
    <n v="12"/>
  </r>
  <r>
    <x v="316"/>
    <x v="10"/>
    <x v="1"/>
    <x v="0"/>
    <x v="0"/>
    <x v="0"/>
    <x v="1"/>
    <s v="Philadelphia"/>
    <x v="12"/>
    <n v="195.07"/>
    <x v="9"/>
    <x v="0"/>
    <x v="0"/>
    <x v="3"/>
    <x v="1"/>
    <n v="1"/>
    <n v="1"/>
    <x v="3"/>
    <x v="2"/>
    <n v="0"/>
    <x v="1"/>
    <n v="6"/>
    <x v="3"/>
    <x v="0"/>
    <x v="0"/>
    <x v="208"/>
    <x v="1"/>
    <x v="10"/>
    <x v="4"/>
    <x v="1"/>
    <x v="1"/>
    <x v="3"/>
    <s v="No Preference"/>
    <n v="10"/>
  </r>
  <r>
    <x v="317"/>
    <x v="10"/>
    <x v="1"/>
    <x v="1"/>
    <x v="0"/>
    <x v="0"/>
    <x v="2"/>
    <s v="Yuyangguan"/>
    <x v="11"/>
    <n v="197.7"/>
    <x v="4"/>
    <x v="0"/>
    <x v="2"/>
    <x v="3"/>
    <x v="2"/>
    <n v="5"/>
    <n v="2"/>
    <x v="3"/>
    <x v="2"/>
    <n v="1"/>
    <x v="1"/>
    <n v="6"/>
    <x v="0"/>
    <x v="2"/>
    <x v="1"/>
    <x v="209"/>
    <x v="2"/>
    <x v="8"/>
    <x v="5"/>
    <x v="1"/>
    <x v="1"/>
    <x v="2"/>
    <s v="Standard"/>
    <n v="9"/>
  </r>
  <r>
    <x v="318"/>
    <x v="9"/>
    <x v="1"/>
    <x v="3"/>
    <x v="1"/>
    <x v="1"/>
    <x v="2"/>
    <s v="Cane"/>
    <x v="10"/>
    <n v="198.45"/>
    <x v="7"/>
    <x v="0"/>
    <x v="0"/>
    <x v="3"/>
    <x v="2"/>
    <n v="5"/>
    <n v="1"/>
    <x v="3"/>
    <x v="0"/>
    <n v="2"/>
    <x v="0"/>
    <n v="8"/>
    <x v="1"/>
    <x v="1"/>
    <x v="2"/>
    <x v="210"/>
    <x v="0"/>
    <x v="7"/>
    <x v="2"/>
    <x v="0"/>
    <x v="1"/>
    <x v="0"/>
    <s v="No Preference"/>
    <n v="5"/>
  </r>
  <r>
    <x v="319"/>
    <x v="9"/>
    <x v="1"/>
    <x v="0"/>
    <x v="0"/>
    <x v="3"/>
    <x v="1"/>
    <s v="Pirané"/>
    <x v="0"/>
    <n v="199.44"/>
    <x v="4"/>
    <x v="0"/>
    <x v="0"/>
    <x v="1"/>
    <x v="1"/>
    <n v="1"/>
    <n v="2"/>
    <x v="0"/>
    <x v="1"/>
    <n v="0"/>
    <x v="2"/>
    <n v="3"/>
    <x v="3"/>
    <x v="1"/>
    <x v="1"/>
    <x v="160"/>
    <x v="1"/>
    <x v="10"/>
    <x v="0"/>
    <x v="1"/>
    <x v="0"/>
    <x v="2"/>
    <s v="Standard"/>
    <n v="1"/>
  </r>
  <r>
    <x v="320"/>
    <x v="16"/>
    <x v="1"/>
    <x v="1"/>
    <x v="1"/>
    <x v="0"/>
    <x v="1"/>
    <s v="Vília"/>
    <x v="13"/>
    <n v="203.49"/>
    <x v="4"/>
    <x v="0"/>
    <x v="1"/>
    <x v="0"/>
    <x v="1"/>
    <n v="1"/>
    <n v="2"/>
    <x v="1"/>
    <x v="0"/>
    <n v="1"/>
    <x v="0"/>
    <n v="8"/>
    <x v="1"/>
    <x v="1"/>
    <x v="1"/>
    <x v="211"/>
    <x v="1"/>
    <x v="1"/>
    <x v="2"/>
    <x v="1"/>
    <x v="0"/>
    <x v="2"/>
    <s v="Express"/>
    <n v="11"/>
  </r>
  <r>
    <x v="321"/>
    <x v="16"/>
    <x v="1"/>
    <x v="1"/>
    <x v="1"/>
    <x v="2"/>
    <x v="0"/>
    <s v="Berezna"/>
    <x v="1"/>
    <n v="204.44"/>
    <x v="5"/>
    <x v="0"/>
    <x v="2"/>
    <x v="4"/>
    <x v="0"/>
    <n v="3"/>
    <n v="2"/>
    <x v="0"/>
    <x v="2"/>
    <n v="1"/>
    <x v="2"/>
    <n v="3"/>
    <x v="1"/>
    <x v="2"/>
    <x v="0"/>
    <x v="212"/>
    <x v="3"/>
    <x v="9"/>
    <x v="0"/>
    <x v="1"/>
    <x v="0"/>
    <x v="3"/>
    <s v="Standard"/>
    <n v="13"/>
  </r>
  <r>
    <x v="322"/>
    <x v="14"/>
    <x v="1"/>
    <x v="0"/>
    <x v="1"/>
    <x v="1"/>
    <x v="1"/>
    <s v="Caitang"/>
    <x v="11"/>
    <n v="204.47"/>
    <x v="4"/>
    <x v="0"/>
    <x v="0"/>
    <x v="1"/>
    <x v="1"/>
    <n v="1"/>
    <n v="1"/>
    <x v="0"/>
    <x v="1"/>
    <n v="2"/>
    <x v="0"/>
    <n v="9"/>
    <x v="3"/>
    <x v="0"/>
    <x v="3"/>
    <x v="213"/>
    <x v="1"/>
    <x v="1"/>
    <x v="6"/>
    <x v="0"/>
    <x v="0"/>
    <x v="0"/>
    <s v="No Preference"/>
    <n v="3"/>
  </r>
  <r>
    <x v="323"/>
    <x v="17"/>
    <x v="1"/>
    <x v="0"/>
    <x v="0"/>
    <x v="2"/>
    <x v="1"/>
    <s v="Las Lomas"/>
    <x v="13"/>
    <n v="206.79"/>
    <x v="3"/>
    <x v="0"/>
    <x v="1"/>
    <x v="2"/>
    <x v="0"/>
    <n v="3"/>
    <n v="2"/>
    <x v="3"/>
    <x v="1"/>
    <n v="1"/>
    <x v="2"/>
    <n v="2"/>
    <x v="2"/>
    <x v="1"/>
    <x v="3"/>
    <x v="53"/>
    <x v="1"/>
    <x v="1"/>
    <x v="3"/>
    <x v="1"/>
    <x v="1"/>
    <x v="1"/>
    <s v="Standard"/>
    <n v="4"/>
  </r>
  <r>
    <x v="324"/>
    <x v="10"/>
    <x v="1"/>
    <x v="0"/>
    <x v="1"/>
    <x v="2"/>
    <x v="0"/>
    <s v="Wuyang"/>
    <x v="5"/>
    <n v="207.11"/>
    <x v="8"/>
    <x v="0"/>
    <x v="2"/>
    <x v="2"/>
    <x v="2"/>
    <n v="4"/>
    <n v="2"/>
    <x v="3"/>
    <x v="0"/>
    <n v="0"/>
    <x v="2"/>
    <n v="1"/>
    <x v="2"/>
    <x v="1"/>
    <x v="4"/>
    <x v="58"/>
    <x v="0"/>
    <x v="0"/>
    <x v="6"/>
    <x v="0"/>
    <x v="1"/>
    <x v="2"/>
    <s v="No Preference"/>
    <n v="2"/>
  </r>
  <r>
    <x v="325"/>
    <x v="16"/>
    <x v="1"/>
    <x v="0"/>
    <x v="0"/>
    <x v="0"/>
    <x v="0"/>
    <s v="Kanoni"/>
    <x v="3"/>
    <n v="207.52"/>
    <x v="8"/>
    <x v="0"/>
    <x v="1"/>
    <x v="3"/>
    <x v="2"/>
    <n v="4"/>
    <n v="1"/>
    <x v="2"/>
    <x v="0"/>
    <n v="1"/>
    <x v="0"/>
    <n v="8"/>
    <x v="1"/>
    <x v="2"/>
    <x v="0"/>
    <x v="100"/>
    <x v="1"/>
    <x v="1"/>
    <x v="1"/>
    <x v="1"/>
    <x v="1"/>
    <x v="3"/>
    <s v="No Preference"/>
    <n v="2"/>
  </r>
  <r>
    <x v="326"/>
    <x v="9"/>
    <x v="1"/>
    <x v="0"/>
    <x v="0"/>
    <x v="1"/>
    <x v="2"/>
    <s v="Ozubulu"/>
    <x v="8"/>
    <n v="207.66"/>
    <x v="2"/>
    <x v="0"/>
    <x v="1"/>
    <x v="1"/>
    <x v="0"/>
    <n v="3"/>
    <n v="1"/>
    <x v="3"/>
    <x v="1"/>
    <n v="2"/>
    <x v="2"/>
    <n v="2"/>
    <x v="0"/>
    <x v="2"/>
    <x v="4"/>
    <x v="214"/>
    <x v="1"/>
    <x v="10"/>
    <x v="4"/>
    <x v="1"/>
    <x v="0"/>
    <x v="0"/>
    <s v="Standard"/>
    <n v="8"/>
  </r>
  <r>
    <x v="327"/>
    <x v="14"/>
    <x v="1"/>
    <x v="0"/>
    <x v="0"/>
    <x v="0"/>
    <x v="0"/>
    <s v="Novokayakent"/>
    <x v="11"/>
    <n v="208.6"/>
    <x v="5"/>
    <x v="0"/>
    <x v="2"/>
    <x v="4"/>
    <x v="1"/>
    <n v="1"/>
    <n v="2"/>
    <x v="0"/>
    <x v="2"/>
    <n v="0"/>
    <x v="1"/>
    <n v="5"/>
    <x v="1"/>
    <x v="0"/>
    <x v="3"/>
    <x v="215"/>
    <x v="3"/>
    <x v="11"/>
    <x v="6"/>
    <x v="0"/>
    <x v="0"/>
    <x v="3"/>
    <s v="Standard"/>
    <n v="3"/>
  </r>
  <r>
    <x v="328"/>
    <x v="14"/>
    <x v="1"/>
    <x v="0"/>
    <x v="0"/>
    <x v="1"/>
    <x v="2"/>
    <s v="Port Elizabeth"/>
    <x v="11"/>
    <n v="210.21"/>
    <x v="8"/>
    <x v="0"/>
    <x v="2"/>
    <x v="0"/>
    <x v="1"/>
    <n v="1"/>
    <n v="2"/>
    <x v="3"/>
    <x v="1"/>
    <n v="0"/>
    <x v="0"/>
    <n v="10"/>
    <x v="1"/>
    <x v="2"/>
    <x v="2"/>
    <x v="216"/>
    <x v="1"/>
    <x v="10"/>
    <x v="5"/>
    <x v="1"/>
    <x v="0"/>
    <x v="2"/>
    <s v="No Preference"/>
    <n v="14"/>
  </r>
  <r>
    <x v="329"/>
    <x v="8"/>
    <x v="1"/>
    <x v="1"/>
    <x v="1"/>
    <x v="2"/>
    <x v="1"/>
    <s v="Carrefour"/>
    <x v="11"/>
    <n v="211.39"/>
    <x v="2"/>
    <x v="0"/>
    <x v="0"/>
    <x v="0"/>
    <x v="2"/>
    <n v="5"/>
    <n v="1"/>
    <x v="1"/>
    <x v="0"/>
    <n v="0"/>
    <x v="2"/>
    <n v="1"/>
    <x v="2"/>
    <x v="2"/>
    <x v="4"/>
    <x v="217"/>
    <x v="0"/>
    <x v="7"/>
    <x v="5"/>
    <x v="0"/>
    <x v="1"/>
    <x v="1"/>
    <s v="Express"/>
    <n v="1"/>
  </r>
  <r>
    <x v="330"/>
    <x v="11"/>
    <x v="1"/>
    <x v="1"/>
    <x v="1"/>
    <x v="1"/>
    <x v="2"/>
    <s v="Nara"/>
    <x v="6"/>
    <n v="211.7"/>
    <x v="1"/>
    <x v="0"/>
    <x v="2"/>
    <x v="3"/>
    <x v="2"/>
    <n v="4"/>
    <n v="0"/>
    <x v="1"/>
    <x v="0"/>
    <n v="2"/>
    <x v="0"/>
    <n v="10"/>
    <x v="3"/>
    <x v="0"/>
    <x v="0"/>
    <x v="218"/>
    <x v="3"/>
    <x v="4"/>
    <x v="1"/>
    <x v="1"/>
    <x v="1"/>
    <x v="0"/>
    <s v="No Preference"/>
    <n v="4"/>
  </r>
  <r>
    <x v="331"/>
    <x v="15"/>
    <x v="1"/>
    <x v="1"/>
    <x v="0"/>
    <x v="1"/>
    <x v="0"/>
    <s v="Selasari"/>
    <x v="0"/>
    <n v="212.08"/>
    <x v="9"/>
    <x v="0"/>
    <x v="1"/>
    <x v="4"/>
    <x v="2"/>
    <n v="5"/>
    <n v="2"/>
    <x v="2"/>
    <x v="1"/>
    <n v="1"/>
    <x v="0"/>
    <n v="9"/>
    <x v="3"/>
    <x v="1"/>
    <x v="3"/>
    <x v="148"/>
    <x v="0"/>
    <x v="7"/>
    <x v="1"/>
    <x v="1"/>
    <x v="1"/>
    <x v="2"/>
    <s v="Standard"/>
    <n v="13"/>
  </r>
  <r>
    <x v="332"/>
    <x v="16"/>
    <x v="1"/>
    <x v="0"/>
    <x v="1"/>
    <x v="2"/>
    <x v="1"/>
    <s v="Ndungu"/>
    <x v="11"/>
    <n v="215.31"/>
    <x v="4"/>
    <x v="0"/>
    <x v="0"/>
    <x v="4"/>
    <x v="2"/>
    <n v="5"/>
    <n v="2"/>
    <x v="1"/>
    <x v="2"/>
    <n v="1"/>
    <x v="0"/>
    <n v="8"/>
    <x v="0"/>
    <x v="0"/>
    <x v="4"/>
    <x v="12"/>
    <x v="0"/>
    <x v="5"/>
    <x v="1"/>
    <x v="1"/>
    <x v="0"/>
    <x v="3"/>
    <s v="No Preference"/>
    <n v="7"/>
  </r>
  <r>
    <x v="333"/>
    <x v="17"/>
    <x v="1"/>
    <x v="1"/>
    <x v="1"/>
    <x v="2"/>
    <x v="2"/>
    <s v="Honolulu"/>
    <x v="5"/>
    <n v="217.62"/>
    <x v="10"/>
    <x v="0"/>
    <x v="0"/>
    <x v="4"/>
    <x v="1"/>
    <n v="2"/>
    <n v="1"/>
    <x v="3"/>
    <x v="1"/>
    <n v="2"/>
    <x v="2"/>
    <n v="3"/>
    <x v="2"/>
    <x v="0"/>
    <x v="2"/>
    <x v="139"/>
    <x v="3"/>
    <x v="11"/>
    <x v="3"/>
    <x v="1"/>
    <x v="0"/>
    <x v="3"/>
    <s v="No Preference"/>
    <n v="5"/>
  </r>
  <r>
    <x v="334"/>
    <x v="14"/>
    <x v="1"/>
    <x v="0"/>
    <x v="0"/>
    <x v="3"/>
    <x v="1"/>
    <s v="Thị Trấn Than Uyên"/>
    <x v="8"/>
    <n v="217.84"/>
    <x v="2"/>
    <x v="0"/>
    <x v="0"/>
    <x v="1"/>
    <x v="1"/>
    <n v="2"/>
    <n v="2"/>
    <x v="0"/>
    <x v="1"/>
    <n v="0"/>
    <x v="0"/>
    <n v="8"/>
    <x v="1"/>
    <x v="1"/>
    <x v="1"/>
    <x v="219"/>
    <x v="3"/>
    <x v="4"/>
    <x v="1"/>
    <x v="0"/>
    <x v="0"/>
    <x v="0"/>
    <s v="Standard"/>
    <n v="11"/>
  </r>
  <r>
    <x v="335"/>
    <x v="11"/>
    <x v="1"/>
    <x v="1"/>
    <x v="1"/>
    <x v="1"/>
    <x v="1"/>
    <s v="Marabahan"/>
    <x v="17"/>
    <n v="221.88"/>
    <x v="0"/>
    <x v="0"/>
    <x v="1"/>
    <x v="2"/>
    <x v="2"/>
    <n v="4"/>
    <n v="2"/>
    <x v="2"/>
    <x v="2"/>
    <n v="1"/>
    <x v="1"/>
    <n v="6"/>
    <x v="3"/>
    <x v="2"/>
    <x v="4"/>
    <x v="220"/>
    <x v="0"/>
    <x v="5"/>
    <x v="6"/>
    <x v="0"/>
    <x v="1"/>
    <x v="2"/>
    <s v="Express"/>
    <n v="9"/>
  </r>
  <r>
    <x v="336"/>
    <x v="15"/>
    <x v="1"/>
    <x v="0"/>
    <x v="0"/>
    <x v="0"/>
    <x v="2"/>
    <s v="Itaguaí"/>
    <x v="15"/>
    <n v="222.63"/>
    <x v="10"/>
    <x v="0"/>
    <x v="2"/>
    <x v="2"/>
    <x v="1"/>
    <n v="1"/>
    <n v="0"/>
    <x v="1"/>
    <x v="2"/>
    <n v="2"/>
    <x v="2"/>
    <n v="2"/>
    <x v="3"/>
    <x v="1"/>
    <x v="1"/>
    <x v="221"/>
    <x v="0"/>
    <x v="0"/>
    <x v="2"/>
    <x v="1"/>
    <x v="0"/>
    <x v="3"/>
    <s v="Express"/>
    <n v="6"/>
  </r>
  <r>
    <x v="337"/>
    <x v="12"/>
    <x v="1"/>
    <x v="1"/>
    <x v="1"/>
    <x v="0"/>
    <x v="2"/>
    <s v="Badajoz"/>
    <x v="8"/>
    <n v="224.52"/>
    <x v="9"/>
    <x v="0"/>
    <x v="2"/>
    <x v="3"/>
    <x v="0"/>
    <n v="3"/>
    <n v="2"/>
    <x v="2"/>
    <x v="0"/>
    <n v="1"/>
    <x v="1"/>
    <n v="5"/>
    <x v="1"/>
    <x v="2"/>
    <x v="3"/>
    <x v="222"/>
    <x v="2"/>
    <x v="3"/>
    <x v="5"/>
    <x v="0"/>
    <x v="1"/>
    <x v="3"/>
    <s v="Express"/>
    <n v="1"/>
  </r>
  <r>
    <x v="338"/>
    <x v="9"/>
    <x v="1"/>
    <x v="1"/>
    <x v="0"/>
    <x v="0"/>
    <x v="1"/>
    <s v="Cerro"/>
    <x v="17"/>
    <n v="225.12"/>
    <x v="7"/>
    <x v="0"/>
    <x v="1"/>
    <x v="3"/>
    <x v="1"/>
    <n v="2"/>
    <n v="1"/>
    <x v="1"/>
    <x v="2"/>
    <n v="0"/>
    <x v="2"/>
    <n v="1"/>
    <x v="3"/>
    <x v="2"/>
    <x v="1"/>
    <x v="14"/>
    <x v="1"/>
    <x v="1"/>
    <x v="2"/>
    <x v="0"/>
    <x v="1"/>
    <x v="1"/>
    <s v="Express"/>
    <n v="6"/>
  </r>
  <r>
    <x v="339"/>
    <x v="16"/>
    <x v="1"/>
    <x v="1"/>
    <x v="1"/>
    <x v="1"/>
    <x v="0"/>
    <s v="Harstad"/>
    <x v="7"/>
    <n v="226.53"/>
    <x v="10"/>
    <x v="0"/>
    <x v="0"/>
    <x v="3"/>
    <x v="1"/>
    <n v="1"/>
    <n v="1"/>
    <x v="3"/>
    <x v="0"/>
    <n v="1"/>
    <x v="0"/>
    <n v="10"/>
    <x v="0"/>
    <x v="2"/>
    <x v="2"/>
    <x v="223"/>
    <x v="1"/>
    <x v="1"/>
    <x v="5"/>
    <x v="0"/>
    <x v="1"/>
    <x v="0"/>
    <s v="No Preference"/>
    <n v="13"/>
  </r>
  <r>
    <x v="340"/>
    <x v="10"/>
    <x v="1"/>
    <x v="0"/>
    <x v="0"/>
    <x v="2"/>
    <x v="1"/>
    <s v="Arhust"/>
    <x v="8"/>
    <n v="227.03"/>
    <x v="0"/>
    <x v="0"/>
    <x v="0"/>
    <x v="1"/>
    <x v="1"/>
    <n v="2"/>
    <n v="0"/>
    <x v="3"/>
    <x v="1"/>
    <n v="2"/>
    <x v="0"/>
    <n v="10"/>
    <x v="2"/>
    <x v="2"/>
    <x v="2"/>
    <x v="59"/>
    <x v="1"/>
    <x v="10"/>
    <x v="0"/>
    <x v="0"/>
    <x v="0"/>
    <x v="1"/>
    <s v="Standard"/>
    <n v="2"/>
  </r>
  <r>
    <x v="341"/>
    <x v="15"/>
    <x v="1"/>
    <x v="1"/>
    <x v="0"/>
    <x v="3"/>
    <x v="2"/>
    <s v="Wasagu"/>
    <x v="6"/>
    <n v="227.58"/>
    <x v="3"/>
    <x v="0"/>
    <x v="0"/>
    <x v="0"/>
    <x v="1"/>
    <n v="2"/>
    <n v="1"/>
    <x v="3"/>
    <x v="0"/>
    <n v="0"/>
    <x v="2"/>
    <n v="1"/>
    <x v="2"/>
    <x v="1"/>
    <x v="3"/>
    <x v="85"/>
    <x v="1"/>
    <x v="10"/>
    <x v="2"/>
    <x v="0"/>
    <x v="1"/>
    <x v="2"/>
    <s v="No Preference"/>
    <n v="11"/>
  </r>
  <r>
    <x v="342"/>
    <x v="10"/>
    <x v="1"/>
    <x v="1"/>
    <x v="1"/>
    <x v="3"/>
    <x v="0"/>
    <s v="Hacienda La Calera"/>
    <x v="15"/>
    <n v="227.58"/>
    <x v="7"/>
    <x v="0"/>
    <x v="2"/>
    <x v="3"/>
    <x v="1"/>
    <n v="1"/>
    <n v="1"/>
    <x v="0"/>
    <x v="0"/>
    <n v="1"/>
    <x v="0"/>
    <n v="8"/>
    <x v="1"/>
    <x v="0"/>
    <x v="3"/>
    <x v="224"/>
    <x v="3"/>
    <x v="4"/>
    <x v="1"/>
    <x v="1"/>
    <x v="0"/>
    <x v="2"/>
    <s v="Express"/>
    <n v="6"/>
  </r>
  <r>
    <x v="343"/>
    <x v="15"/>
    <x v="1"/>
    <x v="1"/>
    <x v="1"/>
    <x v="1"/>
    <x v="0"/>
    <s v="Pameungpeuk"/>
    <x v="0"/>
    <n v="228.47"/>
    <x v="6"/>
    <x v="0"/>
    <x v="0"/>
    <x v="3"/>
    <x v="0"/>
    <n v="3"/>
    <n v="1"/>
    <x v="0"/>
    <x v="1"/>
    <n v="1"/>
    <x v="1"/>
    <n v="7"/>
    <x v="3"/>
    <x v="2"/>
    <x v="3"/>
    <x v="225"/>
    <x v="1"/>
    <x v="1"/>
    <x v="6"/>
    <x v="1"/>
    <x v="0"/>
    <x v="3"/>
    <s v="Express"/>
    <n v="12"/>
  </r>
  <r>
    <x v="344"/>
    <x v="9"/>
    <x v="1"/>
    <x v="0"/>
    <x v="0"/>
    <x v="3"/>
    <x v="1"/>
    <s v="Vidual"/>
    <x v="15"/>
    <n v="228.93"/>
    <x v="4"/>
    <x v="0"/>
    <x v="0"/>
    <x v="2"/>
    <x v="1"/>
    <n v="1"/>
    <n v="2"/>
    <x v="2"/>
    <x v="0"/>
    <n v="2"/>
    <x v="2"/>
    <n v="2"/>
    <x v="0"/>
    <x v="2"/>
    <x v="2"/>
    <x v="114"/>
    <x v="3"/>
    <x v="11"/>
    <x v="4"/>
    <x v="0"/>
    <x v="0"/>
    <x v="3"/>
    <s v="Express"/>
    <n v="11"/>
  </r>
  <r>
    <x v="345"/>
    <x v="10"/>
    <x v="1"/>
    <x v="1"/>
    <x v="1"/>
    <x v="2"/>
    <x v="2"/>
    <s v="Dłutów"/>
    <x v="14"/>
    <n v="234.44"/>
    <x v="1"/>
    <x v="0"/>
    <x v="1"/>
    <x v="3"/>
    <x v="2"/>
    <n v="5"/>
    <n v="2"/>
    <x v="1"/>
    <x v="1"/>
    <n v="0"/>
    <x v="2"/>
    <n v="1"/>
    <x v="1"/>
    <x v="2"/>
    <x v="4"/>
    <x v="130"/>
    <x v="0"/>
    <x v="7"/>
    <x v="6"/>
    <x v="1"/>
    <x v="0"/>
    <x v="3"/>
    <s v="Express"/>
    <n v="5"/>
  </r>
  <r>
    <x v="346"/>
    <x v="13"/>
    <x v="1"/>
    <x v="0"/>
    <x v="0"/>
    <x v="0"/>
    <x v="1"/>
    <s v="Faraulep"/>
    <x v="15"/>
    <n v="234.58"/>
    <x v="10"/>
    <x v="0"/>
    <x v="2"/>
    <x v="4"/>
    <x v="2"/>
    <n v="5"/>
    <n v="2"/>
    <x v="2"/>
    <x v="1"/>
    <n v="2"/>
    <x v="1"/>
    <n v="6"/>
    <x v="3"/>
    <x v="2"/>
    <x v="2"/>
    <x v="226"/>
    <x v="0"/>
    <x v="5"/>
    <x v="1"/>
    <x v="0"/>
    <x v="1"/>
    <x v="3"/>
    <s v="Standard"/>
    <n v="1"/>
  </r>
  <r>
    <x v="347"/>
    <x v="17"/>
    <x v="1"/>
    <x v="1"/>
    <x v="0"/>
    <x v="1"/>
    <x v="2"/>
    <s v="Zhongcheng"/>
    <x v="8"/>
    <n v="235.46"/>
    <x v="2"/>
    <x v="0"/>
    <x v="1"/>
    <x v="3"/>
    <x v="2"/>
    <n v="4"/>
    <n v="2"/>
    <x v="0"/>
    <x v="0"/>
    <n v="0"/>
    <x v="1"/>
    <n v="7"/>
    <x v="3"/>
    <x v="2"/>
    <x v="3"/>
    <x v="179"/>
    <x v="2"/>
    <x v="3"/>
    <x v="3"/>
    <x v="1"/>
    <x v="0"/>
    <x v="3"/>
    <s v="No Preference"/>
    <n v="2"/>
  </r>
  <r>
    <x v="348"/>
    <x v="12"/>
    <x v="1"/>
    <x v="0"/>
    <x v="0"/>
    <x v="1"/>
    <x v="0"/>
    <s v="Malakhovka"/>
    <x v="5"/>
    <n v="236.05"/>
    <x v="1"/>
    <x v="0"/>
    <x v="1"/>
    <x v="1"/>
    <x v="0"/>
    <n v="3"/>
    <n v="0"/>
    <x v="0"/>
    <x v="1"/>
    <n v="1"/>
    <x v="2"/>
    <n v="4"/>
    <x v="1"/>
    <x v="2"/>
    <x v="4"/>
    <x v="3"/>
    <x v="2"/>
    <x v="3"/>
    <x v="2"/>
    <x v="1"/>
    <x v="0"/>
    <x v="2"/>
    <s v="No Preference"/>
    <n v="13"/>
  </r>
  <r>
    <x v="349"/>
    <x v="13"/>
    <x v="1"/>
    <x v="0"/>
    <x v="0"/>
    <x v="1"/>
    <x v="0"/>
    <s v="Sinchao"/>
    <x v="8"/>
    <n v="236.44"/>
    <x v="1"/>
    <x v="0"/>
    <x v="2"/>
    <x v="0"/>
    <x v="2"/>
    <n v="4"/>
    <n v="0"/>
    <x v="1"/>
    <x v="1"/>
    <n v="2"/>
    <x v="2"/>
    <n v="2"/>
    <x v="3"/>
    <x v="0"/>
    <x v="2"/>
    <x v="25"/>
    <x v="0"/>
    <x v="7"/>
    <x v="3"/>
    <x v="1"/>
    <x v="1"/>
    <x v="3"/>
    <s v="Standard"/>
    <n v="6"/>
  </r>
  <r>
    <x v="350"/>
    <x v="12"/>
    <x v="1"/>
    <x v="1"/>
    <x v="1"/>
    <x v="1"/>
    <x v="2"/>
    <s v="Kryva Hora"/>
    <x v="16"/>
    <n v="238.58"/>
    <x v="1"/>
    <x v="0"/>
    <x v="0"/>
    <x v="3"/>
    <x v="1"/>
    <n v="2"/>
    <n v="2"/>
    <x v="1"/>
    <x v="1"/>
    <n v="2"/>
    <x v="0"/>
    <n v="9"/>
    <x v="0"/>
    <x v="1"/>
    <x v="2"/>
    <x v="48"/>
    <x v="1"/>
    <x v="2"/>
    <x v="1"/>
    <x v="0"/>
    <x v="0"/>
    <x v="0"/>
    <s v="Standard"/>
    <n v="8"/>
  </r>
  <r>
    <x v="351"/>
    <x v="16"/>
    <x v="1"/>
    <x v="1"/>
    <x v="0"/>
    <x v="1"/>
    <x v="2"/>
    <s v="Sarishābāri"/>
    <x v="15"/>
    <n v="240.82"/>
    <x v="2"/>
    <x v="0"/>
    <x v="2"/>
    <x v="2"/>
    <x v="0"/>
    <n v="3"/>
    <n v="2"/>
    <x v="3"/>
    <x v="2"/>
    <n v="0"/>
    <x v="2"/>
    <n v="3"/>
    <x v="0"/>
    <x v="1"/>
    <x v="2"/>
    <x v="6"/>
    <x v="3"/>
    <x v="4"/>
    <x v="1"/>
    <x v="0"/>
    <x v="1"/>
    <x v="1"/>
    <s v="No Preference"/>
    <n v="8"/>
  </r>
  <r>
    <x v="352"/>
    <x v="9"/>
    <x v="1"/>
    <x v="0"/>
    <x v="1"/>
    <x v="3"/>
    <x v="0"/>
    <s v="Gawul"/>
    <x v="15"/>
    <n v="241.56"/>
    <x v="0"/>
    <x v="0"/>
    <x v="2"/>
    <x v="3"/>
    <x v="1"/>
    <n v="2"/>
    <n v="0"/>
    <x v="3"/>
    <x v="0"/>
    <n v="0"/>
    <x v="1"/>
    <n v="5"/>
    <x v="1"/>
    <x v="1"/>
    <x v="2"/>
    <x v="227"/>
    <x v="2"/>
    <x v="3"/>
    <x v="6"/>
    <x v="0"/>
    <x v="1"/>
    <x v="2"/>
    <s v="Express"/>
    <n v="2"/>
  </r>
  <r>
    <x v="353"/>
    <x v="9"/>
    <x v="1"/>
    <x v="1"/>
    <x v="0"/>
    <x v="3"/>
    <x v="0"/>
    <s v="Poste de Flacq"/>
    <x v="18"/>
    <n v="242.57"/>
    <x v="4"/>
    <x v="0"/>
    <x v="1"/>
    <x v="2"/>
    <x v="1"/>
    <n v="1"/>
    <n v="1"/>
    <x v="2"/>
    <x v="0"/>
    <n v="0"/>
    <x v="0"/>
    <n v="10"/>
    <x v="2"/>
    <x v="0"/>
    <x v="2"/>
    <x v="46"/>
    <x v="2"/>
    <x v="6"/>
    <x v="2"/>
    <x v="0"/>
    <x v="1"/>
    <x v="0"/>
    <s v="No Preference"/>
    <n v="1"/>
  </r>
  <r>
    <x v="354"/>
    <x v="8"/>
    <x v="1"/>
    <x v="0"/>
    <x v="0"/>
    <x v="1"/>
    <x v="0"/>
    <s v="Cabanas"/>
    <x v="7"/>
    <n v="244.47"/>
    <x v="3"/>
    <x v="0"/>
    <x v="0"/>
    <x v="3"/>
    <x v="2"/>
    <n v="4"/>
    <n v="1"/>
    <x v="3"/>
    <x v="1"/>
    <n v="1"/>
    <x v="1"/>
    <n v="5"/>
    <x v="2"/>
    <x v="0"/>
    <x v="1"/>
    <x v="155"/>
    <x v="1"/>
    <x v="2"/>
    <x v="0"/>
    <x v="1"/>
    <x v="1"/>
    <x v="3"/>
    <s v="No Preference"/>
    <n v="4"/>
  </r>
  <r>
    <x v="355"/>
    <x v="9"/>
    <x v="1"/>
    <x v="1"/>
    <x v="0"/>
    <x v="1"/>
    <x v="1"/>
    <s v="Al Khānkah"/>
    <x v="20"/>
    <n v="245.04"/>
    <x v="8"/>
    <x v="0"/>
    <x v="0"/>
    <x v="3"/>
    <x v="1"/>
    <n v="2"/>
    <n v="0"/>
    <x v="3"/>
    <x v="0"/>
    <n v="2"/>
    <x v="1"/>
    <n v="6"/>
    <x v="1"/>
    <x v="1"/>
    <x v="4"/>
    <x v="228"/>
    <x v="3"/>
    <x v="9"/>
    <x v="1"/>
    <x v="0"/>
    <x v="0"/>
    <x v="2"/>
    <s v="Standard"/>
    <n v="10"/>
  </r>
  <r>
    <x v="356"/>
    <x v="10"/>
    <x v="1"/>
    <x v="0"/>
    <x v="0"/>
    <x v="2"/>
    <x v="0"/>
    <s v="Bangbayang"/>
    <x v="4"/>
    <n v="246.44"/>
    <x v="8"/>
    <x v="0"/>
    <x v="2"/>
    <x v="3"/>
    <x v="1"/>
    <n v="1"/>
    <n v="1"/>
    <x v="1"/>
    <x v="2"/>
    <n v="0"/>
    <x v="2"/>
    <n v="3"/>
    <x v="0"/>
    <x v="0"/>
    <x v="0"/>
    <x v="115"/>
    <x v="2"/>
    <x v="8"/>
    <x v="1"/>
    <x v="1"/>
    <x v="0"/>
    <x v="0"/>
    <s v="No Preference"/>
    <n v="5"/>
  </r>
  <r>
    <x v="357"/>
    <x v="13"/>
    <x v="1"/>
    <x v="1"/>
    <x v="1"/>
    <x v="1"/>
    <x v="0"/>
    <s v="Oslo"/>
    <x v="1"/>
    <n v="249.24"/>
    <x v="9"/>
    <x v="0"/>
    <x v="1"/>
    <x v="0"/>
    <x v="0"/>
    <n v="3"/>
    <n v="1"/>
    <x v="1"/>
    <x v="2"/>
    <n v="2"/>
    <x v="2"/>
    <n v="3"/>
    <x v="1"/>
    <x v="0"/>
    <x v="1"/>
    <x v="225"/>
    <x v="1"/>
    <x v="1"/>
    <x v="6"/>
    <x v="1"/>
    <x v="0"/>
    <x v="2"/>
    <s v="Standard"/>
    <n v="7"/>
  </r>
  <r>
    <x v="358"/>
    <x v="13"/>
    <x v="1"/>
    <x v="5"/>
    <x v="1"/>
    <x v="2"/>
    <x v="1"/>
    <s v="Sobeok"/>
    <x v="20"/>
    <n v="249.73"/>
    <x v="3"/>
    <x v="0"/>
    <x v="2"/>
    <x v="2"/>
    <x v="2"/>
    <n v="4"/>
    <n v="2"/>
    <x v="2"/>
    <x v="1"/>
    <n v="1"/>
    <x v="2"/>
    <n v="4"/>
    <x v="2"/>
    <x v="2"/>
    <x v="1"/>
    <x v="229"/>
    <x v="2"/>
    <x v="3"/>
    <x v="5"/>
    <x v="0"/>
    <x v="1"/>
    <x v="0"/>
    <s v="No Preference"/>
    <n v="1"/>
  </r>
  <r>
    <x v="359"/>
    <x v="13"/>
    <x v="1"/>
    <x v="0"/>
    <x v="0"/>
    <x v="3"/>
    <x v="0"/>
    <s v="Kihurio"/>
    <x v="0"/>
    <n v="249.82"/>
    <x v="2"/>
    <x v="0"/>
    <x v="1"/>
    <x v="4"/>
    <x v="0"/>
    <n v="3"/>
    <n v="1"/>
    <x v="3"/>
    <x v="0"/>
    <n v="2"/>
    <x v="1"/>
    <n v="6"/>
    <x v="0"/>
    <x v="1"/>
    <x v="2"/>
    <x v="5"/>
    <x v="1"/>
    <x v="1"/>
    <x v="4"/>
    <x v="0"/>
    <x v="1"/>
    <x v="0"/>
    <s v="No Preference"/>
    <n v="10"/>
  </r>
  <r>
    <x v="360"/>
    <x v="13"/>
    <x v="1"/>
    <x v="0"/>
    <x v="1"/>
    <x v="3"/>
    <x v="0"/>
    <s v="São João dos Inhamuns"/>
    <x v="4"/>
    <n v="251.54"/>
    <x v="6"/>
    <x v="0"/>
    <x v="0"/>
    <x v="4"/>
    <x v="1"/>
    <n v="1"/>
    <n v="0"/>
    <x v="3"/>
    <x v="0"/>
    <n v="2"/>
    <x v="0"/>
    <n v="10"/>
    <x v="2"/>
    <x v="2"/>
    <x v="2"/>
    <x v="230"/>
    <x v="2"/>
    <x v="6"/>
    <x v="3"/>
    <x v="0"/>
    <x v="1"/>
    <x v="3"/>
    <s v="No Preference"/>
    <n v="1"/>
  </r>
  <r>
    <x v="361"/>
    <x v="10"/>
    <x v="1"/>
    <x v="0"/>
    <x v="1"/>
    <x v="0"/>
    <x v="1"/>
    <s v="Bollène"/>
    <x v="9"/>
    <n v="251.93"/>
    <x v="9"/>
    <x v="0"/>
    <x v="1"/>
    <x v="3"/>
    <x v="1"/>
    <n v="2"/>
    <n v="1"/>
    <x v="3"/>
    <x v="1"/>
    <n v="2"/>
    <x v="2"/>
    <n v="3"/>
    <x v="3"/>
    <x v="1"/>
    <x v="0"/>
    <x v="6"/>
    <x v="3"/>
    <x v="4"/>
    <x v="1"/>
    <x v="1"/>
    <x v="1"/>
    <x v="2"/>
    <s v="Standard"/>
    <n v="7"/>
  </r>
  <r>
    <x v="362"/>
    <x v="9"/>
    <x v="1"/>
    <x v="5"/>
    <x v="0"/>
    <x v="1"/>
    <x v="2"/>
    <s v="Naghalin"/>
    <x v="12"/>
    <n v="253.29"/>
    <x v="1"/>
    <x v="0"/>
    <x v="2"/>
    <x v="3"/>
    <x v="1"/>
    <n v="2"/>
    <n v="2"/>
    <x v="0"/>
    <x v="2"/>
    <n v="1"/>
    <x v="2"/>
    <n v="4"/>
    <x v="3"/>
    <x v="2"/>
    <x v="2"/>
    <x v="231"/>
    <x v="0"/>
    <x v="7"/>
    <x v="6"/>
    <x v="0"/>
    <x v="1"/>
    <x v="1"/>
    <s v="Standard"/>
    <n v="8"/>
  </r>
  <r>
    <x v="363"/>
    <x v="11"/>
    <x v="1"/>
    <x v="1"/>
    <x v="0"/>
    <x v="0"/>
    <x v="0"/>
    <s v="Banī Khaddāsh"/>
    <x v="12"/>
    <n v="253.37"/>
    <x v="1"/>
    <x v="0"/>
    <x v="1"/>
    <x v="0"/>
    <x v="1"/>
    <n v="1"/>
    <n v="1"/>
    <x v="0"/>
    <x v="1"/>
    <n v="2"/>
    <x v="0"/>
    <n v="10"/>
    <x v="1"/>
    <x v="1"/>
    <x v="4"/>
    <x v="171"/>
    <x v="3"/>
    <x v="9"/>
    <x v="3"/>
    <x v="0"/>
    <x v="1"/>
    <x v="3"/>
    <s v="Standard"/>
    <n v="8"/>
  </r>
  <r>
    <x v="364"/>
    <x v="11"/>
    <x v="1"/>
    <x v="1"/>
    <x v="0"/>
    <x v="2"/>
    <x v="0"/>
    <s v="Týn nad Vltavou"/>
    <x v="12"/>
    <n v="254.73"/>
    <x v="1"/>
    <x v="0"/>
    <x v="0"/>
    <x v="0"/>
    <x v="0"/>
    <n v="3"/>
    <n v="0"/>
    <x v="1"/>
    <x v="1"/>
    <n v="0"/>
    <x v="2"/>
    <n v="3"/>
    <x v="2"/>
    <x v="0"/>
    <x v="4"/>
    <x v="232"/>
    <x v="1"/>
    <x v="2"/>
    <x v="2"/>
    <x v="0"/>
    <x v="0"/>
    <x v="3"/>
    <s v="Express"/>
    <n v="3"/>
  </r>
  <r>
    <x v="365"/>
    <x v="12"/>
    <x v="1"/>
    <x v="5"/>
    <x v="0"/>
    <x v="2"/>
    <x v="2"/>
    <s v="Paya Dapur"/>
    <x v="8"/>
    <n v="254.83"/>
    <x v="5"/>
    <x v="0"/>
    <x v="2"/>
    <x v="2"/>
    <x v="1"/>
    <n v="2"/>
    <n v="1"/>
    <x v="0"/>
    <x v="2"/>
    <n v="1"/>
    <x v="2"/>
    <n v="2"/>
    <x v="2"/>
    <x v="2"/>
    <x v="3"/>
    <x v="112"/>
    <x v="2"/>
    <x v="8"/>
    <x v="3"/>
    <x v="1"/>
    <x v="1"/>
    <x v="0"/>
    <s v="Standard"/>
    <n v="1"/>
  </r>
  <r>
    <x v="366"/>
    <x v="16"/>
    <x v="1"/>
    <x v="0"/>
    <x v="1"/>
    <x v="2"/>
    <x v="1"/>
    <s v="Kristinehamn"/>
    <x v="10"/>
    <n v="255.42"/>
    <x v="6"/>
    <x v="0"/>
    <x v="2"/>
    <x v="4"/>
    <x v="2"/>
    <n v="5"/>
    <n v="2"/>
    <x v="0"/>
    <x v="2"/>
    <n v="1"/>
    <x v="0"/>
    <n v="9"/>
    <x v="3"/>
    <x v="1"/>
    <x v="2"/>
    <x v="233"/>
    <x v="1"/>
    <x v="10"/>
    <x v="4"/>
    <x v="0"/>
    <x v="0"/>
    <x v="3"/>
    <s v="Standard"/>
    <n v="11"/>
  </r>
  <r>
    <x v="367"/>
    <x v="10"/>
    <x v="1"/>
    <x v="0"/>
    <x v="0"/>
    <x v="1"/>
    <x v="2"/>
    <s v="Shuigou"/>
    <x v="8"/>
    <n v="256.63"/>
    <x v="0"/>
    <x v="0"/>
    <x v="1"/>
    <x v="2"/>
    <x v="2"/>
    <n v="4"/>
    <n v="0"/>
    <x v="3"/>
    <x v="2"/>
    <n v="2"/>
    <x v="2"/>
    <n v="2"/>
    <x v="3"/>
    <x v="0"/>
    <x v="0"/>
    <x v="128"/>
    <x v="1"/>
    <x v="2"/>
    <x v="0"/>
    <x v="0"/>
    <x v="0"/>
    <x v="3"/>
    <s v="Standard"/>
    <n v="10"/>
  </r>
  <r>
    <x v="368"/>
    <x v="15"/>
    <x v="1"/>
    <x v="0"/>
    <x v="1"/>
    <x v="0"/>
    <x v="0"/>
    <s v="Xiangshan"/>
    <x v="15"/>
    <n v="258.02"/>
    <x v="5"/>
    <x v="0"/>
    <x v="1"/>
    <x v="3"/>
    <x v="1"/>
    <n v="2"/>
    <n v="1"/>
    <x v="2"/>
    <x v="1"/>
    <n v="2"/>
    <x v="2"/>
    <n v="4"/>
    <x v="1"/>
    <x v="2"/>
    <x v="2"/>
    <x v="86"/>
    <x v="2"/>
    <x v="3"/>
    <x v="5"/>
    <x v="0"/>
    <x v="0"/>
    <x v="2"/>
    <s v="Express"/>
    <n v="13"/>
  </r>
  <r>
    <x v="369"/>
    <x v="10"/>
    <x v="1"/>
    <x v="1"/>
    <x v="0"/>
    <x v="2"/>
    <x v="0"/>
    <s v="Wangsi"/>
    <x v="11"/>
    <n v="263.57"/>
    <x v="5"/>
    <x v="0"/>
    <x v="2"/>
    <x v="1"/>
    <x v="0"/>
    <n v="3"/>
    <n v="0"/>
    <x v="3"/>
    <x v="2"/>
    <n v="1"/>
    <x v="0"/>
    <n v="9"/>
    <x v="3"/>
    <x v="1"/>
    <x v="2"/>
    <x v="234"/>
    <x v="2"/>
    <x v="3"/>
    <x v="6"/>
    <x v="0"/>
    <x v="0"/>
    <x v="3"/>
    <s v="Express"/>
    <n v="8"/>
  </r>
  <r>
    <x v="370"/>
    <x v="15"/>
    <x v="1"/>
    <x v="1"/>
    <x v="1"/>
    <x v="0"/>
    <x v="2"/>
    <s v="Gierłoż"/>
    <x v="10"/>
    <n v="265.72000000000003"/>
    <x v="3"/>
    <x v="0"/>
    <x v="2"/>
    <x v="4"/>
    <x v="2"/>
    <n v="4"/>
    <n v="0"/>
    <x v="0"/>
    <x v="1"/>
    <n v="0"/>
    <x v="0"/>
    <n v="9"/>
    <x v="3"/>
    <x v="1"/>
    <x v="0"/>
    <x v="235"/>
    <x v="0"/>
    <x v="5"/>
    <x v="4"/>
    <x v="0"/>
    <x v="0"/>
    <x v="1"/>
    <s v="Express"/>
    <n v="13"/>
  </r>
  <r>
    <x v="371"/>
    <x v="17"/>
    <x v="1"/>
    <x v="0"/>
    <x v="1"/>
    <x v="2"/>
    <x v="1"/>
    <s v="San Antonio Aguas Calientes"/>
    <x v="3"/>
    <n v="266.61"/>
    <x v="10"/>
    <x v="0"/>
    <x v="0"/>
    <x v="3"/>
    <x v="1"/>
    <n v="1"/>
    <n v="1"/>
    <x v="1"/>
    <x v="1"/>
    <n v="2"/>
    <x v="0"/>
    <n v="8"/>
    <x v="3"/>
    <x v="1"/>
    <x v="0"/>
    <x v="183"/>
    <x v="1"/>
    <x v="2"/>
    <x v="6"/>
    <x v="0"/>
    <x v="1"/>
    <x v="2"/>
    <s v="Standard"/>
    <n v="7"/>
  </r>
  <r>
    <x v="372"/>
    <x v="8"/>
    <x v="1"/>
    <x v="1"/>
    <x v="0"/>
    <x v="0"/>
    <x v="1"/>
    <s v="Binalbagan"/>
    <x v="9"/>
    <n v="268.58999999999997"/>
    <x v="8"/>
    <x v="0"/>
    <x v="0"/>
    <x v="3"/>
    <x v="0"/>
    <n v="3"/>
    <n v="1"/>
    <x v="3"/>
    <x v="1"/>
    <n v="1"/>
    <x v="2"/>
    <n v="1"/>
    <x v="0"/>
    <x v="2"/>
    <x v="0"/>
    <x v="236"/>
    <x v="0"/>
    <x v="5"/>
    <x v="5"/>
    <x v="0"/>
    <x v="0"/>
    <x v="2"/>
    <s v="Standard"/>
    <n v="3"/>
  </r>
  <r>
    <x v="373"/>
    <x v="15"/>
    <x v="1"/>
    <x v="1"/>
    <x v="1"/>
    <x v="1"/>
    <x v="0"/>
    <s v="Shchëkino"/>
    <x v="1"/>
    <n v="273.41000000000003"/>
    <x v="4"/>
    <x v="0"/>
    <x v="0"/>
    <x v="3"/>
    <x v="2"/>
    <n v="5"/>
    <n v="2"/>
    <x v="2"/>
    <x v="1"/>
    <n v="0"/>
    <x v="0"/>
    <n v="9"/>
    <x v="0"/>
    <x v="1"/>
    <x v="4"/>
    <x v="54"/>
    <x v="2"/>
    <x v="6"/>
    <x v="6"/>
    <x v="0"/>
    <x v="1"/>
    <x v="1"/>
    <s v="Standard"/>
    <n v="2"/>
  </r>
  <r>
    <x v="374"/>
    <x v="8"/>
    <x v="1"/>
    <x v="0"/>
    <x v="1"/>
    <x v="1"/>
    <x v="0"/>
    <s v="Ełk"/>
    <x v="18"/>
    <n v="276.77"/>
    <x v="5"/>
    <x v="0"/>
    <x v="2"/>
    <x v="2"/>
    <x v="1"/>
    <n v="1"/>
    <n v="2"/>
    <x v="2"/>
    <x v="1"/>
    <n v="1"/>
    <x v="2"/>
    <n v="2"/>
    <x v="1"/>
    <x v="0"/>
    <x v="1"/>
    <x v="237"/>
    <x v="0"/>
    <x v="0"/>
    <x v="0"/>
    <x v="0"/>
    <x v="0"/>
    <x v="0"/>
    <s v="No Preference"/>
    <n v="4"/>
  </r>
  <r>
    <x v="375"/>
    <x v="16"/>
    <x v="1"/>
    <x v="0"/>
    <x v="0"/>
    <x v="0"/>
    <x v="1"/>
    <s v="Araci"/>
    <x v="4"/>
    <n v="277.52"/>
    <x v="7"/>
    <x v="0"/>
    <x v="1"/>
    <x v="0"/>
    <x v="1"/>
    <n v="1"/>
    <n v="0"/>
    <x v="0"/>
    <x v="0"/>
    <n v="1"/>
    <x v="1"/>
    <n v="7"/>
    <x v="0"/>
    <x v="0"/>
    <x v="2"/>
    <x v="81"/>
    <x v="0"/>
    <x v="7"/>
    <x v="1"/>
    <x v="0"/>
    <x v="1"/>
    <x v="2"/>
    <s v="Standard"/>
    <n v="11"/>
  </r>
  <r>
    <x v="376"/>
    <x v="12"/>
    <x v="1"/>
    <x v="1"/>
    <x v="1"/>
    <x v="3"/>
    <x v="2"/>
    <s v="Eslāmābād"/>
    <x v="20"/>
    <n v="278.20999999999998"/>
    <x v="10"/>
    <x v="0"/>
    <x v="2"/>
    <x v="4"/>
    <x v="1"/>
    <n v="1"/>
    <n v="2"/>
    <x v="2"/>
    <x v="2"/>
    <n v="0"/>
    <x v="1"/>
    <n v="7"/>
    <x v="2"/>
    <x v="1"/>
    <x v="4"/>
    <x v="238"/>
    <x v="2"/>
    <x v="6"/>
    <x v="1"/>
    <x v="0"/>
    <x v="1"/>
    <x v="2"/>
    <s v="No Preference"/>
    <n v="14"/>
  </r>
  <r>
    <x v="377"/>
    <x v="15"/>
    <x v="1"/>
    <x v="0"/>
    <x v="0"/>
    <x v="2"/>
    <x v="0"/>
    <s v="Thaton"/>
    <x v="7"/>
    <n v="278.49"/>
    <x v="8"/>
    <x v="0"/>
    <x v="2"/>
    <x v="4"/>
    <x v="2"/>
    <n v="5"/>
    <n v="0"/>
    <x v="2"/>
    <x v="2"/>
    <n v="1"/>
    <x v="1"/>
    <n v="5"/>
    <x v="2"/>
    <x v="0"/>
    <x v="3"/>
    <x v="239"/>
    <x v="2"/>
    <x v="8"/>
    <x v="0"/>
    <x v="0"/>
    <x v="0"/>
    <x v="2"/>
    <s v="Express"/>
    <n v="8"/>
  </r>
  <r>
    <x v="378"/>
    <x v="17"/>
    <x v="1"/>
    <x v="1"/>
    <x v="0"/>
    <x v="3"/>
    <x v="0"/>
    <s v="Cali"/>
    <x v="4"/>
    <n v="279.33999999999997"/>
    <x v="3"/>
    <x v="0"/>
    <x v="2"/>
    <x v="3"/>
    <x v="1"/>
    <n v="1"/>
    <n v="0"/>
    <x v="1"/>
    <x v="1"/>
    <n v="2"/>
    <x v="1"/>
    <n v="6"/>
    <x v="2"/>
    <x v="1"/>
    <x v="2"/>
    <x v="240"/>
    <x v="1"/>
    <x v="1"/>
    <x v="6"/>
    <x v="1"/>
    <x v="0"/>
    <x v="0"/>
    <s v="No Preference"/>
    <n v="11"/>
  </r>
  <r>
    <x v="379"/>
    <x v="9"/>
    <x v="1"/>
    <x v="1"/>
    <x v="0"/>
    <x v="3"/>
    <x v="0"/>
    <s v="Celso Ramos"/>
    <x v="19"/>
    <n v="280.2"/>
    <x v="10"/>
    <x v="0"/>
    <x v="1"/>
    <x v="0"/>
    <x v="1"/>
    <n v="2"/>
    <n v="0"/>
    <x v="1"/>
    <x v="2"/>
    <n v="2"/>
    <x v="1"/>
    <n v="7"/>
    <x v="3"/>
    <x v="2"/>
    <x v="4"/>
    <x v="228"/>
    <x v="3"/>
    <x v="9"/>
    <x v="1"/>
    <x v="1"/>
    <x v="1"/>
    <x v="2"/>
    <s v="No Preference"/>
    <n v="13"/>
  </r>
  <r>
    <x v="380"/>
    <x v="12"/>
    <x v="1"/>
    <x v="1"/>
    <x v="0"/>
    <x v="2"/>
    <x v="0"/>
    <s v="Wailang"/>
    <x v="8"/>
    <n v="280.88"/>
    <x v="8"/>
    <x v="0"/>
    <x v="2"/>
    <x v="3"/>
    <x v="2"/>
    <n v="4"/>
    <n v="1"/>
    <x v="3"/>
    <x v="0"/>
    <n v="0"/>
    <x v="2"/>
    <n v="2"/>
    <x v="1"/>
    <x v="0"/>
    <x v="3"/>
    <x v="241"/>
    <x v="0"/>
    <x v="7"/>
    <x v="0"/>
    <x v="0"/>
    <x v="0"/>
    <x v="1"/>
    <s v="No Preference"/>
    <n v="2"/>
  </r>
  <r>
    <x v="381"/>
    <x v="14"/>
    <x v="1"/>
    <x v="0"/>
    <x v="0"/>
    <x v="1"/>
    <x v="2"/>
    <s v="Qingshandi"/>
    <x v="19"/>
    <n v="282.24"/>
    <x v="1"/>
    <x v="0"/>
    <x v="0"/>
    <x v="1"/>
    <x v="0"/>
    <n v="3"/>
    <n v="2"/>
    <x v="0"/>
    <x v="0"/>
    <n v="1"/>
    <x v="1"/>
    <n v="7"/>
    <x v="0"/>
    <x v="2"/>
    <x v="3"/>
    <x v="36"/>
    <x v="2"/>
    <x v="8"/>
    <x v="4"/>
    <x v="0"/>
    <x v="0"/>
    <x v="2"/>
    <s v="No Preference"/>
    <n v="1"/>
  </r>
  <r>
    <x v="382"/>
    <x v="17"/>
    <x v="1"/>
    <x v="1"/>
    <x v="0"/>
    <x v="2"/>
    <x v="0"/>
    <s v="Jiuxian"/>
    <x v="1"/>
    <n v="282.82"/>
    <x v="1"/>
    <x v="0"/>
    <x v="1"/>
    <x v="4"/>
    <x v="0"/>
    <n v="3"/>
    <n v="2"/>
    <x v="1"/>
    <x v="1"/>
    <n v="2"/>
    <x v="1"/>
    <n v="7"/>
    <x v="3"/>
    <x v="2"/>
    <x v="4"/>
    <x v="215"/>
    <x v="3"/>
    <x v="11"/>
    <x v="6"/>
    <x v="1"/>
    <x v="0"/>
    <x v="0"/>
    <s v="Standard"/>
    <n v="3"/>
  </r>
  <r>
    <x v="383"/>
    <x v="13"/>
    <x v="1"/>
    <x v="1"/>
    <x v="0"/>
    <x v="1"/>
    <x v="0"/>
    <s v="Mocho"/>
    <x v="7"/>
    <n v="283.77999999999997"/>
    <x v="8"/>
    <x v="0"/>
    <x v="2"/>
    <x v="1"/>
    <x v="2"/>
    <n v="4"/>
    <n v="1.2"/>
    <x v="0"/>
    <x v="2"/>
    <n v="0"/>
    <x v="1"/>
    <n v="6"/>
    <x v="3"/>
    <x v="0"/>
    <x v="0"/>
    <x v="56"/>
    <x v="1"/>
    <x v="1"/>
    <x v="5"/>
    <x v="0"/>
    <x v="1"/>
    <x v="2"/>
    <s v="Express"/>
    <n v="10"/>
  </r>
  <r>
    <x v="384"/>
    <x v="10"/>
    <x v="1"/>
    <x v="1"/>
    <x v="1"/>
    <x v="1"/>
    <x v="2"/>
    <s v="Strezhevoy"/>
    <x v="5"/>
    <n v="286.43"/>
    <x v="8"/>
    <x v="0"/>
    <x v="2"/>
    <x v="2"/>
    <x v="0"/>
    <n v="3"/>
    <n v="0"/>
    <x v="3"/>
    <x v="1"/>
    <n v="2"/>
    <x v="2"/>
    <n v="3"/>
    <x v="3"/>
    <x v="2"/>
    <x v="1"/>
    <x v="242"/>
    <x v="1"/>
    <x v="10"/>
    <x v="5"/>
    <x v="0"/>
    <x v="1"/>
    <x v="0"/>
    <s v="Express"/>
    <n v="14"/>
  </r>
  <r>
    <x v="385"/>
    <x v="10"/>
    <x v="1"/>
    <x v="1"/>
    <x v="0"/>
    <x v="1"/>
    <x v="2"/>
    <s v="At-Bashi"/>
    <x v="7"/>
    <n v="289.27999999999997"/>
    <x v="6"/>
    <x v="0"/>
    <x v="0"/>
    <x v="3"/>
    <x v="2"/>
    <n v="5"/>
    <n v="1"/>
    <x v="3"/>
    <x v="2"/>
    <n v="2"/>
    <x v="1"/>
    <n v="7"/>
    <x v="0"/>
    <x v="1"/>
    <x v="2"/>
    <x v="143"/>
    <x v="1"/>
    <x v="2"/>
    <x v="2"/>
    <x v="1"/>
    <x v="0"/>
    <x v="0"/>
    <s v="Express"/>
    <n v="13"/>
  </r>
  <r>
    <x v="386"/>
    <x v="9"/>
    <x v="1"/>
    <x v="0"/>
    <x v="1"/>
    <x v="0"/>
    <x v="1"/>
    <s v="Ponte"/>
    <x v="10"/>
    <n v="291.08999999999997"/>
    <x v="7"/>
    <x v="0"/>
    <x v="0"/>
    <x v="1"/>
    <x v="1"/>
    <n v="2"/>
    <n v="2"/>
    <x v="0"/>
    <x v="2"/>
    <n v="0"/>
    <x v="0"/>
    <n v="9"/>
    <x v="1"/>
    <x v="0"/>
    <x v="2"/>
    <x v="243"/>
    <x v="2"/>
    <x v="6"/>
    <x v="0"/>
    <x v="0"/>
    <x v="1"/>
    <x v="2"/>
    <s v="No Preference"/>
    <n v="1"/>
  </r>
  <r>
    <x v="387"/>
    <x v="14"/>
    <x v="1"/>
    <x v="0"/>
    <x v="1"/>
    <x v="1"/>
    <x v="2"/>
    <s v="Dhībīn"/>
    <x v="9"/>
    <n v="291.60000000000002"/>
    <x v="5"/>
    <x v="0"/>
    <x v="1"/>
    <x v="3"/>
    <x v="0"/>
    <n v="3"/>
    <n v="2"/>
    <x v="3"/>
    <x v="2"/>
    <n v="0"/>
    <x v="1"/>
    <n v="7"/>
    <x v="3"/>
    <x v="2"/>
    <x v="1"/>
    <x v="244"/>
    <x v="1"/>
    <x v="1"/>
    <x v="6"/>
    <x v="1"/>
    <x v="0"/>
    <x v="2"/>
    <s v="Standard"/>
    <n v="3"/>
  </r>
  <r>
    <x v="388"/>
    <x v="13"/>
    <x v="1"/>
    <x v="2"/>
    <x v="1"/>
    <x v="3"/>
    <x v="2"/>
    <s v="Beizhakou"/>
    <x v="1"/>
    <n v="293.64"/>
    <x v="10"/>
    <x v="0"/>
    <x v="1"/>
    <x v="1"/>
    <x v="1"/>
    <n v="1"/>
    <n v="2"/>
    <x v="2"/>
    <x v="0"/>
    <n v="2"/>
    <x v="0"/>
    <n v="8"/>
    <x v="3"/>
    <x v="1"/>
    <x v="3"/>
    <x v="115"/>
    <x v="2"/>
    <x v="8"/>
    <x v="1"/>
    <x v="0"/>
    <x v="1"/>
    <x v="3"/>
    <s v="Express"/>
    <n v="5"/>
  </r>
  <r>
    <x v="389"/>
    <x v="8"/>
    <x v="1"/>
    <x v="1"/>
    <x v="1"/>
    <x v="2"/>
    <x v="1"/>
    <s v="San Pablo"/>
    <x v="8"/>
    <n v="294.99"/>
    <x v="8"/>
    <x v="0"/>
    <x v="0"/>
    <x v="3"/>
    <x v="2"/>
    <n v="5"/>
    <n v="2"/>
    <x v="2"/>
    <x v="2"/>
    <n v="1"/>
    <x v="2"/>
    <n v="4"/>
    <x v="1"/>
    <x v="2"/>
    <x v="2"/>
    <x v="245"/>
    <x v="2"/>
    <x v="3"/>
    <x v="2"/>
    <x v="1"/>
    <x v="1"/>
    <x v="2"/>
    <s v="Standard"/>
    <n v="5"/>
  </r>
  <r>
    <x v="390"/>
    <x v="17"/>
    <x v="1"/>
    <x v="0"/>
    <x v="1"/>
    <x v="3"/>
    <x v="1"/>
    <s v="Bucaramanga"/>
    <x v="8"/>
    <n v="295.75"/>
    <x v="8"/>
    <x v="0"/>
    <x v="2"/>
    <x v="2"/>
    <x v="1"/>
    <n v="1"/>
    <n v="0"/>
    <x v="3"/>
    <x v="2"/>
    <n v="1"/>
    <x v="0"/>
    <n v="10"/>
    <x v="2"/>
    <x v="1"/>
    <x v="3"/>
    <x v="246"/>
    <x v="3"/>
    <x v="9"/>
    <x v="2"/>
    <x v="0"/>
    <x v="0"/>
    <x v="2"/>
    <s v="Standard"/>
    <n v="8"/>
  </r>
  <r>
    <x v="391"/>
    <x v="12"/>
    <x v="1"/>
    <x v="1"/>
    <x v="0"/>
    <x v="2"/>
    <x v="0"/>
    <s v="Kisovec"/>
    <x v="8"/>
    <n v="297.24"/>
    <x v="5"/>
    <x v="0"/>
    <x v="2"/>
    <x v="2"/>
    <x v="2"/>
    <n v="4"/>
    <n v="0"/>
    <x v="1"/>
    <x v="0"/>
    <n v="0"/>
    <x v="0"/>
    <n v="9"/>
    <x v="1"/>
    <x v="2"/>
    <x v="2"/>
    <x v="143"/>
    <x v="1"/>
    <x v="2"/>
    <x v="2"/>
    <x v="0"/>
    <x v="0"/>
    <x v="1"/>
    <s v="Express"/>
    <n v="7"/>
  </r>
  <r>
    <x v="392"/>
    <x v="14"/>
    <x v="1"/>
    <x v="7"/>
    <x v="1"/>
    <x v="3"/>
    <x v="0"/>
    <s v="Colima"/>
    <x v="16"/>
    <n v="297.29000000000002"/>
    <x v="6"/>
    <x v="0"/>
    <x v="0"/>
    <x v="4"/>
    <x v="2"/>
    <n v="4"/>
    <n v="2"/>
    <x v="0"/>
    <x v="0"/>
    <n v="0"/>
    <x v="0"/>
    <n v="9"/>
    <x v="2"/>
    <x v="0"/>
    <x v="1"/>
    <x v="247"/>
    <x v="3"/>
    <x v="4"/>
    <x v="4"/>
    <x v="0"/>
    <x v="0"/>
    <x v="2"/>
    <s v="Standard"/>
    <n v="3"/>
  </r>
  <r>
    <x v="393"/>
    <x v="17"/>
    <x v="1"/>
    <x v="1"/>
    <x v="0"/>
    <x v="0"/>
    <x v="0"/>
    <s v="Ţāqchah Khānah"/>
    <x v="3"/>
    <n v="299.27999999999997"/>
    <x v="0"/>
    <x v="0"/>
    <x v="2"/>
    <x v="0"/>
    <x v="2"/>
    <n v="5"/>
    <n v="1"/>
    <x v="3"/>
    <x v="2"/>
    <n v="0"/>
    <x v="0"/>
    <n v="9"/>
    <x v="1"/>
    <x v="0"/>
    <x v="0"/>
    <x v="87"/>
    <x v="0"/>
    <x v="7"/>
    <x v="3"/>
    <x v="1"/>
    <x v="1"/>
    <x v="0"/>
    <s v="Standard"/>
    <n v="3"/>
  </r>
  <r>
    <x v="394"/>
    <x v="9"/>
    <x v="1"/>
    <x v="0"/>
    <x v="1"/>
    <x v="1"/>
    <x v="2"/>
    <s v="Centenario"/>
    <x v="17"/>
    <n v="299.75"/>
    <x v="0"/>
    <x v="0"/>
    <x v="2"/>
    <x v="1"/>
    <x v="2"/>
    <n v="5"/>
    <n v="0.3"/>
    <x v="2"/>
    <x v="1"/>
    <n v="0"/>
    <x v="2"/>
    <n v="4"/>
    <x v="2"/>
    <x v="2"/>
    <x v="3"/>
    <x v="216"/>
    <x v="1"/>
    <x v="10"/>
    <x v="5"/>
    <x v="1"/>
    <x v="0"/>
    <x v="2"/>
    <s v="No Preference"/>
    <n v="7"/>
  </r>
  <r>
    <x v="395"/>
    <x v="12"/>
    <x v="1"/>
    <x v="1"/>
    <x v="1"/>
    <x v="2"/>
    <x v="1"/>
    <s v="Xuedian"/>
    <x v="12"/>
    <n v="301.39"/>
    <x v="1"/>
    <x v="0"/>
    <x v="0"/>
    <x v="1"/>
    <x v="1"/>
    <n v="1"/>
    <n v="0"/>
    <x v="0"/>
    <x v="1"/>
    <n v="1"/>
    <x v="2"/>
    <n v="4"/>
    <x v="2"/>
    <x v="2"/>
    <x v="0"/>
    <x v="74"/>
    <x v="0"/>
    <x v="5"/>
    <x v="0"/>
    <x v="1"/>
    <x v="1"/>
    <x v="2"/>
    <s v="No Preference"/>
    <n v="11"/>
  </r>
  <r>
    <x v="396"/>
    <x v="10"/>
    <x v="1"/>
    <x v="0"/>
    <x v="1"/>
    <x v="1"/>
    <x v="2"/>
    <s v="Ţawr al Bāḩah"/>
    <x v="16"/>
    <n v="303.13"/>
    <x v="5"/>
    <x v="0"/>
    <x v="0"/>
    <x v="2"/>
    <x v="1"/>
    <n v="1"/>
    <n v="1"/>
    <x v="3"/>
    <x v="0"/>
    <n v="0"/>
    <x v="1"/>
    <n v="7"/>
    <x v="0"/>
    <x v="2"/>
    <x v="0"/>
    <x v="248"/>
    <x v="3"/>
    <x v="4"/>
    <x v="6"/>
    <x v="1"/>
    <x v="0"/>
    <x v="2"/>
    <s v="Standard"/>
    <n v="10"/>
  </r>
  <r>
    <x v="397"/>
    <x v="11"/>
    <x v="1"/>
    <x v="1"/>
    <x v="0"/>
    <x v="0"/>
    <x v="0"/>
    <s v="Gandapura"/>
    <x v="11"/>
    <n v="305.29000000000002"/>
    <x v="10"/>
    <x v="0"/>
    <x v="0"/>
    <x v="1"/>
    <x v="0"/>
    <n v="3"/>
    <n v="1"/>
    <x v="1"/>
    <x v="1"/>
    <n v="1"/>
    <x v="0"/>
    <n v="8"/>
    <x v="0"/>
    <x v="2"/>
    <x v="0"/>
    <x v="109"/>
    <x v="2"/>
    <x v="8"/>
    <x v="6"/>
    <x v="0"/>
    <x v="0"/>
    <x v="3"/>
    <s v="Standard"/>
    <n v="10"/>
  </r>
  <r>
    <x v="398"/>
    <x v="12"/>
    <x v="1"/>
    <x v="4"/>
    <x v="1"/>
    <x v="2"/>
    <x v="2"/>
    <s v="Daszewice"/>
    <x v="14"/>
    <n v="305.45"/>
    <x v="5"/>
    <x v="0"/>
    <x v="2"/>
    <x v="4"/>
    <x v="2"/>
    <n v="5"/>
    <n v="1"/>
    <x v="0"/>
    <x v="1"/>
    <n v="1"/>
    <x v="2"/>
    <n v="1"/>
    <x v="1"/>
    <x v="0"/>
    <x v="2"/>
    <x v="63"/>
    <x v="2"/>
    <x v="6"/>
    <x v="6"/>
    <x v="1"/>
    <x v="0"/>
    <x v="3"/>
    <s v="Express"/>
    <n v="9"/>
  </r>
  <r>
    <x v="399"/>
    <x v="12"/>
    <x v="1"/>
    <x v="0"/>
    <x v="0"/>
    <x v="1"/>
    <x v="2"/>
    <s v="Metchosin"/>
    <x v="7"/>
    <n v="309.22000000000003"/>
    <x v="3"/>
    <x v="0"/>
    <x v="2"/>
    <x v="3"/>
    <x v="2"/>
    <n v="5"/>
    <n v="2"/>
    <x v="2"/>
    <x v="0"/>
    <n v="2"/>
    <x v="2"/>
    <n v="4"/>
    <x v="3"/>
    <x v="1"/>
    <x v="1"/>
    <x v="51"/>
    <x v="0"/>
    <x v="0"/>
    <x v="0"/>
    <x v="1"/>
    <x v="1"/>
    <x v="1"/>
    <s v="Standard"/>
    <n v="10"/>
  </r>
  <r>
    <x v="400"/>
    <x v="9"/>
    <x v="1"/>
    <x v="0"/>
    <x v="1"/>
    <x v="0"/>
    <x v="2"/>
    <s v="Chum Phae"/>
    <x v="14"/>
    <n v="310.16000000000003"/>
    <x v="3"/>
    <x v="0"/>
    <x v="2"/>
    <x v="4"/>
    <x v="0"/>
    <n v="3"/>
    <n v="1"/>
    <x v="0"/>
    <x v="2"/>
    <n v="0"/>
    <x v="2"/>
    <n v="4"/>
    <x v="1"/>
    <x v="2"/>
    <x v="1"/>
    <x v="212"/>
    <x v="3"/>
    <x v="9"/>
    <x v="0"/>
    <x v="1"/>
    <x v="1"/>
    <x v="2"/>
    <s v="Standard"/>
    <n v="14"/>
  </r>
  <r>
    <x v="401"/>
    <x v="14"/>
    <x v="1"/>
    <x v="1"/>
    <x v="0"/>
    <x v="3"/>
    <x v="2"/>
    <s v="Fullerton"/>
    <x v="6"/>
    <n v="310.17"/>
    <x v="1"/>
    <x v="0"/>
    <x v="1"/>
    <x v="1"/>
    <x v="0"/>
    <n v="3"/>
    <n v="2"/>
    <x v="1"/>
    <x v="1"/>
    <n v="0"/>
    <x v="0"/>
    <n v="10"/>
    <x v="3"/>
    <x v="0"/>
    <x v="0"/>
    <x v="104"/>
    <x v="3"/>
    <x v="11"/>
    <x v="2"/>
    <x v="1"/>
    <x v="1"/>
    <x v="0"/>
    <s v="No Preference"/>
    <n v="13"/>
  </r>
  <r>
    <x v="402"/>
    <x v="14"/>
    <x v="1"/>
    <x v="1"/>
    <x v="1"/>
    <x v="1"/>
    <x v="0"/>
    <s v="Masoyila"/>
    <x v="10"/>
    <n v="315.02999999999997"/>
    <x v="8"/>
    <x v="0"/>
    <x v="0"/>
    <x v="2"/>
    <x v="2"/>
    <n v="5"/>
    <n v="0"/>
    <x v="3"/>
    <x v="1"/>
    <n v="1"/>
    <x v="1"/>
    <n v="6"/>
    <x v="2"/>
    <x v="1"/>
    <x v="2"/>
    <x v="199"/>
    <x v="2"/>
    <x v="3"/>
    <x v="0"/>
    <x v="0"/>
    <x v="1"/>
    <x v="1"/>
    <s v="Express"/>
    <n v="2"/>
  </r>
  <r>
    <x v="403"/>
    <x v="10"/>
    <x v="1"/>
    <x v="0"/>
    <x v="0"/>
    <x v="2"/>
    <x v="2"/>
    <s v="Nowe Brzesko"/>
    <x v="13"/>
    <n v="317.08999999999997"/>
    <x v="1"/>
    <x v="0"/>
    <x v="0"/>
    <x v="2"/>
    <x v="1"/>
    <n v="1"/>
    <n v="1"/>
    <x v="3"/>
    <x v="0"/>
    <n v="2"/>
    <x v="2"/>
    <n v="2"/>
    <x v="1"/>
    <x v="2"/>
    <x v="4"/>
    <x v="9"/>
    <x v="0"/>
    <x v="5"/>
    <x v="6"/>
    <x v="0"/>
    <x v="1"/>
    <x v="3"/>
    <s v="Standard"/>
    <n v="4"/>
  </r>
  <r>
    <x v="404"/>
    <x v="17"/>
    <x v="1"/>
    <x v="0"/>
    <x v="1"/>
    <x v="1"/>
    <x v="1"/>
    <s v="Langkou"/>
    <x v="14"/>
    <n v="318.45"/>
    <x v="2"/>
    <x v="0"/>
    <x v="1"/>
    <x v="1"/>
    <x v="1"/>
    <n v="1"/>
    <n v="2"/>
    <x v="0"/>
    <x v="2"/>
    <n v="2"/>
    <x v="2"/>
    <n v="4"/>
    <x v="1"/>
    <x v="0"/>
    <x v="4"/>
    <x v="108"/>
    <x v="2"/>
    <x v="6"/>
    <x v="5"/>
    <x v="1"/>
    <x v="0"/>
    <x v="1"/>
    <s v="No Preference"/>
    <n v="5"/>
  </r>
  <r>
    <x v="405"/>
    <x v="17"/>
    <x v="1"/>
    <x v="0"/>
    <x v="0"/>
    <x v="2"/>
    <x v="0"/>
    <s v="Al Jīzah"/>
    <x v="13"/>
    <n v="319.38"/>
    <x v="6"/>
    <x v="0"/>
    <x v="1"/>
    <x v="0"/>
    <x v="1"/>
    <n v="1"/>
    <n v="0"/>
    <x v="2"/>
    <x v="0"/>
    <n v="1"/>
    <x v="1"/>
    <n v="6"/>
    <x v="1"/>
    <x v="1"/>
    <x v="2"/>
    <x v="229"/>
    <x v="2"/>
    <x v="3"/>
    <x v="5"/>
    <x v="0"/>
    <x v="0"/>
    <x v="2"/>
    <s v="No Preference"/>
    <n v="8"/>
  </r>
  <r>
    <x v="406"/>
    <x v="17"/>
    <x v="1"/>
    <x v="0"/>
    <x v="1"/>
    <x v="1"/>
    <x v="0"/>
    <s v="Mozdok"/>
    <x v="17"/>
    <n v="325.42"/>
    <x v="7"/>
    <x v="0"/>
    <x v="1"/>
    <x v="1"/>
    <x v="2"/>
    <n v="4"/>
    <n v="2"/>
    <x v="2"/>
    <x v="0"/>
    <n v="1"/>
    <x v="2"/>
    <n v="1"/>
    <x v="1"/>
    <x v="2"/>
    <x v="4"/>
    <x v="26"/>
    <x v="2"/>
    <x v="6"/>
    <x v="0"/>
    <x v="0"/>
    <x v="1"/>
    <x v="3"/>
    <s v="Express"/>
    <n v="7"/>
  </r>
  <r>
    <x v="407"/>
    <x v="15"/>
    <x v="1"/>
    <x v="0"/>
    <x v="0"/>
    <x v="3"/>
    <x v="1"/>
    <s v="Baisha"/>
    <x v="2"/>
    <n v="326.08"/>
    <x v="7"/>
    <x v="0"/>
    <x v="1"/>
    <x v="0"/>
    <x v="0"/>
    <n v="3"/>
    <n v="2"/>
    <x v="1"/>
    <x v="0"/>
    <n v="2"/>
    <x v="1"/>
    <n v="6"/>
    <x v="0"/>
    <x v="1"/>
    <x v="2"/>
    <x v="173"/>
    <x v="1"/>
    <x v="2"/>
    <x v="0"/>
    <x v="0"/>
    <x v="0"/>
    <x v="3"/>
    <s v="Express"/>
    <n v="8"/>
  </r>
  <r>
    <x v="408"/>
    <x v="14"/>
    <x v="1"/>
    <x v="0"/>
    <x v="0"/>
    <x v="1"/>
    <x v="2"/>
    <s v="Jolo"/>
    <x v="7"/>
    <n v="326.82"/>
    <x v="8"/>
    <x v="0"/>
    <x v="2"/>
    <x v="3"/>
    <x v="1"/>
    <n v="2"/>
    <n v="1"/>
    <x v="3"/>
    <x v="2"/>
    <n v="2"/>
    <x v="1"/>
    <n v="5"/>
    <x v="0"/>
    <x v="1"/>
    <x v="3"/>
    <x v="235"/>
    <x v="0"/>
    <x v="5"/>
    <x v="4"/>
    <x v="0"/>
    <x v="1"/>
    <x v="1"/>
    <s v="Standard"/>
    <n v="4"/>
  </r>
  <r>
    <x v="409"/>
    <x v="14"/>
    <x v="1"/>
    <x v="0"/>
    <x v="0"/>
    <x v="2"/>
    <x v="0"/>
    <s v="Lenart v Slov. Goricah"/>
    <x v="20"/>
    <n v="327.05"/>
    <x v="6"/>
    <x v="0"/>
    <x v="2"/>
    <x v="4"/>
    <x v="2"/>
    <n v="4"/>
    <n v="0"/>
    <x v="2"/>
    <x v="2"/>
    <n v="2"/>
    <x v="2"/>
    <n v="3"/>
    <x v="1"/>
    <x v="2"/>
    <x v="1"/>
    <x v="100"/>
    <x v="1"/>
    <x v="1"/>
    <x v="1"/>
    <x v="1"/>
    <x v="0"/>
    <x v="2"/>
    <s v="No Preference"/>
    <n v="7"/>
  </r>
  <r>
    <x v="410"/>
    <x v="16"/>
    <x v="1"/>
    <x v="0"/>
    <x v="1"/>
    <x v="3"/>
    <x v="1"/>
    <s v="Semiletka"/>
    <x v="0"/>
    <n v="327.32"/>
    <x v="1"/>
    <x v="0"/>
    <x v="2"/>
    <x v="0"/>
    <x v="2"/>
    <n v="5"/>
    <n v="0"/>
    <x v="0"/>
    <x v="2"/>
    <n v="0"/>
    <x v="2"/>
    <n v="4"/>
    <x v="1"/>
    <x v="1"/>
    <x v="4"/>
    <x v="249"/>
    <x v="1"/>
    <x v="2"/>
    <x v="0"/>
    <x v="0"/>
    <x v="0"/>
    <x v="3"/>
    <s v="Express"/>
    <n v="13"/>
  </r>
  <r>
    <x v="411"/>
    <x v="9"/>
    <x v="1"/>
    <x v="5"/>
    <x v="1"/>
    <x v="1"/>
    <x v="2"/>
    <s v="Holboo"/>
    <x v="6"/>
    <n v="328.36"/>
    <x v="7"/>
    <x v="0"/>
    <x v="1"/>
    <x v="2"/>
    <x v="2"/>
    <n v="4"/>
    <n v="2"/>
    <x v="3"/>
    <x v="1"/>
    <n v="0"/>
    <x v="2"/>
    <n v="4"/>
    <x v="3"/>
    <x v="1"/>
    <x v="1"/>
    <x v="141"/>
    <x v="0"/>
    <x v="0"/>
    <x v="4"/>
    <x v="1"/>
    <x v="0"/>
    <x v="0"/>
    <s v="Express"/>
    <n v="4"/>
  </r>
  <r>
    <x v="412"/>
    <x v="11"/>
    <x v="1"/>
    <x v="0"/>
    <x v="1"/>
    <x v="2"/>
    <x v="0"/>
    <s v="Oekero"/>
    <x v="13"/>
    <n v="332.79"/>
    <x v="7"/>
    <x v="0"/>
    <x v="0"/>
    <x v="3"/>
    <x v="2"/>
    <n v="5"/>
    <n v="2"/>
    <x v="0"/>
    <x v="0"/>
    <n v="2"/>
    <x v="2"/>
    <n v="1"/>
    <x v="1"/>
    <x v="1"/>
    <x v="2"/>
    <x v="225"/>
    <x v="1"/>
    <x v="1"/>
    <x v="6"/>
    <x v="1"/>
    <x v="1"/>
    <x v="0"/>
    <s v="No Preference"/>
    <n v="4"/>
  </r>
  <r>
    <x v="413"/>
    <x v="9"/>
    <x v="1"/>
    <x v="1"/>
    <x v="1"/>
    <x v="0"/>
    <x v="0"/>
    <s v="Tigaherang"/>
    <x v="2"/>
    <n v="335.8"/>
    <x v="6"/>
    <x v="0"/>
    <x v="2"/>
    <x v="3"/>
    <x v="2"/>
    <n v="5"/>
    <n v="1"/>
    <x v="0"/>
    <x v="2"/>
    <n v="2"/>
    <x v="1"/>
    <n v="7"/>
    <x v="2"/>
    <x v="0"/>
    <x v="0"/>
    <x v="250"/>
    <x v="3"/>
    <x v="11"/>
    <x v="2"/>
    <x v="0"/>
    <x v="1"/>
    <x v="0"/>
    <s v="Standard"/>
    <n v="5"/>
  </r>
  <r>
    <x v="414"/>
    <x v="17"/>
    <x v="1"/>
    <x v="1"/>
    <x v="0"/>
    <x v="3"/>
    <x v="1"/>
    <s v="Xinzha"/>
    <x v="5"/>
    <n v="336.89"/>
    <x v="8"/>
    <x v="0"/>
    <x v="0"/>
    <x v="1"/>
    <x v="1"/>
    <n v="1"/>
    <n v="2"/>
    <x v="1"/>
    <x v="1"/>
    <n v="1"/>
    <x v="1"/>
    <n v="7"/>
    <x v="1"/>
    <x v="0"/>
    <x v="3"/>
    <x v="132"/>
    <x v="1"/>
    <x v="2"/>
    <x v="4"/>
    <x v="1"/>
    <x v="1"/>
    <x v="1"/>
    <s v="Express"/>
    <n v="9"/>
  </r>
  <r>
    <x v="415"/>
    <x v="15"/>
    <x v="1"/>
    <x v="0"/>
    <x v="1"/>
    <x v="0"/>
    <x v="0"/>
    <s v="Al Qārah"/>
    <x v="2"/>
    <n v="337.17"/>
    <x v="9"/>
    <x v="0"/>
    <x v="1"/>
    <x v="4"/>
    <x v="2"/>
    <n v="5"/>
    <n v="0"/>
    <x v="2"/>
    <x v="0"/>
    <n v="1"/>
    <x v="1"/>
    <n v="6"/>
    <x v="0"/>
    <x v="1"/>
    <x v="3"/>
    <x v="251"/>
    <x v="1"/>
    <x v="10"/>
    <x v="5"/>
    <x v="1"/>
    <x v="0"/>
    <x v="0"/>
    <s v="No Preference"/>
    <n v="3"/>
  </r>
  <r>
    <x v="416"/>
    <x v="14"/>
    <x v="1"/>
    <x v="0"/>
    <x v="1"/>
    <x v="3"/>
    <x v="0"/>
    <s v="Bagahanlad"/>
    <x v="4"/>
    <n v="338.2"/>
    <x v="4"/>
    <x v="0"/>
    <x v="0"/>
    <x v="3"/>
    <x v="2"/>
    <n v="5"/>
    <n v="0"/>
    <x v="0"/>
    <x v="0"/>
    <n v="1"/>
    <x v="0"/>
    <n v="9"/>
    <x v="0"/>
    <x v="1"/>
    <x v="4"/>
    <x v="202"/>
    <x v="2"/>
    <x v="8"/>
    <x v="0"/>
    <x v="0"/>
    <x v="1"/>
    <x v="0"/>
    <s v="Standard"/>
    <n v="7"/>
  </r>
  <r>
    <x v="417"/>
    <x v="15"/>
    <x v="1"/>
    <x v="1"/>
    <x v="0"/>
    <x v="1"/>
    <x v="0"/>
    <s v="Zhongzhang"/>
    <x v="8"/>
    <n v="338.6"/>
    <x v="2"/>
    <x v="0"/>
    <x v="1"/>
    <x v="2"/>
    <x v="0"/>
    <n v="3"/>
    <n v="2"/>
    <x v="1"/>
    <x v="2"/>
    <n v="1"/>
    <x v="2"/>
    <n v="3"/>
    <x v="0"/>
    <x v="2"/>
    <x v="4"/>
    <x v="138"/>
    <x v="1"/>
    <x v="1"/>
    <x v="2"/>
    <x v="1"/>
    <x v="1"/>
    <x v="1"/>
    <s v="No Preference"/>
    <n v="9"/>
  </r>
  <r>
    <x v="418"/>
    <x v="15"/>
    <x v="1"/>
    <x v="5"/>
    <x v="1"/>
    <x v="0"/>
    <x v="0"/>
    <s v="‘Arad"/>
    <x v="4"/>
    <n v="339.32"/>
    <x v="6"/>
    <x v="0"/>
    <x v="1"/>
    <x v="1"/>
    <x v="2"/>
    <n v="4"/>
    <n v="0"/>
    <x v="1"/>
    <x v="1"/>
    <n v="1"/>
    <x v="2"/>
    <n v="4"/>
    <x v="1"/>
    <x v="1"/>
    <x v="4"/>
    <x v="109"/>
    <x v="2"/>
    <x v="8"/>
    <x v="6"/>
    <x v="1"/>
    <x v="1"/>
    <x v="2"/>
    <s v="No Preference"/>
    <n v="7"/>
  </r>
  <r>
    <x v="419"/>
    <x v="17"/>
    <x v="1"/>
    <x v="0"/>
    <x v="0"/>
    <x v="0"/>
    <x v="2"/>
    <s v="Trhové Sviny"/>
    <x v="20"/>
    <n v="340.55"/>
    <x v="4"/>
    <x v="0"/>
    <x v="1"/>
    <x v="0"/>
    <x v="2"/>
    <n v="5"/>
    <n v="0"/>
    <x v="2"/>
    <x v="0"/>
    <n v="0"/>
    <x v="1"/>
    <n v="7"/>
    <x v="3"/>
    <x v="2"/>
    <x v="3"/>
    <x v="107"/>
    <x v="2"/>
    <x v="3"/>
    <x v="1"/>
    <x v="1"/>
    <x v="0"/>
    <x v="1"/>
    <s v="Express"/>
    <n v="1"/>
  </r>
  <r>
    <x v="420"/>
    <x v="10"/>
    <x v="1"/>
    <x v="0"/>
    <x v="0"/>
    <x v="1"/>
    <x v="0"/>
    <s v="Dragash"/>
    <x v="8"/>
    <n v="342.99"/>
    <x v="10"/>
    <x v="0"/>
    <x v="1"/>
    <x v="0"/>
    <x v="1"/>
    <n v="2"/>
    <n v="2"/>
    <x v="2"/>
    <x v="1"/>
    <n v="0"/>
    <x v="1"/>
    <n v="6"/>
    <x v="0"/>
    <x v="0"/>
    <x v="4"/>
    <x v="252"/>
    <x v="2"/>
    <x v="3"/>
    <x v="5"/>
    <x v="1"/>
    <x v="0"/>
    <x v="3"/>
    <s v="Express"/>
    <n v="6"/>
  </r>
  <r>
    <x v="421"/>
    <x v="12"/>
    <x v="1"/>
    <x v="1"/>
    <x v="0"/>
    <x v="0"/>
    <x v="1"/>
    <s v="Emar"/>
    <x v="8"/>
    <n v="344.43"/>
    <x v="4"/>
    <x v="0"/>
    <x v="0"/>
    <x v="3"/>
    <x v="2"/>
    <n v="5"/>
    <n v="0"/>
    <x v="1"/>
    <x v="0"/>
    <n v="2"/>
    <x v="2"/>
    <n v="4"/>
    <x v="0"/>
    <x v="2"/>
    <x v="3"/>
    <x v="242"/>
    <x v="1"/>
    <x v="10"/>
    <x v="5"/>
    <x v="0"/>
    <x v="1"/>
    <x v="3"/>
    <s v="Standard"/>
    <n v="5"/>
  </r>
  <r>
    <x v="422"/>
    <x v="9"/>
    <x v="1"/>
    <x v="0"/>
    <x v="0"/>
    <x v="3"/>
    <x v="0"/>
    <s v="Panagyurishte"/>
    <x v="19"/>
    <n v="344.81"/>
    <x v="2"/>
    <x v="0"/>
    <x v="1"/>
    <x v="3"/>
    <x v="1"/>
    <n v="1"/>
    <n v="2"/>
    <x v="2"/>
    <x v="2"/>
    <n v="1"/>
    <x v="0"/>
    <n v="9"/>
    <x v="1"/>
    <x v="2"/>
    <x v="4"/>
    <x v="253"/>
    <x v="3"/>
    <x v="9"/>
    <x v="4"/>
    <x v="0"/>
    <x v="0"/>
    <x v="0"/>
    <s v="Express"/>
    <n v="14"/>
  </r>
  <r>
    <x v="423"/>
    <x v="11"/>
    <x v="1"/>
    <x v="4"/>
    <x v="0"/>
    <x v="0"/>
    <x v="0"/>
    <s v="Isla Verde"/>
    <x v="10"/>
    <n v="348.5"/>
    <x v="10"/>
    <x v="0"/>
    <x v="2"/>
    <x v="1"/>
    <x v="0"/>
    <n v="3"/>
    <n v="2"/>
    <x v="0"/>
    <x v="0"/>
    <n v="0"/>
    <x v="1"/>
    <n v="6"/>
    <x v="0"/>
    <x v="0"/>
    <x v="0"/>
    <x v="45"/>
    <x v="1"/>
    <x v="10"/>
    <x v="1"/>
    <x v="1"/>
    <x v="1"/>
    <x v="1"/>
    <s v="No Preference"/>
    <n v="8"/>
  </r>
  <r>
    <x v="424"/>
    <x v="8"/>
    <x v="1"/>
    <x v="1"/>
    <x v="0"/>
    <x v="2"/>
    <x v="2"/>
    <s v="Phúc Thọ"/>
    <x v="2"/>
    <n v="349"/>
    <x v="2"/>
    <x v="0"/>
    <x v="2"/>
    <x v="3"/>
    <x v="2"/>
    <n v="5"/>
    <n v="1"/>
    <x v="2"/>
    <x v="0"/>
    <n v="1"/>
    <x v="1"/>
    <n v="5"/>
    <x v="2"/>
    <x v="2"/>
    <x v="2"/>
    <x v="254"/>
    <x v="3"/>
    <x v="4"/>
    <x v="4"/>
    <x v="1"/>
    <x v="0"/>
    <x v="1"/>
    <s v="No Preference"/>
    <n v="10"/>
  </r>
  <r>
    <x v="425"/>
    <x v="14"/>
    <x v="1"/>
    <x v="1"/>
    <x v="1"/>
    <x v="1"/>
    <x v="2"/>
    <s v="Hoolt"/>
    <x v="5"/>
    <n v="351.36"/>
    <x v="5"/>
    <x v="0"/>
    <x v="1"/>
    <x v="4"/>
    <x v="0"/>
    <n v="3"/>
    <n v="2"/>
    <x v="3"/>
    <x v="1"/>
    <n v="2"/>
    <x v="1"/>
    <n v="6"/>
    <x v="3"/>
    <x v="2"/>
    <x v="4"/>
    <x v="144"/>
    <x v="3"/>
    <x v="11"/>
    <x v="5"/>
    <x v="1"/>
    <x v="0"/>
    <x v="2"/>
    <s v="Standard"/>
    <n v="7"/>
  </r>
  <r>
    <x v="426"/>
    <x v="15"/>
    <x v="1"/>
    <x v="0"/>
    <x v="0"/>
    <x v="3"/>
    <x v="1"/>
    <s v="Ebebiyin"/>
    <x v="4"/>
    <n v="351.54"/>
    <x v="7"/>
    <x v="1"/>
    <x v="2"/>
    <x v="2"/>
    <x v="0"/>
    <n v="3"/>
    <n v="2"/>
    <x v="0"/>
    <x v="2"/>
    <n v="0"/>
    <x v="0"/>
    <n v="8"/>
    <x v="3"/>
    <x v="1"/>
    <x v="2"/>
    <x v="255"/>
    <x v="0"/>
    <x v="0"/>
    <x v="6"/>
    <x v="0"/>
    <x v="1"/>
    <x v="1"/>
    <s v="Express"/>
    <n v="12"/>
  </r>
  <r>
    <x v="427"/>
    <x v="8"/>
    <x v="1"/>
    <x v="0"/>
    <x v="1"/>
    <x v="1"/>
    <x v="0"/>
    <s v="Hongqi"/>
    <x v="8"/>
    <n v="353.4"/>
    <x v="5"/>
    <x v="0"/>
    <x v="0"/>
    <x v="1"/>
    <x v="0"/>
    <n v="3"/>
    <n v="2"/>
    <x v="1"/>
    <x v="1"/>
    <n v="0"/>
    <x v="2"/>
    <n v="1"/>
    <x v="2"/>
    <x v="1"/>
    <x v="3"/>
    <x v="102"/>
    <x v="3"/>
    <x v="9"/>
    <x v="5"/>
    <x v="1"/>
    <x v="0"/>
    <x v="3"/>
    <s v="No Preference"/>
    <n v="3"/>
  </r>
  <r>
    <x v="428"/>
    <x v="11"/>
    <x v="1"/>
    <x v="1"/>
    <x v="0"/>
    <x v="0"/>
    <x v="0"/>
    <s v="Marseille"/>
    <x v="15"/>
    <n v="354.7"/>
    <x v="3"/>
    <x v="0"/>
    <x v="0"/>
    <x v="0"/>
    <x v="1"/>
    <n v="2"/>
    <n v="0"/>
    <x v="0"/>
    <x v="1"/>
    <n v="2"/>
    <x v="1"/>
    <n v="7"/>
    <x v="3"/>
    <x v="0"/>
    <x v="4"/>
    <x v="250"/>
    <x v="3"/>
    <x v="11"/>
    <x v="2"/>
    <x v="0"/>
    <x v="1"/>
    <x v="1"/>
    <s v="Express"/>
    <n v="12"/>
  </r>
  <r>
    <x v="429"/>
    <x v="9"/>
    <x v="1"/>
    <x v="1"/>
    <x v="1"/>
    <x v="0"/>
    <x v="0"/>
    <s v="Dhahab"/>
    <x v="0"/>
    <n v="354.92"/>
    <x v="9"/>
    <x v="1"/>
    <x v="2"/>
    <x v="4"/>
    <x v="2"/>
    <n v="4"/>
    <n v="0"/>
    <x v="0"/>
    <x v="2"/>
    <n v="0"/>
    <x v="2"/>
    <n v="1"/>
    <x v="3"/>
    <x v="1"/>
    <x v="0"/>
    <x v="256"/>
    <x v="3"/>
    <x v="11"/>
    <x v="2"/>
    <x v="0"/>
    <x v="0"/>
    <x v="0"/>
    <s v="Express"/>
    <n v="13"/>
  </r>
  <r>
    <x v="430"/>
    <x v="16"/>
    <x v="1"/>
    <x v="1"/>
    <x v="0"/>
    <x v="0"/>
    <x v="2"/>
    <s v="San Juan del Cesar"/>
    <x v="1"/>
    <n v="356.87"/>
    <x v="0"/>
    <x v="1"/>
    <x v="2"/>
    <x v="2"/>
    <x v="2"/>
    <n v="4"/>
    <n v="0"/>
    <x v="3"/>
    <x v="0"/>
    <n v="1"/>
    <x v="0"/>
    <n v="9"/>
    <x v="0"/>
    <x v="0"/>
    <x v="0"/>
    <x v="67"/>
    <x v="2"/>
    <x v="6"/>
    <x v="2"/>
    <x v="1"/>
    <x v="0"/>
    <x v="3"/>
    <s v="Standard"/>
    <n v="10"/>
  </r>
  <r>
    <x v="431"/>
    <x v="14"/>
    <x v="1"/>
    <x v="2"/>
    <x v="0"/>
    <x v="2"/>
    <x v="0"/>
    <s v="Tamana"/>
    <x v="11"/>
    <n v="358.5"/>
    <x v="10"/>
    <x v="0"/>
    <x v="0"/>
    <x v="3"/>
    <x v="2"/>
    <n v="4"/>
    <n v="2"/>
    <x v="1"/>
    <x v="1"/>
    <n v="2"/>
    <x v="2"/>
    <n v="3"/>
    <x v="3"/>
    <x v="1"/>
    <x v="1"/>
    <x v="135"/>
    <x v="2"/>
    <x v="3"/>
    <x v="6"/>
    <x v="1"/>
    <x v="0"/>
    <x v="3"/>
    <s v="Standard"/>
    <n v="8"/>
  </r>
  <r>
    <x v="432"/>
    <x v="17"/>
    <x v="1"/>
    <x v="1"/>
    <x v="0"/>
    <x v="2"/>
    <x v="0"/>
    <s v="Mgachi"/>
    <x v="5"/>
    <n v="359.94"/>
    <x v="7"/>
    <x v="1"/>
    <x v="2"/>
    <x v="1"/>
    <x v="2"/>
    <n v="5"/>
    <n v="2"/>
    <x v="0"/>
    <x v="1"/>
    <n v="1"/>
    <x v="0"/>
    <n v="8"/>
    <x v="2"/>
    <x v="0"/>
    <x v="1"/>
    <x v="257"/>
    <x v="3"/>
    <x v="9"/>
    <x v="6"/>
    <x v="1"/>
    <x v="0"/>
    <x v="0"/>
    <s v="Express"/>
    <n v="9"/>
  </r>
  <r>
    <x v="433"/>
    <x v="14"/>
    <x v="1"/>
    <x v="0"/>
    <x v="0"/>
    <x v="0"/>
    <x v="1"/>
    <s v="Zamora"/>
    <x v="11"/>
    <n v="360.91"/>
    <x v="8"/>
    <x v="0"/>
    <x v="2"/>
    <x v="3"/>
    <x v="2"/>
    <n v="5"/>
    <n v="1"/>
    <x v="3"/>
    <x v="2"/>
    <n v="0"/>
    <x v="0"/>
    <n v="8"/>
    <x v="1"/>
    <x v="2"/>
    <x v="3"/>
    <x v="118"/>
    <x v="1"/>
    <x v="1"/>
    <x v="5"/>
    <x v="0"/>
    <x v="0"/>
    <x v="1"/>
    <s v="No Preference"/>
    <n v="4"/>
  </r>
  <r>
    <x v="434"/>
    <x v="13"/>
    <x v="1"/>
    <x v="0"/>
    <x v="0"/>
    <x v="2"/>
    <x v="2"/>
    <s v="Kazo"/>
    <x v="5"/>
    <n v="363.98"/>
    <x v="8"/>
    <x v="0"/>
    <x v="0"/>
    <x v="0"/>
    <x v="2"/>
    <n v="4"/>
    <n v="1"/>
    <x v="0"/>
    <x v="2"/>
    <n v="2"/>
    <x v="1"/>
    <n v="7"/>
    <x v="3"/>
    <x v="1"/>
    <x v="2"/>
    <x v="30"/>
    <x v="0"/>
    <x v="7"/>
    <x v="4"/>
    <x v="0"/>
    <x v="0"/>
    <x v="1"/>
    <s v="Express"/>
    <n v="1"/>
  </r>
  <r>
    <x v="435"/>
    <x v="10"/>
    <x v="1"/>
    <x v="5"/>
    <x v="1"/>
    <x v="1"/>
    <x v="2"/>
    <s v="Tarata"/>
    <x v="12"/>
    <n v="364.48"/>
    <x v="5"/>
    <x v="0"/>
    <x v="2"/>
    <x v="3"/>
    <x v="0"/>
    <n v="3"/>
    <n v="0.2"/>
    <x v="0"/>
    <x v="1"/>
    <n v="2"/>
    <x v="1"/>
    <n v="5"/>
    <x v="3"/>
    <x v="0"/>
    <x v="4"/>
    <x v="258"/>
    <x v="2"/>
    <x v="8"/>
    <x v="6"/>
    <x v="1"/>
    <x v="1"/>
    <x v="1"/>
    <s v="No Preference"/>
    <n v="13"/>
  </r>
  <r>
    <x v="436"/>
    <x v="12"/>
    <x v="1"/>
    <x v="0"/>
    <x v="1"/>
    <x v="3"/>
    <x v="1"/>
    <s v="Nyköping"/>
    <x v="10"/>
    <n v="370.54"/>
    <x v="5"/>
    <x v="0"/>
    <x v="1"/>
    <x v="3"/>
    <x v="0"/>
    <n v="3"/>
    <n v="0"/>
    <x v="2"/>
    <x v="1"/>
    <n v="1"/>
    <x v="0"/>
    <n v="9"/>
    <x v="2"/>
    <x v="0"/>
    <x v="3"/>
    <x v="91"/>
    <x v="0"/>
    <x v="0"/>
    <x v="4"/>
    <x v="0"/>
    <x v="1"/>
    <x v="3"/>
    <s v="No Preference"/>
    <n v="7"/>
  </r>
  <r>
    <x v="437"/>
    <x v="10"/>
    <x v="1"/>
    <x v="1"/>
    <x v="0"/>
    <x v="0"/>
    <x v="1"/>
    <s v="Besko"/>
    <x v="16"/>
    <n v="370.73"/>
    <x v="4"/>
    <x v="1"/>
    <x v="0"/>
    <x v="3"/>
    <x v="1"/>
    <n v="2"/>
    <n v="1"/>
    <x v="3"/>
    <x v="0"/>
    <n v="0"/>
    <x v="0"/>
    <n v="9"/>
    <x v="1"/>
    <x v="0"/>
    <x v="0"/>
    <x v="259"/>
    <x v="1"/>
    <x v="1"/>
    <x v="0"/>
    <x v="1"/>
    <x v="0"/>
    <x v="2"/>
    <s v="No Preference"/>
    <n v="7"/>
  </r>
  <r>
    <x v="438"/>
    <x v="17"/>
    <x v="1"/>
    <x v="1"/>
    <x v="1"/>
    <x v="0"/>
    <x v="1"/>
    <s v="Reuleuet"/>
    <x v="11"/>
    <n v="371.84"/>
    <x v="6"/>
    <x v="1"/>
    <x v="1"/>
    <x v="4"/>
    <x v="2"/>
    <n v="4"/>
    <n v="0"/>
    <x v="0"/>
    <x v="0"/>
    <n v="2"/>
    <x v="1"/>
    <n v="6"/>
    <x v="3"/>
    <x v="1"/>
    <x v="4"/>
    <x v="20"/>
    <x v="1"/>
    <x v="10"/>
    <x v="0"/>
    <x v="1"/>
    <x v="0"/>
    <x v="3"/>
    <s v="Standard"/>
    <n v="2"/>
  </r>
  <r>
    <x v="439"/>
    <x v="14"/>
    <x v="1"/>
    <x v="0"/>
    <x v="1"/>
    <x v="3"/>
    <x v="2"/>
    <s v="Marshintsy"/>
    <x v="20"/>
    <n v="372.49"/>
    <x v="0"/>
    <x v="1"/>
    <x v="0"/>
    <x v="0"/>
    <x v="0"/>
    <n v="3"/>
    <n v="0"/>
    <x v="3"/>
    <x v="1"/>
    <n v="0"/>
    <x v="1"/>
    <n v="5"/>
    <x v="0"/>
    <x v="2"/>
    <x v="0"/>
    <x v="240"/>
    <x v="1"/>
    <x v="1"/>
    <x v="6"/>
    <x v="0"/>
    <x v="1"/>
    <x v="1"/>
    <s v="No Preference"/>
    <n v="7"/>
  </r>
  <r>
    <x v="440"/>
    <x v="17"/>
    <x v="1"/>
    <x v="1"/>
    <x v="0"/>
    <x v="2"/>
    <x v="0"/>
    <s v="Gävle"/>
    <x v="20"/>
    <n v="372.6"/>
    <x v="10"/>
    <x v="0"/>
    <x v="2"/>
    <x v="0"/>
    <x v="2"/>
    <n v="5"/>
    <n v="1"/>
    <x v="3"/>
    <x v="1"/>
    <n v="2"/>
    <x v="1"/>
    <n v="6"/>
    <x v="2"/>
    <x v="1"/>
    <x v="2"/>
    <x v="167"/>
    <x v="3"/>
    <x v="4"/>
    <x v="6"/>
    <x v="0"/>
    <x v="0"/>
    <x v="1"/>
    <s v="Express"/>
    <n v="10"/>
  </r>
  <r>
    <x v="441"/>
    <x v="14"/>
    <x v="1"/>
    <x v="0"/>
    <x v="1"/>
    <x v="0"/>
    <x v="0"/>
    <s v="Parumasan"/>
    <x v="20"/>
    <n v="373.69"/>
    <x v="2"/>
    <x v="1"/>
    <x v="0"/>
    <x v="3"/>
    <x v="1"/>
    <n v="2"/>
    <n v="2"/>
    <x v="1"/>
    <x v="0"/>
    <n v="1"/>
    <x v="0"/>
    <n v="8"/>
    <x v="3"/>
    <x v="1"/>
    <x v="3"/>
    <x v="52"/>
    <x v="3"/>
    <x v="9"/>
    <x v="3"/>
    <x v="1"/>
    <x v="0"/>
    <x v="3"/>
    <s v="Express"/>
    <n v="14"/>
  </r>
  <r>
    <x v="442"/>
    <x v="10"/>
    <x v="1"/>
    <x v="7"/>
    <x v="0"/>
    <x v="1"/>
    <x v="0"/>
    <s v="Borova"/>
    <x v="8"/>
    <n v="375.45"/>
    <x v="1"/>
    <x v="0"/>
    <x v="0"/>
    <x v="3"/>
    <x v="2"/>
    <n v="4"/>
    <n v="0"/>
    <x v="3"/>
    <x v="0"/>
    <n v="1"/>
    <x v="0"/>
    <n v="8"/>
    <x v="0"/>
    <x v="0"/>
    <x v="4"/>
    <x v="93"/>
    <x v="0"/>
    <x v="5"/>
    <x v="0"/>
    <x v="1"/>
    <x v="0"/>
    <x v="3"/>
    <s v="Express"/>
    <n v="1"/>
  </r>
  <r>
    <x v="443"/>
    <x v="17"/>
    <x v="1"/>
    <x v="0"/>
    <x v="1"/>
    <x v="1"/>
    <x v="1"/>
    <s v="Fengtai"/>
    <x v="12"/>
    <n v="377.67"/>
    <x v="9"/>
    <x v="1"/>
    <x v="0"/>
    <x v="4"/>
    <x v="0"/>
    <n v="3"/>
    <n v="0"/>
    <x v="0"/>
    <x v="1"/>
    <n v="2"/>
    <x v="2"/>
    <n v="1"/>
    <x v="1"/>
    <x v="2"/>
    <x v="2"/>
    <x v="180"/>
    <x v="0"/>
    <x v="7"/>
    <x v="4"/>
    <x v="0"/>
    <x v="1"/>
    <x v="2"/>
    <s v="No Preference"/>
    <n v="14"/>
  </r>
  <r>
    <x v="444"/>
    <x v="11"/>
    <x v="1"/>
    <x v="1"/>
    <x v="1"/>
    <x v="1"/>
    <x v="2"/>
    <s v="Messina"/>
    <x v="13"/>
    <n v="377.77"/>
    <x v="6"/>
    <x v="1"/>
    <x v="2"/>
    <x v="0"/>
    <x v="1"/>
    <n v="2"/>
    <n v="1"/>
    <x v="1"/>
    <x v="0"/>
    <n v="1"/>
    <x v="1"/>
    <n v="5"/>
    <x v="0"/>
    <x v="1"/>
    <x v="3"/>
    <x v="121"/>
    <x v="1"/>
    <x v="1"/>
    <x v="4"/>
    <x v="0"/>
    <x v="0"/>
    <x v="3"/>
    <s v="Standard"/>
    <n v="3"/>
  </r>
  <r>
    <x v="445"/>
    <x v="9"/>
    <x v="1"/>
    <x v="1"/>
    <x v="0"/>
    <x v="1"/>
    <x v="2"/>
    <s v="Gjegjan"/>
    <x v="5"/>
    <n v="380.99"/>
    <x v="4"/>
    <x v="1"/>
    <x v="2"/>
    <x v="2"/>
    <x v="1"/>
    <n v="2"/>
    <n v="1"/>
    <x v="2"/>
    <x v="2"/>
    <n v="0"/>
    <x v="2"/>
    <n v="1"/>
    <x v="0"/>
    <x v="2"/>
    <x v="1"/>
    <x v="154"/>
    <x v="3"/>
    <x v="9"/>
    <x v="4"/>
    <x v="0"/>
    <x v="0"/>
    <x v="2"/>
    <s v="No Preference"/>
    <n v="8"/>
  </r>
  <r>
    <x v="446"/>
    <x v="15"/>
    <x v="1"/>
    <x v="0"/>
    <x v="0"/>
    <x v="3"/>
    <x v="1"/>
    <s v="Monrovia"/>
    <x v="12"/>
    <n v="382.49"/>
    <x v="1"/>
    <x v="0"/>
    <x v="1"/>
    <x v="0"/>
    <x v="1"/>
    <n v="2"/>
    <n v="2"/>
    <x v="0"/>
    <x v="1"/>
    <n v="2"/>
    <x v="2"/>
    <n v="3"/>
    <x v="0"/>
    <x v="1"/>
    <x v="0"/>
    <x v="92"/>
    <x v="3"/>
    <x v="11"/>
    <x v="6"/>
    <x v="0"/>
    <x v="1"/>
    <x v="3"/>
    <s v="No Preference"/>
    <n v="1"/>
  </r>
  <r>
    <x v="447"/>
    <x v="17"/>
    <x v="1"/>
    <x v="1"/>
    <x v="1"/>
    <x v="2"/>
    <x v="1"/>
    <s v="Luoting"/>
    <x v="10"/>
    <n v="385.32"/>
    <x v="2"/>
    <x v="1"/>
    <x v="0"/>
    <x v="2"/>
    <x v="1"/>
    <n v="1"/>
    <n v="1"/>
    <x v="2"/>
    <x v="1"/>
    <n v="0"/>
    <x v="2"/>
    <n v="1"/>
    <x v="0"/>
    <x v="0"/>
    <x v="2"/>
    <x v="109"/>
    <x v="2"/>
    <x v="8"/>
    <x v="6"/>
    <x v="0"/>
    <x v="0"/>
    <x v="3"/>
    <s v="Standard"/>
    <n v="9"/>
  </r>
  <r>
    <x v="448"/>
    <x v="9"/>
    <x v="1"/>
    <x v="1"/>
    <x v="0"/>
    <x v="3"/>
    <x v="0"/>
    <s v="Messíni"/>
    <x v="12"/>
    <n v="388.01"/>
    <x v="5"/>
    <x v="0"/>
    <x v="0"/>
    <x v="2"/>
    <x v="2"/>
    <n v="5"/>
    <n v="1"/>
    <x v="3"/>
    <x v="1"/>
    <n v="1"/>
    <x v="2"/>
    <n v="2"/>
    <x v="3"/>
    <x v="1"/>
    <x v="2"/>
    <x v="107"/>
    <x v="2"/>
    <x v="3"/>
    <x v="1"/>
    <x v="1"/>
    <x v="0"/>
    <x v="0"/>
    <s v="Standard"/>
    <n v="10"/>
  </r>
  <r>
    <x v="449"/>
    <x v="11"/>
    <x v="1"/>
    <x v="0"/>
    <x v="1"/>
    <x v="0"/>
    <x v="2"/>
    <s v="Cunha"/>
    <x v="20"/>
    <n v="388.26"/>
    <x v="5"/>
    <x v="0"/>
    <x v="2"/>
    <x v="3"/>
    <x v="1"/>
    <n v="1"/>
    <n v="1"/>
    <x v="3"/>
    <x v="0"/>
    <n v="0"/>
    <x v="1"/>
    <n v="7"/>
    <x v="3"/>
    <x v="0"/>
    <x v="3"/>
    <x v="61"/>
    <x v="0"/>
    <x v="5"/>
    <x v="1"/>
    <x v="1"/>
    <x v="1"/>
    <x v="1"/>
    <s v="No Preference"/>
    <n v="5"/>
  </r>
  <r>
    <x v="450"/>
    <x v="12"/>
    <x v="1"/>
    <x v="0"/>
    <x v="1"/>
    <x v="3"/>
    <x v="0"/>
    <s v="Fubin"/>
    <x v="18"/>
    <n v="389.47"/>
    <x v="8"/>
    <x v="0"/>
    <x v="1"/>
    <x v="4"/>
    <x v="0"/>
    <n v="3"/>
    <n v="2"/>
    <x v="2"/>
    <x v="0"/>
    <n v="1"/>
    <x v="0"/>
    <n v="9"/>
    <x v="1"/>
    <x v="2"/>
    <x v="3"/>
    <x v="260"/>
    <x v="3"/>
    <x v="11"/>
    <x v="0"/>
    <x v="0"/>
    <x v="0"/>
    <x v="0"/>
    <s v="Standard"/>
    <n v="6"/>
  </r>
  <r>
    <x v="451"/>
    <x v="11"/>
    <x v="1"/>
    <x v="0"/>
    <x v="1"/>
    <x v="2"/>
    <x v="0"/>
    <s v="Punta Gorda"/>
    <x v="3"/>
    <n v="389.7"/>
    <x v="0"/>
    <x v="1"/>
    <x v="1"/>
    <x v="2"/>
    <x v="2"/>
    <n v="4"/>
    <n v="0.5"/>
    <x v="2"/>
    <x v="0"/>
    <n v="0"/>
    <x v="2"/>
    <n v="4"/>
    <x v="1"/>
    <x v="2"/>
    <x v="2"/>
    <x v="119"/>
    <x v="1"/>
    <x v="10"/>
    <x v="1"/>
    <x v="0"/>
    <x v="1"/>
    <x v="1"/>
    <s v="Express"/>
    <n v="12"/>
  </r>
  <r>
    <x v="452"/>
    <x v="14"/>
    <x v="1"/>
    <x v="1"/>
    <x v="0"/>
    <x v="1"/>
    <x v="1"/>
    <s v="Pilaya"/>
    <x v="18"/>
    <n v="391.38"/>
    <x v="3"/>
    <x v="0"/>
    <x v="1"/>
    <x v="4"/>
    <x v="1"/>
    <n v="2"/>
    <n v="2"/>
    <x v="2"/>
    <x v="0"/>
    <n v="0"/>
    <x v="1"/>
    <n v="7"/>
    <x v="2"/>
    <x v="1"/>
    <x v="4"/>
    <x v="61"/>
    <x v="0"/>
    <x v="5"/>
    <x v="1"/>
    <x v="1"/>
    <x v="1"/>
    <x v="2"/>
    <s v="No Preference"/>
    <n v="8"/>
  </r>
  <r>
    <x v="453"/>
    <x v="17"/>
    <x v="1"/>
    <x v="1"/>
    <x v="0"/>
    <x v="2"/>
    <x v="1"/>
    <s v="Luci"/>
    <x v="17"/>
    <n v="392.27"/>
    <x v="3"/>
    <x v="0"/>
    <x v="2"/>
    <x v="0"/>
    <x v="2"/>
    <n v="5"/>
    <n v="1"/>
    <x v="3"/>
    <x v="0"/>
    <n v="0"/>
    <x v="2"/>
    <n v="2"/>
    <x v="2"/>
    <x v="1"/>
    <x v="4"/>
    <x v="79"/>
    <x v="1"/>
    <x v="10"/>
    <x v="3"/>
    <x v="0"/>
    <x v="1"/>
    <x v="0"/>
    <s v="No Preference"/>
    <n v="7"/>
  </r>
  <r>
    <x v="454"/>
    <x v="9"/>
    <x v="1"/>
    <x v="1"/>
    <x v="0"/>
    <x v="0"/>
    <x v="0"/>
    <s v="Gordon Town"/>
    <x v="8"/>
    <n v="393.03"/>
    <x v="8"/>
    <x v="0"/>
    <x v="2"/>
    <x v="0"/>
    <x v="2"/>
    <n v="4"/>
    <n v="0"/>
    <x v="3"/>
    <x v="2"/>
    <n v="1"/>
    <x v="2"/>
    <n v="3"/>
    <x v="0"/>
    <x v="0"/>
    <x v="1"/>
    <x v="68"/>
    <x v="2"/>
    <x v="8"/>
    <x v="1"/>
    <x v="0"/>
    <x v="0"/>
    <x v="1"/>
    <s v="Standard"/>
    <n v="7"/>
  </r>
  <r>
    <x v="455"/>
    <x v="14"/>
    <x v="1"/>
    <x v="0"/>
    <x v="0"/>
    <x v="3"/>
    <x v="0"/>
    <s v="Gualeguay"/>
    <x v="10"/>
    <n v="393.09"/>
    <x v="9"/>
    <x v="1"/>
    <x v="0"/>
    <x v="4"/>
    <x v="0"/>
    <n v="3"/>
    <n v="2"/>
    <x v="1"/>
    <x v="2"/>
    <n v="0"/>
    <x v="2"/>
    <n v="3"/>
    <x v="0"/>
    <x v="1"/>
    <x v="1"/>
    <x v="9"/>
    <x v="0"/>
    <x v="5"/>
    <x v="6"/>
    <x v="1"/>
    <x v="0"/>
    <x v="1"/>
    <s v="Standard"/>
    <n v="1"/>
  </r>
  <r>
    <x v="456"/>
    <x v="13"/>
    <x v="1"/>
    <x v="1"/>
    <x v="1"/>
    <x v="0"/>
    <x v="0"/>
    <s v="Hunkuyi"/>
    <x v="13"/>
    <n v="395.97"/>
    <x v="6"/>
    <x v="1"/>
    <x v="1"/>
    <x v="2"/>
    <x v="2"/>
    <n v="4"/>
    <n v="0"/>
    <x v="1"/>
    <x v="1"/>
    <n v="1"/>
    <x v="1"/>
    <n v="6"/>
    <x v="2"/>
    <x v="1"/>
    <x v="0"/>
    <x v="259"/>
    <x v="1"/>
    <x v="1"/>
    <x v="0"/>
    <x v="0"/>
    <x v="0"/>
    <x v="0"/>
    <s v="Standard"/>
    <n v="1"/>
  </r>
  <r>
    <x v="457"/>
    <x v="8"/>
    <x v="1"/>
    <x v="1"/>
    <x v="1"/>
    <x v="2"/>
    <x v="0"/>
    <s v="Kaum Kaler"/>
    <x v="20"/>
    <n v="397.78"/>
    <x v="0"/>
    <x v="1"/>
    <x v="0"/>
    <x v="3"/>
    <x v="0"/>
    <n v="3"/>
    <n v="1"/>
    <x v="1"/>
    <x v="0"/>
    <n v="2"/>
    <x v="1"/>
    <n v="7"/>
    <x v="0"/>
    <x v="0"/>
    <x v="2"/>
    <x v="40"/>
    <x v="2"/>
    <x v="8"/>
    <x v="1"/>
    <x v="1"/>
    <x v="0"/>
    <x v="3"/>
    <s v="No Preference"/>
    <n v="11"/>
  </r>
  <r>
    <x v="458"/>
    <x v="16"/>
    <x v="1"/>
    <x v="1"/>
    <x v="1"/>
    <x v="0"/>
    <x v="1"/>
    <s v="Mulhouse"/>
    <x v="15"/>
    <n v="399.24"/>
    <x v="4"/>
    <x v="1"/>
    <x v="1"/>
    <x v="0"/>
    <x v="1"/>
    <n v="2"/>
    <n v="1"/>
    <x v="1"/>
    <x v="1"/>
    <n v="1"/>
    <x v="2"/>
    <n v="2"/>
    <x v="0"/>
    <x v="0"/>
    <x v="0"/>
    <x v="17"/>
    <x v="1"/>
    <x v="2"/>
    <x v="5"/>
    <x v="1"/>
    <x v="1"/>
    <x v="2"/>
    <s v="Standard"/>
    <n v="10"/>
  </r>
  <r>
    <x v="459"/>
    <x v="14"/>
    <x v="1"/>
    <x v="1"/>
    <x v="0"/>
    <x v="1"/>
    <x v="1"/>
    <s v="Przelewice"/>
    <x v="8"/>
    <n v="402.86"/>
    <x v="7"/>
    <x v="1"/>
    <x v="1"/>
    <x v="3"/>
    <x v="2"/>
    <n v="5"/>
    <n v="1"/>
    <x v="3"/>
    <x v="0"/>
    <n v="0"/>
    <x v="2"/>
    <n v="2"/>
    <x v="3"/>
    <x v="2"/>
    <x v="1"/>
    <x v="109"/>
    <x v="2"/>
    <x v="8"/>
    <x v="6"/>
    <x v="1"/>
    <x v="1"/>
    <x v="3"/>
    <s v="Standard"/>
    <n v="8"/>
  </r>
  <r>
    <x v="460"/>
    <x v="8"/>
    <x v="1"/>
    <x v="0"/>
    <x v="0"/>
    <x v="0"/>
    <x v="0"/>
    <s v="‘Aşīrah ash Shamālīyah"/>
    <x v="5"/>
    <n v="404.12"/>
    <x v="1"/>
    <x v="0"/>
    <x v="1"/>
    <x v="2"/>
    <x v="0"/>
    <n v="3"/>
    <n v="1"/>
    <x v="3"/>
    <x v="1"/>
    <n v="0"/>
    <x v="2"/>
    <n v="4"/>
    <x v="2"/>
    <x v="0"/>
    <x v="0"/>
    <x v="215"/>
    <x v="3"/>
    <x v="11"/>
    <x v="6"/>
    <x v="1"/>
    <x v="1"/>
    <x v="3"/>
    <s v="Express"/>
    <n v="11"/>
  </r>
  <r>
    <x v="461"/>
    <x v="16"/>
    <x v="1"/>
    <x v="0"/>
    <x v="1"/>
    <x v="0"/>
    <x v="2"/>
    <s v="Pingtian"/>
    <x v="19"/>
    <n v="405.66"/>
    <x v="7"/>
    <x v="1"/>
    <x v="0"/>
    <x v="4"/>
    <x v="1"/>
    <n v="2"/>
    <n v="1"/>
    <x v="1"/>
    <x v="2"/>
    <n v="1"/>
    <x v="2"/>
    <n v="3"/>
    <x v="1"/>
    <x v="1"/>
    <x v="1"/>
    <x v="43"/>
    <x v="0"/>
    <x v="5"/>
    <x v="2"/>
    <x v="0"/>
    <x v="1"/>
    <x v="3"/>
    <s v="Express"/>
    <n v="11"/>
  </r>
  <r>
    <x v="462"/>
    <x v="17"/>
    <x v="1"/>
    <x v="0"/>
    <x v="1"/>
    <x v="1"/>
    <x v="1"/>
    <s v="Sauri"/>
    <x v="8"/>
    <n v="408.81"/>
    <x v="9"/>
    <x v="1"/>
    <x v="2"/>
    <x v="4"/>
    <x v="2"/>
    <n v="4"/>
    <n v="2"/>
    <x v="2"/>
    <x v="1"/>
    <n v="1"/>
    <x v="2"/>
    <n v="3"/>
    <x v="0"/>
    <x v="2"/>
    <x v="0"/>
    <x v="134"/>
    <x v="1"/>
    <x v="10"/>
    <x v="1"/>
    <x v="1"/>
    <x v="0"/>
    <x v="0"/>
    <s v="Express"/>
    <n v="12"/>
  </r>
  <r>
    <x v="463"/>
    <x v="10"/>
    <x v="1"/>
    <x v="0"/>
    <x v="1"/>
    <x v="0"/>
    <x v="1"/>
    <s v="Chivilcoy"/>
    <x v="15"/>
    <n v="411.83"/>
    <x v="5"/>
    <x v="0"/>
    <x v="1"/>
    <x v="1"/>
    <x v="0"/>
    <n v="3"/>
    <n v="2"/>
    <x v="3"/>
    <x v="0"/>
    <n v="1"/>
    <x v="2"/>
    <n v="3"/>
    <x v="0"/>
    <x v="1"/>
    <x v="2"/>
    <x v="261"/>
    <x v="0"/>
    <x v="5"/>
    <x v="0"/>
    <x v="0"/>
    <x v="0"/>
    <x v="3"/>
    <s v="Standard"/>
    <n v="10"/>
  </r>
  <r>
    <x v="464"/>
    <x v="15"/>
    <x v="1"/>
    <x v="0"/>
    <x v="0"/>
    <x v="3"/>
    <x v="1"/>
    <s v="Caruaru"/>
    <x v="16"/>
    <n v="416.96"/>
    <x v="4"/>
    <x v="1"/>
    <x v="1"/>
    <x v="4"/>
    <x v="1"/>
    <n v="1"/>
    <n v="1"/>
    <x v="3"/>
    <x v="0"/>
    <n v="0"/>
    <x v="2"/>
    <n v="1"/>
    <x v="1"/>
    <x v="1"/>
    <x v="4"/>
    <x v="84"/>
    <x v="0"/>
    <x v="7"/>
    <x v="2"/>
    <x v="1"/>
    <x v="1"/>
    <x v="1"/>
    <s v="Express"/>
    <n v="7"/>
  </r>
  <r>
    <x v="465"/>
    <x v="10"/>
    <x v="1"/>
    <x v="1"/>
    <x v="0"/>
    <x v="3"/>
    <x v="0"/>
    <s v="San Marcos de Colón"/>
    <x v="2"/>
    <n v="418.51"/>
    <x v="1"/>
    <x v="0"/>
    <x v="0"/>
    <x v="0"/>
    <x v="2"/>
    <n v="4"/>
    <n v="2"/>
    <x v="2"/>
    <x v="2"/>
    <n v="2"/>
    <x v="2"/>
    <n v="2"/>
    <x v="1"/>
    <x v="2"/>
    <x v="3"/>
    <x v="262"/>
    <x v="0"/>
    <x v="7"/>
    <x v="3"/>
    <x v="1"/>
    <x v="0"/>
    <x v="2"/>
    <s v="Standard"/>
    <n v="3"/>
  </r>
  <r>
    <x v="466"/>
    <x v="15"/>
    <x v="1"/>
    <x v="1"/>
    <x v="0"/>
    <x v="3"/>
    <x v="2"/>
    <s v="Tišina"/>
    <x v="20"/>
    <n v="419.98"/>
    <x v="4"/>
    <x v="1"/>
    <x v="1"/>
    <x v="0"/>
    <x v="2"/>
    <n v="4"/>
    <n v="0"/>
    <x v="0"/>
    <x v="1"/>
    <n v="0"/>
    <x v="0"/>
    <n v="10"/>
    <x v="0"/>
    <x v="2"/>
    <x v="2"/>
    <x v="261"/>
    <x v="0"/>
    <x v="5"/>
    <x v="0"/>
    <x v="0"/>
    <x v="0"/>
    <x v="3"/>
    <s v="No Preference"/>
    <n v="14"/>
  </r>
  <r>
    <x v="467"/>
    <x v="9"/>
    <x v="1"/>
    <x v="1"/>
    <x v="1"/>
    <x v="3"/>
    <x v="0"/>
    <s v="Kefar Yona"/>
    <x v="5"/>
    <n v="425.82"/>
    <x v="10"/>
    <x v="0"/>
    <x v="1"/>
    <x v="0"/>
    <x v="2"/>
    <n v="5"/>
    <n v="1"/>
    <x v="2"/>
    <x v="0"/>
    <n v="1"/>
    <x v="1"/>
    <n v="6"/>
    <x v="1"/>
    <x v="0"/>
    <x v="1"/>
    <x v="156"/>
    <x v="0"/>
    <x v="5"/>
    <x v="5"/>
    <x v="0"/>
    <x v="0"/>
    <x v="0"/>
    <s v="Standard"/>
    <n v="11"/>
  </r>
  <r>
    <x v="468"/>
    <x v="13"/>
    <x v="1"/>
    <x v="0"/>
    <x v="1"/>
    <x v="0"/>
    <x v="0"/>
    <s v="Kamal"/>
    <x v="8"/>
    <n v="426.21"/>
    <x v="10"/>
    <x v="0"/>
    <x v="2"/>
    <x v="2"/>
    <x v="2"/>
    <n v="4"/>
    <n v="2"/>
    <x v="3"/>
    <x v="2"/>
    <n v="2"/>
    <x v="1"/>
    <n v="5"/>
    <x v="1"/>
    <x v="0"/>
    <x v="4"/>
    <x v="129"/>
    <x v="0"/>
    <x v="5"/>
    <x v="6"/>
    <x v="1"/>
    <x v="0"/>
    <x v="0"/>
    <s v="Standard"/>
    <n v="2"/>
  </r>
  <r>
    <x v="469"/>
    <x v="10"/>
    <x v="1"/>
    <x v="1"/>
    <x v="0"/>
    <x v="0"/>
    <x v="1"/>
    <s v="Oeiras"/>
    <x v="13"/>
    <n v="427.48"/>
    <x v="1"/>
    <x v="0"/>
    <x v="0"/>
    <x v="0"/>
    <x v="1"/>
    <n v="2"/>
    <n v="0"/>
    <x v="1"/>
    <x v="0"/>
    <n v="1"/>
    <x v="2"/>
    <n v="1"/>
    <x v="2"/>
    <x v="0"/>
    <x v="0"/>
    <x v="263"/>
    <x v="3"/>
    <x v="9"/>
    <x v="4"/>
    <x v="0"/>
    <x v="1"/>
    <x v="3"/>
    <s v="Standard"/>
    <n v="11"/>
  </r>
  <r>
    <x v="470"/>
    <x v="8"/>
    <x v="1"/>
    <x v="1"/>
    <x v="0"/>
    <x v="2"/>
    <x v="2"/>
    <s v="Týn nad Vltavou"/>
    <x v="1"/>
    <n v="427.86"/>
    <x v="7"/>
    <x v="1"/>
    <x v="2"/>
    <x v="0"/>
    <x v="0"/>
    <n v="3"/>
    <n v="1"/>
    <x v="1"/>
    <x v="0"/>
    <n v="0"/>
    <x v="1"/>
    <n v="6"/>
    <x v="0"/>
    <x v="2"/>
    <x v="0"/>
    <x v="237"/>
    <x v="0"/>
    <x v="0"/>
    <x v="0"/>
    <x v="0"/>
    <x v="0"/>
    <x v="2"/>
    <s v="Express"/>
    <n v="8"/>
  </r>
  <r>
    <x v="471"/>
    <x v="14"/>
    <x v="1"/>
    <x v="1"/>
    <x v="0"/>
    <x v="1"/>
    <x v="2"/>
    <s v="Hoolt"/>
    <x v="15"/>
    <n v="429.24"/>
    <x v="4"/>
    <x v="1"/>
    <x v="2"/>
    <x v="3"/>
    <x v="2"/>
    <n v="5"/>
    <n v="1"/>
    <x v="3"/>
    <x v="0"/>
    <n v="0"/>
    <x v="2"/>
    <n v="1"/>
    <x v="2"/>
    <x v="1"/>
    <x v="0"/>
    <x v="137"/>
    <x v="0"/>
    <x v="0"/>
    <x v="3"/>
    <x v="1"/>
    <x v="1"/>
    <x v="2"/>
    <s v="No Preference"/>
    <n v="10"/>
  </r>
  <r>
    <x v="472"/>
    <x v="16"/>
    <x v="1"/>
    <x v="0"/>
    <x v="0"/>
    <x v="2"/>
    <x v="2"/>
    <s v="Punta Gorda"/>
    <x v="5"/>
    <n v="430.75"/>
    <x v="7"/>
    <x v="1"/>
    <x v="0"/>
    <x v="2"/>
    <x v="0"/>
    <n v="3"/>
    <n v="1"/>
    <x v="2"/>
    <x v="2"/>
    <n v="0"/>
    <x v="0"/>
    <n v="8"/>
    <x v="1"/>
    <x v="1"/>
    <x v="3"/>
    <x v="28"/>
    <x v="1"/>
    <x v="2"/>
    <x v="4"/>
    <x v="0"/>
    <x v="1"/>
    <x v="1"/>
    <s v="No Preference"/>
    <n v="6"/>
  </r>
  <r>
    <x v="473"/>
    <x v="17"/>
    <x v="1"/>
    <x v="0"/>
    <x v="1"/>
    <x v="1"/>
    <x v="1"/>
    <s v="Fresno"/>
    <x v="14"/>
    <n v="430.9"/>
    <x v="9"/>
    <x v="1"/>
    <x v="0"/>
    <x v="0"/>
    <x v="2"/>
    <n v="5"/>
    <n v="1"/>
    <x v="3"/>
    <x v="0"/>
    <n v="0"/>
    <x v="1"/>
    <n v="6"/>
    <x v="3"/>
    <x v="1"/>
    <x v="3"/>
    <x v="183"/>
    <x v="1"/>
    <x v="2"/>
    <x v="6"/>
    <x v="1"/>
    <x v="1"/>
    <x v="0"/>
    <s v="Standard"/>
    <n v="11"/>
  </r>
  <r>
    <x v="474"/>
    <x v="8"/>
    <x v="1"/>
    <x v="0"/>
    <x v="1"/>
    <x v="2"/>
    <x v="0"/>
    <s v="Sukumo"/>
    <x v="0"/>
    <n v="431.78"/>
    <x v="0"/>
    <x v="1"/>
    <x v="0"/>
    <x v="2"/>
    <x v="0"/>
    <n v="3"/>
    <n v="1"/>
    <x v="1"/>
    <x v="1"/>
    <n v="1"/>
    <x v="0"/>
    <n v="8"/>
    <x v="2"/>
    <x v="0"/>
    <x v="2"/>
    <x v="127"/>
    <x v="3"/>
    <x v="11"/>
    <x v="6"/>
    <x v="0"/>
    <x v="1"/>
    <x v="3"/>
    <s v="No Preference"/>
    <n v="7"/>
  </r>
  <r>
    <x v="475"/>
    <x v="13"/>
    <x v="1"/>
    <x v="1"/>
    <x v="1"/>
    <x v="0"/>
    <x v="1"/>
    <s v="Gafargaon"/>
    <x v="5"/>
    <n v="433.14"/>
    <x v="2"/>
    <x v="1"/>
    <x v="1"/>
    <x v="3"/>
    <x v="1"/>
    <n v="1"/>
    <n v="2"/>
    <x v="1"/>
    <x v="0"/>
    <n v="2"/>
    <x v="2"/>
    <n v="3"/>
    <x v="1"/>
    <x v="1"/>
    <x v="0"/>
    <x v="45"/>
    <x v="1"/>
    <x v="10"/>
    <x v="1"/>
    <x v="1"/>
    <x v="1"/>
    <x v="3"/>
    <s v="No Preference"/>
    <n v="5"/>
  </r>
  <r>
    <x v="476"/>
    <x v="17"/>
    <x v="1"/>
    <x v="1"/>
    <x v="1"/>
    <x v="0"/>
    <x v="0"/>
    <s v="Amparo"/>
    <x v="3"/>
    <n v="437.06"/>
    <x v="4"/>
    <x v="1"/>
    <x v="1"/>
    <x v="3"/>
    <x v="2"/>
    <n v="5"/>
    <n v="2"/>
    <x v="2"/>
    <x v="1"/>
    <n v="0"/>
    <x v="1"/>
    <n v="6"/>
    <x v="2"/>
    <x v="0"/>
    <x v="1"/>
    <x v="177"/>
    <x v="0"/>
    <x v="0"/>
    <x v="2"/>
    <x v="1"/>
    <x v="1"/>
    <x v="3"/>
    <s v="Express"/>
    <n v="11"/>
  </r>
  <r>
    <x v="477"/>
    <x v="11"/>
    <x v="1"/>
    <x v="1"/>
    <x v="0"/>
    <x v="2"/>
    <x v="1"/>
    <s v="Qorveh"/>
    <x v="5"/>
    <n v="438.42"/>
    <x v="7"/>
    <x v="1"/>
    <x v="0"/>
    <x v="3"/>
    <x v="1"/>
    <n v="2"/>
    <n v="2"/>
    <x v="1"/>
    <x v="1"/>
    <n v="0"/>
    <x v="2"/>
    <n v="4"/>
    <x v="2"/>
    <x v="1"/>
    <x v="1"/>
    <x v="264"/>
    <x v="2"/>
    <x v="8"/>
    <x v="1"/>
    <x v="0"/>
    <x v="1"/>
    <x v="1"/>
    <s v="Express"/>
    <n v="4"/>
  </r>
  <r>
    <x v="478"/>
    <x v="9"/>
    <x v="1"/>
    <x v="0"/>
    <x v="1"/>
    <x v="2"/>
    <x v="0"/>
    <s v="High Point"/>
    <x v="4"/>
    <n v="441.87"/>
    <x v="10"/>
    <x v="0"/>
    <x v="2"/>
    <x v="2"/>
    <x v="1"/>
    <n v="2"/>
    <n v="1"/>
    <x v="3"/>
    <x v="2"/>
    <n v="0"/>
    <x v="0"/>
    <n v="10"/>
    <x v="0"/>
    <x v="0"/>
    <x v="2"/>
    <x v="264"/>
    <x v="2"/>
    <x v="8"/>
    <x v="1"/>
    <x v="0"/>
    <x v="1"/>
    <x v="0"/>
    <s v="No Preference"/>
    <n v="13"/>
  </r>
  <r>
    <x v="479"/>
    <x v="10"/>
    <x v="1"/>
    <x v="7"/>
    <x v="0"/>
    <x v="2"/>
    <x v="1"/>
    <s v="Bogovarovo"/>
    <x v="20"/>
    <n v="442.29"/>
    <x v="6"/>
    <x v="1"/>
    <x v="2"/>
    <x v="2"/>
    <x v="1"/>
    <n v="2"/>
    <n v="0"/>
    <x v="1"/>
    <x v="2"/>
    <n v="1"/>
    <x v="2"/>
    <n v="2"/>
    <x v="2"/>
    <x v="1"/>
    <x v="2"/>
    <x v="265"/>
    <x v="2"/>
    <x v="8"/>
    <x v="3"/>
    <x v="1"/>
    <x v="1"/>
    <x v="1"/>
    <s v="Express"/>
    <n v="13"/>
  </r>
  <r>
    <x v="480"/>
    <x v="17"/>
    <x v="1"/>
    <x v="6"/>
    <x v="1"/>
    <x v="0"/>
    <x v="1"/>
    <s v="Dafeng"/>
    <x v="13"/>
    <n v="443.52"/>
    <x v="3"/>
    <x v="0"/>
    <x v="1"/>
    <x v="4"/>
    <x v="0"/>
    <n v="3"/>
    <n v="0"/>
    <x v="0"/>
    <x v="2"/>
    <n v="0"/>
    <x v="1"/>
    <n v="7"/>
    <x v="2"/>
    <x v="1"/>
    <x v="1"/>
    <x v="217"/>
    <x v="0"/>
    <x v="7"/>
    <x v="5"/>
    <x v="0"/>
    <x v="1"/>
    <x v="2"/>
    <s v="Standard"/>
    <n v="9"/>
  </r>
  <r>
    <x v="481"/>
    <x v="11"/>
    <x v="1"/>
    <x v="7"/>
    <x v="1"/>
    <x v="1"/>
    <x v="2"/>
    <s v="Nantes"/>
    <x v="13"/>
    <n v="444.05"/>
    <x v="2"/>
    <x v="1"/>
    <x v="0"/>
    <x v="4"/>
    <x v="2"/>
    <n v="4"/>
    <n v="0"/>
    <x v="2"/>
    <x v="0"/>
    <n v="1"/>
    <x v="0"/>
    <n v="8"/>
    <x v="0"/>
    <x v="2"/>
    <x v="2"/>
    <x v="206"/>
    <x v="1"/>
    <x v="2"/>
    <x v="1"/>
    <x v="0"/>
    <x v="0"/>
    <x v="0"/>
    <s v="Standard"/>
    <n v="8"/>
  </r>
  <r>
    <x v="482"/>
    <x v="16"/>
    <x v="1"/>
    <x v="1"/>
    <x v="0"/>
    <x v="0"/>
    <x v="0"/>
    <s v="Legaspi"/>
    <x v="2"/>
    <n v="446.69"/>
    <x v="4"/>
    <x v="1"/>
    <x v="1"/>
    <x v="0"/>
    <x v="2"/>
    <n v="5"/>
    <n v="2"/>
    <x v="1"/>
    <x v="2"/>
    <n v="1"/>
    <x v="1"/>
    <n v="5"/>
    <x v="1"/>
    <x v="0"/>
    <x v="1"/>
    <x v="266"/>
    <x v="1"/>
    <x v="2"/>
    <x v="3"/>
    <x v="1"/>
    <x v="0"/>
    <x v="1"/>
    <s v="No Preference"/>
    <n v="13"/>
  </r>
  <r>
    <x v="483"/>
    <x v="12"/>
    <x v="1"/>
    <x v="2"/>
    <x v="1"/>
    <x v="0"/>
    <x v="2"/>
    <s v="Sakura"/>
    <x v="4"/>
    <n v="447.53"/>
    <x v="8"/>
    <x v="0"/>
    <x v="0"/>
    <x v="1"/>
    <x v="1"/>
    <n v="1"/>
    <n v="2"/>
    <x v="3"/>
    <x v="2"/>
    <n v="1"/>
    <x v="1"/>
    <n v="6"/>
    <x v="3"/>
    <x v="0"/>
    <x v="2"/>
    <x v="267"/>
    <x v="2"/>
    <x v="6"/>
    <x v="0"/>
    <x v="0"/>
    <x v="0"/>
    <x v="0"/>
    <s v="No Preference"/>
    <n v="3"/>
  </r>
  <r>
    <x v="484"/>
    <x v="8"/>
    <x v="1"/>
    <x v="0"/>
    <x v="1"/>
    <x v="1"/>
    <x v="0"/>
    <s v="Brikcha"/>
    <x v="18"/>
    <n v="448.68"/>
    <x v="9"/>
    <x v="1"/>
    <x v="1"/>
    <x v="0"/>
    <x v="2"/>
    <n v="4"/>
    <n v="2"/>
    <x v="3"/>
    <x v="2"/>
    <n v="1"/>
    <x v="2"/>
    <n v="3"/>
    <x v="0"/>
    <x v="1"/>
    <x v="0"/>
    <x v="84"/>
    <x v="0"/>
    <x v="7"/>
    <x v="2"/>
    <x v="0"/>
    <x v="1"/>
    <x v="0"/>
    <s v="Express"/>
    <n v="8"/>
  </r>
  <r>
    <x v="485"/>
    <x v="17"/>
    <x v="1"/>
    <x v="0"/>
    <x v="1"/>
    <x v="1"/>
    <x v="2"/>
    <s v="Prostřední Bečva"/>
    <x v="14"/>
    <n v="449.13"/>
    <x v="6"/>
    <x v="1"/>
    <x v="1"/>
    <x v="1"/>
    <x v="1"/>
    <n v="1"/>
    <n v="0.5"/>
    <x v="1"/>
    <x v="0"/>
    <n v="2"/>
    <x v="2"/>
    <n v="2"/>
    <x v="2"/>
    <x v="1"/>
    <x v="3"/>
    <x v="266"/>
    <x v="1"/>
    <x v="2"/>
    <x v="3"/>
    <x v="1"/>
    <x v="1"/>
    <x v="1"/>
    <s v="No Preference"/>
    <n v="14"/>
  </r>
  <r>
    <x v="486"/>
    <x v="11"/>
    <x v="1"/>
    <x v="0"/>
    <x v="1"/>
    <x v="0"/>
    <x v="0"/>
    <s v="Maño"/>
    <x v="19"/>
    <n v="449.18"/>
    <x v="10"/>
    <x v="0"/>
    <x v="2"/>
    <x v="4"/>
    <x v="0"/>
    <n v="3"/>
    <n v="2"/>
    <x v="1"/>
    <x v="2"/>
    <n v="0"/>
    <x v="0"/>
    <n v="8"/>
    <x v="1"/>
    <x v="1"/>
    <x v="3"/>
    <x v="255"/>
    <x v="0"/>
    <x v="0"/>
    <x v="6"/>
    <x v="0"/>
    <x v="0"/>
    <x v="0"/>
    <s v="Standard"/>
    <n v="10"/>
  </r>
  <r>
    <x v="487"/>
    <x v="16"/>
    <x v="1"/>
    <x v="0"/>
    <x v="0"/>
    <x v="2"/>
    <x v="1"/>
    <s v="Montería"/>
    <x v="6"/>
    <n v="450.47"/>
    <x v="7"/>
    <x v="1"/>
    <x v="0"/>
    <x v="4"/>
    <x v="1"/>
    <n v="2"/>
    <n v="2"/>
    <x v="0"/>
    <x v="0"/>
    <n v="2"/>
    <x v="2"/>
    <n v="3"/>
    <x v="3"/>
    <x v="0"/>
    <x v="3"/>
    <x v="49"/>
    <x v="0"/>
    <x v="0"/>
    <x v="4"/>
    <x v="0"/>
    <x v="0"/>
    <x v="0"/>
    <s v="Express"/>
    <n v="10"/>
  </r>
  <r>
    <x v="488"/>
    <x v="8"/>
    <x v="1"/>
    <x v="1"/>
    <x v="0"/>
    <x v="3"/>
    <x v="2"/>
    <s v="Lañgub"/>
    <x v="1"/>
    <n v="450.52"/>
    <x v="9"/>
    <x v="1"/>
    <x v="0"/>
    <x v="1"/>
    <x v="1"/>
    <n v="2"/>
    <n v="0.2"/>
    <x v="3"/>
    <x v="2"/>
    <n v="0"/>
    <x v="1"/>
    <n v="6"/>
    <x v="2"/>
    <x v="2"/>
    <x v="2"/>
    <x v="196"/>
    <x v="3"/>
    <x v="4"/>
    <x v="2"/>
    <x v="0"/>
    <x v="0"/>
    <x v="2"/>
    <s v="No Preference"/>
    <n v="8"/>
  </r>
  <r>
    <x v="489"/>
    <x v="16"/>
    <x v="1"/>
    <x v="1"/>
    <x v="1"/>
    <x v="0"/>
    <x v="1"/>
    <s v="Pomar"/>
    <x v="12"/>
    <n v="450.66"/>
    <x v="4"/>
    <x v="1"/>
    <x v="1"/>
    <x v="1"/>
    <x v="2"/>
    <n v="5"/>
    <n v="0"/>
    <x v="3"/>
    <x v="2"/>
    <n v="2"/>
    <x v="2"/>
    <n v="4"/>
    <x v="0"/>
    <x v="1"/>
    <x v="3"/>
    <x v="268"/>
    <x v="1"/>
    <x v="2"/>
    <x v="6"/>
    <x v="1"/>
    <x v="0"/>
    <x v="2"/>
    <s v="No Preference"/>
    <n v="9"/>
  </r>
  <r>
    <x v="490"/>
    <x v="15"/>
    <x v="1"/>
    <x v="0"/>
    <x v="0"/>
    <x v="0"/>
    <x v="0"/>
    <s v="Warudoyong"/>
    <x v="12"/>
    <n v="453.37"/>
    <x v="2"/>
    <x v="1"/>
    <x v="2"/>
    <x v="2"/>
    <x v="1"/>
    <n v="1"/>
    <n v="2"/>
    <x v="2"/>
    <x v="1"/>
    <n v="0"/>
    <x v="1"/>
    <n v="6"/>
    <x v="1"/>
    <x v="2"/>
    <x v="3"/>
    <x v="141"/>
    <x v="0"/>
    <x v="0"/>
    <x v="4"/>
    <x v="0"/>
    <x v="0"/>
    <x v="0"/>
    <s v="Express"/>
    <n v="9"/>
  </r>
  <r>
    <x v="491"/>
    <x v="13"/>
    <x v="1"/>
    <x v="0"/>
    <x v="1"/>
    <x v="2"/>
    <x v="2"/>
    <s v="Bamut"/>
    <x v="8"/>
    <n v="454.15"/>
    <x v="7"/>
    <x v="1"/>
    <x v="1"/>
    <x v="1"/>
    <x v="1"/>
    <n v="1"/>
    <n v="1"/>
    <x v="3"/>
    <x v="0"/>
    <n v="1"/>
    <x v="0"/>
    <n v="8"/>
    <x v="1"/>
    <x v="0"/>
    <x v="1"/>
    <x v="123"/>
    <x v="3"/>
    <x v="9"/>
    <x v="0"/>
    <x v="0"/>
    <x v="0"/>
    <x v="1"/>
    <s v="Express"/>
    <n v="13"/>
  </r>
  <r>
    <x v="492"/>
    <x v="15"/>
    <x v="1"/>
    <x v="1"/>
    <x v="0"/>
    <x v="3"/>
    <x v="2"/>
    <s v="Mahanoro"/>
    <x v="12"/>
    <n v="454.93"/>
    <x v="9"/>
    <x v="1"/>
    <x v="0"/>
    <x v="3"/>
    <x v="2"/>
    <n v="5"/>
    <n v="0"/>
    <x v="2"/>
    <x v="2"/>
    <n v="2"/>
    <x v="1"/>
    <n v="7"/>
    <x v="0"/>
    <x v="2"/>
    <x v="0"/>
    <x v="74"/>
    <x v="0"/>
    <x v="5"/>
    <x v="0"/>
    <x v="1"/>
    <x v="1"/>
    <x v="0"/>
    <s v="No Preference"/>
    <n v="11"/>
  </r>
  <r>
    <x v="493"/>
    <x v="13"/>
    <x v="1"/>
    <x v="1"/>
    <x v="0"/>
    <x v="3"/>
    <x v="2"/>
    <s v="Tsibulev"/>
    <x v="19"/>
    <n v="455.55"/>
    <x v="9"/>
    <x v="1"/>
    <x v="2"/>
    <x v="0"/>
    <x v="2"/>
    <n v="4"/>
    <n v="1"/>
    <x v="3"/>
    <x v="2"/>
    <n v="0"/>
    <x v="1"/>
    <n v="6"/>
    <x v="1"/>
    <x v="2"/>
    <x v="2"/>
    <x v="83"/>
    <x v="2"/>
    <x v="6"/>
    <x v="1"/>
    <x v="1"/>
    <x v="1"/>
    <x v="1"/>
    <s v="No Preference"/>
    <n v="10"/>
  </r>
  <r>
    <x v="494"/>
    <x v="11"/>
    <x v="1"/>
    <x v="0"/>
    <x v="0"/>
    <x v="0"/>
    <x v="2"/>
    <s v="Yelyzavethradka"/>
    <x v="4"/>
    <n v="461.34"/>
    <x v="8"/>
    <x v="0"/>
    <x v="1"/>
    <x v="3"/>
    <x v="1"/>
    <n v="1"/>
    <n v="0"/>
    <x v="3"/>
    <x v="2"/>
    <n v="1"/>
    <x v="0"/>
    <n v="9"/>
    <x v="2"/>
    <x v="2"/>
    <x v="1"/>
    <x v="269"/>
    <x v="0"/>
    <x v="0"/>
    <x v="3"/>
    <x v="1"/>
    <x v="0"/>
    <x v="0"/>
    <s v="Express"/>
    <n v="7"/>
  </r>
  <r>
    <x v="495"/>
    <x v="16"/>
    <x v="1"/>
    <x v="1"/>
    <x v="1"/>
    <x v="0"/>
    <x v="2"/>
    <s v="Xieba"/>
    <x v="1"/>
    <n v="461.71"/>
    <x v="2"/>
    <x v="1"/>
    <x v="2"/>
    <x v="3"/>
    <x v="1"/>
    <n v="1"/>
    <n v="0"/>
    <x v="2"/>
    <x v="0"/>
    <n v="0"/>
    <x v="0"/>
    <n v="9"/>
    <x v="1"/>
    <x v="0"/>
    <x v="1"/>
    <x v="32"/>
    <x v="3"/>
    <x v="11"/>
    <x v="5"/>
    <x v="1"/>
    <x v="1"/>
    <x v="1"/>
    <s v="Standard"/>
    <n v="11"/>
  </r>
  <r>
    <x v="496"/>
    <x v="9"/>
    <x v="1"/>
    <x v="0"/>
    <x v="0"/>
    <x v="3"/>
    <x v="1"/>
    <s v="Berlin"/>
    <x v="7"/>
    <n v="461.81"/>
    <x v="0"/>
    <x v="1"/>
    <x v="2"/>
    <x v="0"/>
    <x v="0"/>
    <n v="3"/>
    <n v="0"/>
    <x v="1"/>
    <x v="1"/>
    <n v="0"/>
    <x v="0"/>
    <n v="8"/>
    <x v="2"/>
    <x v="2"/>
    <x v="4"/>
    <x v="270"/>
    <x v="1"/>
    <x v="2"/>
    <x v="5"/>
    <x v="0"/>
    <x v="1"/>
    <x v="0"/>
    <s v="No Preference"/>
    <n v="8"/>
  </r>
  <r>
    <x v="497"/>
    <x v="13"/>
    <x v="1"/>
    <x v="1"/>
    <x v="0"/>
    <x v="0"/>
    <x v="1"/>
    <s v="Shādegān"/>
    <x v="9"/>
    <n v="462.3"/>
    <x v="3"/>
    <x v="0"/>
    <x v="2"/>
    <x v="3"/>
    <x v="0"/>
    <n v="3"/>
    <n v="2"/>
    <x v="0"/>
    <x v="0"/>
    <n v="2"/>
    <x v="2"/>
    <n v="4"/>
    <x v="0"/>
    <x v="1"/>
    <x v="1"/>
    <x v="271"/>
    <x v="2"/>
    <x v="3"/>
    <x v="4"/>
    <x v="0"/>
    <x v="0"/>
    <x v="3"/>
    <s v="Standard"/>
    <n v="4"/>
  </r>
  <r>
    <x v="498"/>
    <x v="17"/>
    <x v="1"/>
    <x v="1"/>
    <x v="1"/>
    <x v="1"/>
    <x v="2"/>
    <s v="Iwade"/>
    <x v="2"/>
    <n v="462.96"/>
    <x v="5"/>
    <x v="0"/>
    <x v="0"/>
    <x v="0"/>
    <x v="1"/>
    <n v="2"/>
    <n v="0"/>
    <x v="3"/>
    <x v="1"/>
    <n v="2"/>
    <x v="1"/>
    <n v="6"/>
    <x v="1"/>
    <x v="1"/>
    <x v="1"/>
    <x v="233"/>
    <x v="1"/>
    <x v="10"/>
    <x v="4"/>
    <x v="0"/>
    <x v="1"/>
    <x v="1"/>
    <s v="No Preference"/>
    <n v="3"/>
  </r>
  <r>
    <x v="499"/>
    <x v="16"/>
    <x v="1"/>
    <x v="1"/>
    <x v="0"/>
    <x v="2"/>
    <x v="1"/>
    <s v="Kabale"/>
    <x v="4"/>
    <n v="464.76"/>
    <x v="5"/>
    <x v="0"/>
    <x v="2"/>
    <x v="4"/>
    <x v="1"/>
    <n v="1"/>
    <n v="0"/>
    <x v="2"/>
    <x v="1"/>
    <n v="0"/>
    <x v="2"/>
    <n v="3"/>
    <x v="2"/>
    <x v="2"/>
    <x v="0"/>
    <x v="146"/>
    <x v="3"/>
    <x v="11"/>
    <x v="0"/>
    <x v="1"/>
    <x v="0"/>
    <x v="2"/>
    <s v="No Preference"/>
    <n v="3"/>
  </r>
  <r>
    <x v="500"/>
    <x v="12"/>
    <x v="1"/>
    <x v="0"/>
    <x v="1"/>
    <x v="1"/>
    <x v="2"/>
    <s v="Gulou"/>
    <x v="19"/>
    <n v="467.5"/>
    <x v="1"/>
    <x v="0"/>
    <x v="1"/>
    <x v="1"/>
    <x v="1"/>
    <n v="1"/>
    <n v="0"/>
    <x v="0"/>
    <x v="2"/>
    <n v="1"/>
    <x v="2"/>
    <n v="1"/>
    <x v="1"/>
    <x v="2"/>
    <x v="2"/>
    <x v="220"/>
    <x v="0"/>
    <x v="5"/>
    <x v="6"/>
    <x v="1"/>
    <x v="1"/>
    <x v="1"/>
    <s v="No Preference"/>
    <n v="6"/>
  </r>
  <r>
    <x v="501"/>
    <x v="8"/>
    <x v="1"/>
    <x v="1"/>
    <x v="1"/>
    <x v="2"/>
    <x v="1"/>
    <s v="Ngawi"/>
    <x v="10"/>
    <n v="467.58"/>
    <x v="2"/>
    <x v="1"/>
    <x v="2"/>
    <x v="2"/>
    <x v="1"/>
    <n v="2"/>
    <n v="0"/>
    <x v="0"/>
    <x v="2"/>
    <n v="1"/>
    <x v="1"/>
    <n v="6"/>
    <x v="2"/>
    <x v="2"/>
    <x v="2"/>
    <x v="272"/>
    <x v="0"/>
    <x v="5"/>
    <x v="4"/>
    <x v="0"/>
    <x v="0"/>
    <x v="0"/>
    <s v="Standard"/>
    <n v="7"/>
  </r>
  <r>
    <x v="502"/>
    <x v="13"/>
    <x v="1"/>
    <x v="1"/>
    <x v="0"/>
    <x v="2"/>
    <x v="1"/>
    <s v="Podbrdo"/>
    <x v="2"/>
    <n v="468.16"/>
    <x v="9"/>
    <x v="1"/>
    <x v="0"/>
    <x v="3"/>
    <x v="2"/>
    <n v="5"/>
    <n v="1"/>
    <x v="2"/>
    <x v="2"/>
    <n v="1"/>
    <x v="1"/>
    <n v="5"/>
    <x v="1"/>
    <x v="2"/>
    <x v="3"/>
    <x v="193"/>
    <x v="3"/>
    <x v="4"/>
    <x v="4"/>
    <x v="1"/>
    <x v="1"/>
    <x v="1"/>
    <s v="Standard"/>
    <n v="2"/>
  </r>
  <r>
    <x v="503"/>
    <x v="15"/>
    <x v="1"/>
    <x v="1"/>
    <x v="0"/>
    <x v="3"/>
    <x v="1"/>
    <s v="Obong"/>
    <x v="8"/>
    <n v="469.22"/>
    <x v="1"/>
    <x v="0"/>
    <x v="1"/>
    <x v="2"/>
    <x v="1"/>
    <n v="1"/>
    <n v="1"/>
    <x v="3"/>
    <x v="0"/>
    <n v="0"/>
    <x v="2"/>
    <n v="1"/>
    <x v="2"/>
    <x v="1"/>
    <x v="3"/>
    <x v="273"/>
    <x v="1"/>
    <x v="1"/>
    <x v="3"/>
    <x v="1"/>
    <x v="1"/>
    <x v="0"/>
    <s v="No Preference"/>
    <n v="7"/>
  </r>
  <r>
    <x v="504"/>
    <x v="8"/>
    <x v="1"/>
    <x v="1"/>
    <x v="0"/>
    <x v="0"/>
    <x v="2"/>
    <s v="Kamárai"/>
    <x v="12"/>
    <n v="472.53"/>
    <x v="7"/>
    <x v="1"/>
    <x v="0"/>
    <x v="0"/>
    <x v="1"/>
    <n v="1"/>
    <n v="1"/>
    <x v="1"/>
    <x v="2"/>
    <n v="2"/>
    <x v="1"/>
    <n v="7"/>
    <x v="0"/>
    <x v="0"/>
    <x v="0"/>
    <x v="82"/>
    <x v="0"/>
    <x v="5"/>
    <x v="1"/>
    <x v="1"/>
    <x v="1"/>
    <x v="0"/>
    <s v="Express"/>
    <n v="4"/>
  </r>
  <r>
    <x v="505"/>
    <x v="8"/>
    <x v="1"/>
    <x v="0"/>
    <x v="1"/>
    <x v="2"/>
    <x v="0"/>
    <s v="Navoiy"/>
    <x v="7"/>
    <n v="473.96"/>
    <x v="0"/>
    <x v="1"/>
    <x v="1"/>
    <x v="1"/>
    <x v="1"/>
    <n v="1"/>
    <n v="1"/>
    <x v="1"/>
    <x v="2"/>
    <n v="2"/>
    <x v="0"/>
    <n v="9"/>
    <x v="3"/>
    <x v="1"/>
    <x v="2"/>
    <x v="20"/>
    <x v="1"/>
    <x v="10"/>
    <x v="0"/>
    <x v="0"/>
    <x v="1"/>
    <x v="3"/>
    <s v="Express"/>
    <n v="14"/>
  </r>
  <r>
    <x v="506"/>
    <x v="13"/>
    <x v="1"/>
    <x v="1"/>
    <x v="1"/>
    <x v="1"/>
    <x v="1"/>
    <s v="Anchorage"/>
    <x v="15"/>
    <n v="476.11"/>
    <x v="3"/>
    <x v="0"/>
    <x v="1"/>
    <x v="2"/>
    <x v="2"/>
    <n v="4"/>
    <n v="1"/>
    <x v="0"/>
    <x v="1"/>
    <n v="2"/>
    <x v="0"/>
    <n v="10"/>
    <x v="1"/>
    <x v="2"/>
    <x v="0"/>
    <x v="83"/>
    <x v="2"/>
    <x v="6"/>
    <x v="1"/>
    <x v="0"/>
    <x v="1"/>
    <x v="0"/>
    <s v="Standard"/>
    <n v="1"/>
  </r>
  <r>
    <x v="507"/>
    <x v="9"/>
    <x v="1"/>
    <x v="0"/>
    <x v="1"/>
    <x v="2"/>
    <x v="1"/>
    <s v="Minneapolis"/>
    <x v="5"/>
    <n v="476.63"/>
    <x v="6"/>
    <x v="1"/>
    <x v="1"/>
    <x v="3"/>
    <x v="2"/>
    <n v="5"/>
    <n v="2"/>
    <x v="1"/>
    <x v="0"/>
    <n v="2"/>
    <x v="2"/>
    <n v="2"/>
    <x v="3"/>
    <x v="2"/>
    <x v="0"/>
    <x v="107"/>
    <x v="2"/>
    <x v="3"/>
    <x v="1"/>
    <x v="0"/>
    <x v="1"/>
    <x v="3"/>
    <s v="No Preference"/>
    <n v="1"/>
  </r>
  <r>
    <x v="508"/>
    <x v="8"/>
    <x v="1"/>
    <x v="0"/>
    <x v="1"/>
    <x v="0"/>
    <x v="0"/>
    <s v="Baihe"/>
    <x v="5"/>
    <n v="477.35"/>
    <x v="8"/>
    <x v="0"/>
    <x v="0"/>
    <x v="1"/>
    <x v="2"/>
    <n v="5"/>
    <n v="0"/>
    <x v="3"/>
    <x v="1"/>
    <n v="1"/>
    <x v="2"/>
    <n v="2"/>
    <x v="2"/>
    <x v="2"/>
    <x v="2"/>
    <x v="274"/>
    <x v="3"/>
    <x v="9"/>
    <x v="2"/>
    <x v="1"/>
    <x v="1"/>
    <x v="2"/>
    <s v="No Preference"/>
    <n v="14"/>
  </r>
  <r>
    <x v="509"/>
    <x v="17"/>
    <x v="1"/>
    <x v="1"/>
    <x v="1"/>
    <x v="3"/>
    <x v="2"/>
    <s v="Zaječov"/>
    <x v="10"/>
    <n v="478.85"/>
    <x v="2"/>
    <x v="1"/>
    <x v="1"/>
    <x v="0"/>
    <x v="1"/>
    <n v="2"/>
    <n v="2"/>
    <x v="0"/>
    <x v="0"/>
    <n v="2"/>
    <x v="2"/>
    <n v="2"/>
    <x v="3"/>
    <x v="2"/>
    <x v="1"/>
    <x v="261"/>
    <x v="0"/>
    <x v="5"/>
    <x v="0"/>
    <x v="1"/>
    <x v="1"/>
    <x v="1"/>
    <s v="No Preference"/>
    <n v="4"/>
  </r>
  <r>
    <x v="510"/>
    <x v="9"/>
    <x v="1"/>
    <x v="4"/>
    <x v="1"/>
    <x v="2"/>
    <x v="1"/>
    <s v="Ngrejo"/>
    <x v="9"/>
    <n v="480.52"/>
    <x v="10"/>
    <x v="0"/>
    <x v="0"/>
    <x v="4"/>
    <x v="2"/>
    <n v="4"/>
    <n v="2"/>
    <x v="2"/>
    <x v="2"/>
    <n v="1"/>
    <x v="1"/>
    <n v="5"/>
    <x v="3"/>
    <x v="0"/>
    <x v="1"/>
    <x v="82"/>
    <x v="0"/>
    <x v="5"/>
    <x v="1"/>
    <x v="1"/>
    <x v="1"/>
    <x v="1"/>
    <s v="No Preference"/>
    <n v="13"/>
  </r>
  <r>
    <x v="511"/>
    <x v="11"/>
    <x v="1"/>
    <x v="1"/>
    <x v="0"/>
    <x v="1"/>
    <x v="2"/>
    <s v="Providence"/>
    <x v="1"/>
    <n v="481.84"/>
    <x v="2"/>
    <x v="1"/>
    <x v="1"/>
    <x v="2"/>
    <x v="2"/>
    <n v="4"/>
    <n v="2"/>
    <x v="3"/>
    <x v="2"/>
    <n v="1"/>
    <x v="2"/>
    <n v="1"/>
    <x v="0"/>
    <x v="1"/>
    <x v="1"/>
    <x v="101"/>
    <x v="1"/>
    <x v="1"/>
    <x v="3"/>
    <x v="1"/>
    <x v="1"/>
    <x v="0"/>
    <s v="Express"/>
    <n v="9"/>
  </r>
  <r>
    <x v="512"/>
    <x v="15"/>
    <x v="1"/>
    <x v="0"/>
    <x v="0"/>
    <x v="2"/>
    <x v="1"/>
    <s v="Na Muen"/>
    <x v="3"/>
    <n v="482.5"/>
    <x v="7"/>
    <x v="1"/>
    <x v="2"/>
    <x v="2"/>
    <x v="1"/>
    <n v="1"/>
    <n v="1"/>
    <x v="0"/>
    <x v="1"/>
    <n v="2"/>
    <x v="2"/>
    <n v="1"/>
    <x v="3"/>
    <x v="0"/>
    <x v="1"/>
    <x v="191"/>
    <x v="2"/>
    <x v="8"/>
    <x v="2"/>
    <x v="0"/>
    <x v="0"/>
    <x v="2"/>
    <s v="No Preference"/>
    <n v="13"/>
  </r>
  <r>
    <x v="513"/>
    <x v="9"/>
    <x v="1"/>
    <x v="0"/>
    <x v="0"/>
    <x v="2"/>
    <x v="0"/>
    <s v="Hospitalet De Llobregat, L'"/>
    <x v="8"/>
    <n v="483.23"/>
    <x v="4"/>
    <x v="1"/>
    <x v="0"/>
    <x v="1"/>
    <x v="2"/>
    <n v="4"/>
    <n v="2"/>
    <x v="1"/>
    <x v="2"/>
    <n v="0"/>
    <x v="1"/>
    <n v="5"/>
    <x v="1"/>
    <x v="0"/>
    <x v="2"/>
    <x v="257"/>
    <x v="3"/>
    <x v="9"/>
    <x v="6"/>
    <x v="0"/>
    <x v="1"/>
    <x v="3"/>
    <s v="Express"/>
    <n v="9"/>
  </r>
  <r>
    <x v="514"/>
    <x v="17"/>
    <x v="1"/>
    <x v="1"/>
    <x v="1"/>
    <x v="3"/>
    <x v="1"/>
    <s v="Kandangan"/>
    <x v="5"/>
    <n v="483.38"/>
    <x v="6"/>
    <x v="1"/>
    <x v="0"/>
    <x v="1"/>
    <x v="1"/>
    <n v="1"/>
    <n v="0"/>
    <x v="3"/>
    <x v="2"/>
    <n v="2"/>
    <x v="2"/>
    <n v="3"/>
    <x v="1"/>
    <x v="2"/>
    <x v="4"/>
    <x v="249"/>
    <x v="1"/>
    <x v="2"/>
    <x v="0"/>
    <x v="1"/>
    <x v="0"/>
    <x v="2"/>
    <s v="Standard"/>
    <n v="8"/>
  </r>
  <r>
    <x v="515"/>
    <x v="13"/>
    <x v="1"/>
    <x v="0"/>
    <x v="1"/>
    <x v="3"/>
    <x v="2"/>
    <s v="Pīrgaaj"/>
    <x v="10"/>
    <n v="483.66"/>
    <x v="10"/>
    <x v="0"/>
    <x v="0"/>
    <x v="2"/>
    <x v="2"/>
    <n v="4"/>
    <n v="1"/>
    <x v="1"/>
    <x v="0"/>
    <n v="2"/>
    <x v="2"/>
    <n v="1"/>
    <x v="0"/>
    <x v="2"/>
    <x v="4"/>
    <x v="72"/>
    <x v="1"/>
    <x v="1"/>
    <x v="1"/>
    <x v="1"/>
    <x v="1"/>
    <x v="3"/>
    <s v="Standard"/>
    <n v="9"/>
  </r>
  <r>
    <x v="516"/>
    <x v="9"/>
    <x v="1"/>
    <x v="1"/>
    <x v="0"/>
    <x v="0"/>
    <x v="2"/>
    <s v="Sankeyushu"/>
    <x v="1"/>
    <n v="483.77"/>
    <x v="3"/>
    <x v="0"/>
    <x v="1"/>
    <x v="2"/>
    <x v="1"/>
    <n v="2"/>
    <n v="0"/>
    <x v="0"/>
    <x v="1"/>
    <n v="0"/>
    <x v="1"/>
    <n v="5"/>
    <x v="3"/>
    <x v="2"/>
    <x v="3"/>
    <x v="275"/>
    <x v="1"/>
    <x v="10"/>
    <x v="2"/>
    <x v="1"/>
    <x v="1"/>
    <x v="0"/>
    <s v="No Preference"/>
    <n v="10"/>
  </r>
  <r>
    <x v="517"/>
    <x v="13"/>
    <x v="1"/>
    <x v="1"/>
    <x v="0"/>
    <x v="2"/>
    <x v="0"/>
    <s v="Gobojango"/>
    <x v="10"/>
    <n v="485.77"/>
    <x v="2"/>
    <x v="1"/>
    <x v="2"/>
    <x v="2"/>
    <x v="1"/>
    <n v="2"/>
    <n v="0"/>
    <x v="2"/>
    <x v="0"/>
    <n v="2"/>
    <x v="1"/>
    <n v="6"/>
    <x v="3"/>
    <x v="1"/>
    <x v="1"/>
    <x v="52"/>
    <x v="3"/>
    <x v="9"/>
    <x v="3"/>
    <x v="1"/>
    <x v="1"/>
    <x v="1"/>
    <s v="No Preference"/>
    <n v="6"/>
  </r>
  <r>
    <x v="518"/>
    <x v="12"/>
    <x v="1"/>
    <x v="1"/>
    <x v="1"/>
    <x v="3"/>
    <x v="1"/>
    <s v="Nesovice"/>
    <x v="16"/>
    <n v="489.05"/>
    <x v="2"/>
    <x v="1"/>
    <x v="0"/>
    <x v="4"/>
    <x v="0"/>
    <n v="3"/>
    <n v="0"/>
    <x v="3"/>
    <x v="2"/>
    <n v="2"/>
    <x v="2"/>
    <n v="2"/>
    <x v="1"/>
    <x v="2"/>
    <x v="2"/>
    <x v="276"/>
    <x v="2"/>
    <x v="8"/>
    <x v="3"/>
    <x v="0"/>
    <x v="0"/>
    <x v="1"/>
    <s v="Standard"/>
    <n v="7"/>
  </r>
  <r>
    <x v="519"/>
    <x v="8"/>
    <x v="1"/>
    <x v="1"/>
    <x v="1"/>
    <x v="0"/>
    <x v="0"/>
    <s v="Fandriana"/>
    <x v="14"/>
    <n v="489.1"/>
    <x v="6"/>
    <x v="1"/>
    <x v="2"/>
    <x v="3"/>
    <x v="2"/>
    <n v="4"/>
    <n v="1"/>
    <x v="2"/>
    <x v="2"/>
    <n v="2"/>
    <x v="2"/>
    <n v="4"/>
    <x v="0"/>
    <x v="0"/>
    <x v="3"/>
    <x v="94"/>
    <x v="2"/>
    <x v="3"/>
    <x v="4"/>
    <x v="0"/>
    <x v="1"/>
    <x v="2"/>
    <s v="Standard"/>
    <n v="13"/>
  </r>
  <r>
    <x v="520"/>
    <x v="9"/>
    <x v="1"/>
    <x v="4"/>
    <x v="0"/>
    <x v="1"/>
    <x v="0"/>
    <s v="Mranggen"/>
    <x v="5"/>
    <n v="489.66"/>
    <x v="7"/>
    <x v="1"/>
    <x v="2"/>
    <x v="4"/>
    <x v="1"/>
    <n v="1"/>
    <n v="0"/>
    <x v="3"/>
    <x v="0"/>
    <n v="2"/>
    <x v="1"/>
    <n v="6"/>
    <x v="3"/>
    <x v="1"/>
    <x v="4"/>
    <x v="62"/>
    <x v="3"/>
    <x v="4"/>
    <x v="6"/>
    <x v="0"/>
    <x v="1"/>
    <x v="0"/>
    <s v="Standard"/>
    <n v="3"/>
  </r>
  <r>
    <x v="521"/>
    <x v="17"/>
    <x v="1"/>
    <x v="1"/>
    <x v="0"/>
    <x v="1"/>
    <x v="0"/>
    <s v="Monastyrshchina"/>
    <x v="11"/>
    <n v="490.75"/>
    <x v="2"/>
    <x v="1"/>
    <x v="1"/>
    <x v="1"/>
    <x v="2"/>
    <n v="4"/>
    <n v="1"/>
    <x v="0"/>
    <x v="1"/>
    <n v="1"/>
    <x v="2"/>
    <n v="4"/>
    <x v="2"/>
    <x v="0"/>
    <x v="0"/>
    <x v="214"/>
    <x v="1"/>
    <x v="10"/>
    <x v="4"/>
    <x v="1"/>
    <x v="1"/>
    <x v="0"/>
    <s v="Standard"/>
    <n v="13"/>
  </r>
  <r>
    <x v="522"/>
    <x v="10"/>
    <x v="1"/>
    <x v="0"/>
    <x v="0"/>
    <x v="3"/>
    <x v="1"/>
    <s v="Acobambilla"/>
    <x v="10"/>
    <n v="494.18"/>
    <x v="1"/>
    <x v="0"/>
    <x v="2"/>
    <x v="0"/>
    <x v="2"/>
    <n v="5"/>
    <n v="1"/>
    <x v="1"/>
    <x v="0"/>
    <n v="1"/>
    <x v="2"/>
    <n v="2"/>
    <x v="3"/>
    <x v="2"/>
    <x v="1"/>
    <x v="149"/>
    <x v="1"/>
    <x v="1"/>
    <x v="2"/>
    <x v="1"/>
    <x v="1"/>
    <x v="2"/>
    <s v="Standard"/>
    <n v="14"/>
  </r>
  <r>
    <x v="523"/>
    <x v="16"/>
    <x v="1"/>
    <x v="1"/>
    <x v="1"/>
    <x v="2"/>
    <x v="0"/>
    <s v="Ābdānān"/>
    <x v="7"/>
    <n v="494.34"/>
    <x v="0"/>
    <x v="1"/>
    <x v="0"/>
    <x v="4"/>
    <x v="0"/>
    <n v="3"/>
    <n v="0.25"/>
    <x v="3"/>
    <x v="1"/>
    <n v="1"/>
    <x v="0"/>
    <n v="8"/>
    <x v="2"/>
    <x v="2"/>
    <x v="0"/>
    <x v="237"/>
    <x v="0"/>
    <x v="0"/>
    <x v="0"/>
    <x v="1"/>
    <x v="1"/>
    <x v="0"/>
    <s v="Express"/>
    <n v="3"/>
  </r>
  <r>
    <x v="524"/>
    <x v="10"/>
    <x v="1"/>
    <x v="1"/>
    <x v="0"/>
    <x v="3"/>
    <x v="1"/>
    <s v="Muff"/>
    <x v="19"/>
    <n v="494.97"/>
    <x v="0"/>
    <x v="1"/>
    <x v="1"/>
    <x v="4"/>
    <x v="2"/>
    <n v="4"/>
    <n v="2"/>
    <x v="2"/>
    <x v="0"/>
    <n v="1"/>
    <x v="1"/>
    <n v="5"/>
    <x v="2"/>
    <x v="1"/>
    <x v="0"/>
    <x v="277"/>
    <x v="1"/>
    <x v="1"/>
    <x v="5"/>
    <x v="1"/>
    <x v="1"/>
    <x v="1"/>
    <s v="No Preference"/>
    <n v="7"/>
  </r>
  <r>
    <x v="525"/>
    <x v="13"/>
    <x v="1"/>
    <x v="1"/>
    <x v="1"/>
    <x v="3"/>
    <x v="1"/>
    <s v="Saltpond"/>
    <x v="15"/>
    <n v="495.8"/>
    <x v="8"/>
    <x v="0"/>
    <x v="2"/>
    <x v="2"/>
    <x v="1"/>
    <n v="2"/>
    <n v="1"/>
    <x v="2"/>
    <x v="0"/>
    <n v="0"/>
    <x v="1"/>
    <n v="7"/>
    <x v="3"/>
    <x v="1"/>
    <x v="2"/>
    <x v="36"/>
    <x v="2"/>
    <x v="8"/>
    <x v="4"/>
    <x v="0"/>
    <x v="0"/>
    <x v="0"/>
    <s v="Standard"/>
    <n v="10"/>
  </r>
  <r>
    <x v="526"/>
    <x v="10"/>
    <x v="1"/>
    <x v="1"/>
    <x v="1"/>
    <x v="1"/>
    <x v="2"/>
    <s v="San Nicolas"/>
    <x v="8"/>
    <n v="495.95"/>
    <x v="3"/>
    <x v="0"/>
    <x v="1"/>
    <x v="0"/>
    <x v="1"/>
    <n v="2"/>
    <n v="0"/>
    <x v="3"/>
    <x v="1"/>
    <n v="1"/>
    <x v="1"/>
    <n v="7"/>
    <x v="3"/>
    <x v="0"/>
    <x v="4"/>
    <x v="278"/>
    <x v="0"/>
    <x v="5"/>
    <x v="3"/>
    <x v="1"/>
    <x v="1"/>
    <x v="1"/>
    <s v="No Preference"/>
    <n v="6"/>
  </r>
  <r>
    <x v="527"/>
    <x v="8"/>
    <x v="1"/>
    <x v="0"/>
    <x v="0"/>
    <x v="3"/>
    <x v="0"/>
    <s v="Wādī as Salqā"/>
    <x v="15"/>
    <n v="497.76"/>
    <x v="5"/>
    <x v="0"/>
    <x v="1"/>
    <x v="2"/>
    <x v="1"/>
    <n v="2"/>
    <n v="2"/>
    <x v="3"/>
    <x v="1"/>
    <n v="2"/>
    <x v="2"/>
    <n v="3"/>
    <x v="0"/>
    <x v="0"/>
    <x v="3"/>
    <x v="279"/>
    <x v="0"/>
    <x v="0"/>
    <x v="5"/>
    <x v="0"/>
    <x v="0"/>
    <x v="0"/>
    <s v="No Preference"/>
    <n v="4"/>
  </r>
  <r>
    <x v="528"/>
    <x v="13"/>
    <x v="1"/>
    <x v="1"/>
    <x v="0"/>
    <x v="3"/>
    <x v="1"/>
    <s v="Longotea"/>
    <x v="9"/>
    <n v="498.23"/>
    <x v="2"/>
    <x v="1"/>
    <x v="0"/>
    <x v="4"/>
    <x v="1"/>
    <n v="2"/>
    <n v="0"/>
    <x v="0"/>
    <x v="1"/>
    <n v="0"/>
    <x v="1"/>
    <n v="7"/>
    <x v="0"/>
    <x v="0"/>
    <x v="4"/>
    <x v="111"/>
    <x v="3"/>
    <x v="4"/>
    <x v="4"/>
    <x v="0"/>
    <x v="1"/>
    <x v="1"/>
    <s v="No Preference"/>
    <n v="9"/>
  </r>
  <r>
    <x v="529"/>
    <x v="17"/>
    <x v="1"/>
    <x v="0"/>
    <x v="1"/>
    <x v="0"/>
    <x v="0"/>
    <s v="Malasin"/>
    <x v="15"/>
    <n v="498.33"/>
    <x v="5"/>
    <x v="0"/>
    <x v="0"/>
    <x v="3"/>
    <x v="2"/>
    <n v="5"/>
    <n v="2"/>
    <x v="1"/>
    <x v="1"/>
    <n v="1"/>
    <x v="0"/>
    <n v="9"/>
    <x v="0"/>
    <x v="0"/>
    <x v="2"/>
    <x v="280"/>
    <x v="0"/>
    <x v="7"/>
    <x v="3"/>
    <x v="0"/>
    <x v="0"/>
    <x v="0"/>
    <s v="Express"/>
    <n v="1"/>
  </r>
  <r>
    <x v="530"/>
    <x v="18"/>
    <x v="2"/>
    <x v="0"/>
    <x v="1"/>
    <x v="1"/>
    <x v="2"/>
    <s v="Yishui"/>
    <x v="8"/>
    <n v="50.78"/>
    <x v="1"/>
    <x v="0"/>
    <x v="0"/>
    <x v="4"/>
    <x v="1"/>
    <n v="1"/>
    <n v="1"/>
    <x v="2"/>
    <x v="2"/>
    <n v="1"/>
    <x v="0"/>
    <n v="8"/>
    <x v="3"/>
    <x v="1"/>
    <x v="0"/>
    <x v="281"/>
    <x v="3"/>
    <x v="4"/>
    <x v="5"/>
    <x v="1"/>
    <x v="0"/>
    <x v="2"/>
    <s v="Standard"/>
    <n v="9"/>
  </r>
  <r>
    <x v="531"/>
    <x v="19"/>
    <x v="2"/>
    <x v="1"/>
    <x v="1"/>
    <x v="0"/>
    <x v="1"/>
    <s v="As Sawdā"/>
    <x v="14"/>
    <n v="52.24"/>
    <x v="7"/>
    <x v="0"/>
    <x v="1"/>
    <x v="3"/>
    <x v="1"/>
    <n v="1"/>
    <n v="0"/>
    <x v="2"/>
    <x v="0"/>
    <n v="2"/>
    <x v="2"/>
    <n v="4"/>
    <x v="1"/>
    <x v="0"/>
    <x v="3"/>
    <x v="282"/>
    <x v="3"/>
    <x v="9"/>
    <x v="6"/>
    <x v="0"/>
    <x v="0"/>
    <x v="3"/>
    <s v="Standard"/>
    <n v="8"/>
  </r>
  <r>
    <x v="532"/>
    <x v="18"/>
    <x v="2"/>
    <x v="2"/>
    <x v="0"/>
    <x v="3"/>
    <x v="0"/>
    <s v="Giesteira"/>
    <x v="1"/>
    <n v="52.79"/>
    <x v="8"/>
    <x v="0"/>
    <x v="0"/>
    <x v="1"/>
    <x v="1"/>
    <n v="2"/>
    <n v="0"/>
    <x v="2"/>
    <x v="0"/>
    <n v="1"/>
    <x v="1"/>
    <n v="7"/>
    <x v="3"/>
    <x v="1"/>
    <x v="0"/>
    <x v="117"/>
    <x v="3"/>
    <x v="11"/>
    <x v="1"/>
    <x v="0"/>
    <x v="0"/>
    <x v="3"/>
    <s v="Express"/>
    <n v="4"/>
  </r>
  <r>
    <x v="533"/>
    <x v="20"/>
    <x v="2"/>
    <x v="0"/>
    <x v="0"/>
    <x v="1"/>
    <x v="1"/>
    <s v="Duyure"/>
    <x v="8"/>
    <n v="53.67"/>
    <x v="4"/>
    <x v="0"/>
    <x v="0"/>
    <x v="3"/>
    <x v="2"/>
    <n v="5"/>
    <n v="1"/>
    <x v="3"/>
    <x v="0"/>
    <n v="0"/>
    <x v="2"/>
    <n v="2"/>
    <x v="1"/>
    <x v="2"/>
    <x v="2"/>
    <x v="181"/>
    <x v="0"/>
    <x v="5"/>
    <x v="2"/>
    <x v="1"/>
    <x v="1"/>
    <x v="1"/>
    <s v="Express"/>
    <n v="11"/>
  </r>
  <r>
    <x v="534"/>
    <x v="21"/>
    <x v="2"/>
    <x v="1"/>
    <x v="0"/>
    <x v="0"/>
    <x v="1"/>
    <s v="Longhuashan"/>
    <x v="16"/>
    <n v="54.17"/>
    <x v="8"/>
    <x v="0"/>
    <x v="2"/>
    <x v="0"/>
    <x v="2"/>
    <n v="5"/>
    <n v="0"/>
    <x v="1"/>
    <x v="2"/>
    <n v="2"/>
    <x v="2"/>
    <n v="2"/>
    <x v="0"/>
    <x v="2"/>
    <x v="3"/>
    <x v="167"/>
    <x v="3"/>
    <x v="4"/>
    <x v="6"/>
    <x v="1"/>
    <x v="0"/>
    <x v="1"/>
    <s v="No Preference"/>
    <n v="7"/>
  </r>
  <r>
    <x v="535"/>
    <x v="18"/>
    <x v="2"/>
    <x v="5"/>
    <x v="1"/>
    <x v="2"/>
    <x v="1"/>
    <s v="Zhongying"/>
    <x v="15"/>
    <n v="54.74"/>
    <x v="8"/>
    <x v="0"/>
    <x v="1"/>
    <x v="2"/>
    <x v="1"/>
    <n v="2"/>
    <n v="0"/>
    <x v="0"/>
    <x v="2"/>
    <n v="0"/>
    <x v="2"/>
    <n v="4"/>
    <x v="2"/>
    <x v="0"/>
    <x v="2"/>
    <x v="185"/>
    <x v="2"/>
    <x v="6"/>
    <x v="6"/>
    <x v="0"/>
    <x v="0"/>
    <x v="3"/>
    <s v="No Preference"/>
    <n v="14"/>
  </r>
  <r>
    <x v="536"/>
    <x v="22"/>
    <x v="2"/>
    <x v="1"/>
    <x v="0"/>
    <x v="0"/>
    <x v="1"/>
    <s v="Lederaba"/>
    <x v="2"/>
    <n v="56.74"/>
    <x v="3"/>
    <x v="0"/>
    <x v="0"/>
    <x v="4"/>
    <x v="1"/>
    <n v="1"/>
    <n v="0"/>
    <x v="1"/>
    <x v="1"/>
    <n v="0"/>
    <x v="1"/>
    <n v="6"/>
    <x v="3"/>
    <x v="0"/>
    <x v="4"/>
    <x v="283"/>
    <x v="1"/>
    <x v="10"/>
    <x v="3"/>
    <x v="0"/>
    <x v="1"/>
    <x v="3"/>
    <s v="Express"/>
    <n v="7"/>
  </r>
  <r>
    <x v="537"/>
    <x v="23"/>
    <x v="2"/>
    <x v="1"/>
    <x v="0"/>
    <x v="3"/>
    <x v="1"/>
    <s v="Narok"/>
    <x v="16"/>
    <n v="57.5"/>
    <x v="0"/>
    <x v="0"/>
    <x v="0"/>
    <x v="4"/>
    <x v="1"/>
    <n v="1"/>
    <n v="1"/>
    <x v="0"/>
    <x v="0"/>
    <n v="0"/>
    <x v="2"/>
    <n v="3"/>
    <x v="3"/>
    <x v="2"/>
    <x v="1"/>
    <x v="123"/>
    <x v="3"/>
    <x v="9"/>
    <x v="0"/>
    <x v="0"/>
    <x v="0"/>
    <x v="3"/>
    <s v="No Preference"/>
    <n v="13"/>
  </r>
  <r>
    <x v="538"/>
    <x v="23"/>
    <x v="2"/>
    <x v="1"/>
    <x v="1"/>
    <x v="3"/>
    <x v="0"/>
    <s v="Sala"/>
    <x v="8"/>
    <n v="61.5"/>
    <x v="7"/>
    <x v="0"/>
    <x v="2"/>
    <x v="0"/>
    <x v="1"/>
    <n v="2"/>
    <n v="0"/>
    <x v="1"/>
    <x v="1"/>
    <n v="0"/>
    <x v="2"/>
    <n v="1"/>
    <x v="1"/>
    <x v="0"/>
    <x v="4"/>
    <x v="284"/>
    <x v="3"/>
    <x v="4"/>
    <x v="5"/>
    <x v="0"/>
    <x v="0"/>
    <x v="1"/>
    <s v="Express"/>
    <n v="8"/>
  </r>
  <r>
    <x v="539"/>
    <x v="19"/>
    <x v="2"/>
    <x v="0"/>
    <x v="1"/>
    <x v="3"/>
    <x v="1"/>
    <s v="Kozel’shchyna"/>
    <x v="19"/>
    <n v="61.86"/>
    <x v="3"/>
    <x v="0"/>
    <x v="1"/>
    <x v="0"/>
    <x v="2"/>
    <n v="5"/>
    <n v="2"/>
    <x v="0"/>
    <x v="0"/>
    <n v="2"/>
    <x v="0"/>
    <n v="8"/>
    <x v="3"/>
    <x v="0"/>
    <x v="1"/>
    <x v="229"/>
    <x v="2"/>
    <x v="3"/>
    <x v="5"/>
    <x v="1"/>
    <x v="0"/>
    <x v="2"/>
    <s v="Standard"/>
    <n v="9"/>
  </r>
  <r>
    <x v="540"/>
    <x v="19"/>
    <x v="2"/>
    <x v="1"/>
    <x v="0"/>
    <x v="2"/>
    <x v="1"/>
    <s v="Rat Burana"/>
    <x v="11"/>
    <n v="63.91"/>
    <x v="5"/>
    <x v="0"/>
    <x v="0"/>
    <x v="2"/>
    <x v="2"/>
    <n v="4"/>
    <n v="2"/>
    <x v="0"/>
    <x v="0"/>
    <n v="0"/>
    <x v="1"/>
    <n v="6"/>
    <x v="0"/>
    <x v="0"/>
    <x v="1"/>
    <x v="281"/>
    <x v="3"/>
    <x v="4"/>
    <x v="5"/>
    <x v="1"/>
    <x v="0"/>
    <x v="1"/>
    <s v="No Preference"/>
    <n v="12"/>
  </r>
  <r>
    <x v="541"/>
    <x v="19"/>
    <x v="2"/>
    <x v="0"/>
    <x v="0"/>
    <x v="2"/>
    <x v="1"/>
    <s v="Praia"/>
    <x v="13"/>
    <n v="64.09"/>
    <x v="2"/>
    <x v="0"/>
    <x v="0"/>
    <x v="4"/>
    <x v="2"/>
    <n v="5"/>
    <n v="0"/>
    <x v="0"/>
    <x v="2"/>
    <n v="0"/>
    <x v="1"/>
    <n v="6"/>
    <x v="2"/>
    <x v="2"/>
    <x v="3"/>
    <x v="26"/>
    <x v="2"/>
    <x v="6"/>
    <x v="0"/>
    <x v="0"/>
    <x v="1"/>
    <x v="2"/>
    <s v="Express"/>
    <n v="7"/>
  </r>
  <r>
    <x v="542"/>
    <x v="21"/>
    <x v="2"/>
    <x v="0"/>
    <x v="0"/>
    <x v="0"/>
    <x v="1"/>
    <s v="Blantyre"/>
    <x v="10"/>
    <n v="65.680000000000007"/>
    <x v="8"/>
    <x v="0"/>
    <x v="1"/>
    <x v="0"/>
    <x v="2"/>
    <n v="4"/>
    <n v="0"/>
    <x v="1"/>
    <x v="0"/>
    <n v="0"/>
    <x v="0"/>
    <n v="8"/>
    <x v="0"/>
    <x v="0"/>
    <x v="4"/>
    <x v="148"/>
    <x v="0"/>
    <x v="7"/>
    <x v="1"/>
    <x v="1"/>
    <x v="1"/>
    <x v="3"/>
    <s v="Standard"/>
    <n v="12"/>
  </r>
  <r>
    <x v="543"/>
    <x v="21"/>
    <x v="2"/>
    <x v="1"/>
    <x v="1"/>
    <x v="3"/>
    <x v="2"/>
    <s v="Newton"/>
    <x v="10"/>
    <n v="74.09"/>
    <x v="2"/>
    <x v="0"/>
    <x v="2"/>
    <x v="2"/>
    <x v="2"/>
    <n v="4"/>
    <n v="2"/>
    <x v="0"/>
    <x v="2"/>
    <n v="2"/>
    <x v="0"/>
    <n v="9"/>
    <x v="2"/>
    <x v="1"/>
    <x v="4"/>
    <x v="25"/>
    <x v="0"/>
    <x v="7"/>
    <x v="3"/>
    <x v="0"/>
    <x v="0"/>
    <x v="3"/>
    <s v="Standard"/>
    <n v="8"/>
  </r>
  <r>
    <x v="544"/>
    <x v="24"/>
    <x v="2"/>
    <x v="1"/>
    <x v="0"/>
    <x v="2"/>
    <x v="2"/>
    <s v="Kościelec"/>
    <x v="11"/>
    <n v="75.27"/>
    <x v="4"/>
    <x v="0"/>
    <x v="2"/>
    <x v="3"/>
    <x v="2"/>
    <n v="4"/>
    <n v="1"/>
    <x v="0"/>
    <x v="0"/>
    <n v="2"/>
    <x v="2"/>
    <n v="3"/>
    <x v="3"/>
    <x v="2"/>
    <x v="2"/>
    <x v="285"/>
    <x v="3"/>
    <x v="9"/>
    <x v="5"/>
    <x v="0"/>
    <x v="0"/>
    <x v="3"/>
    <s v="Express"/>
    <n v="1"/>
  </r>
  <r>
    <x v="545"/>
    <x v="23"/>
    <x v="2"/>
    <x v="0"/>
    <x v="1"/>
    <x v="2"/>
    <x v="1"/>
    <s v="Rzeczenica"/>
    <x v="5"/>
    <n v="75.91"/>
    <x v="0"/>
    <x v="0"/>
    <x v="2"/>
    <x v="3"/>
    <x v="2"/>
    <n v="5"/>
    <n v="2"/>
    <x v="2"/>
    <x v="1"/>
    <n v="0"/>
    <x v="1"/>
    <n v="6"/>
    <x v="3"/>
    <x v="2"/>
    <x v="2"/>
    <x v="234"/>
    <x v="2"/>
    <x v="3"/>
    <x v="6"/>
    <x v="0"/>
    <x v="0"/>
    <x v="1"/>
    <s v="No Preference"/>
    <n v="1"/>
  </r>
  <r>
    <x v="546"/>
    <x v="24"/>
    <x v="2"/>
    <x v="1"/>
    <x v="1"/>
    <x v="0"/>
    <x v="1"/>
    <s v="Santa Cruz La Laguna"/>
    <x v="3"/>
    <n v="76.27"/>
    <x v="8"/>
    <x v="0"/>
    <x v="1"/>
    <x v="1"/>
    <x v="0"/>
    <n v="3"/>
    <n v="0"/>
    <x v="0"/>
    <x v="0"/>
    <n v="0"/>
    <x v="0"/>
    <n v="8"/>
    <x v="0"/>
    <x v="0"/>
    <x v="3"/>
    <x v="158"/>
    <x v="3"/>
    <x v="9"/>
    <x v="1"/>
    <x v="0"/>
    <x v="1"/>
    <x v="0"/>
    <s v="Standard"/>
    <n v="10"/>
  </r>
  <r>
    <x v="547"/>
    <x v="19"/>
    <x v="2"/>
    <x v="1"/>
    <x v="1"/>
    <x v="0"/>
    <x v="1"/>
    <s v="São Torcato"/>
    <x v="7"/>
    <n v="78.64"/>
    <x v="3"/>
    <x v="0"/>
    <x v="2"/>
    <x v="3"/>
    <x v="2"/>
    <n v="4"/>
    <n v="2"/>
    <x v="3"/>
    <x v="2"/>
    <n v="0"/>
    <x v="2"/>
    <n v="3"/>
    <x v="1"/>
    <x v="1"/>
    <x v="2"/>
    <x v="55"/>
    <x v="0"/>
    <x v="7"/>
    <x v="0"/>
    <x v="0"/>
    <x v="1"/>
    <x v="1"/>
    <s v="Standard"/>
    <n v="12"/>
  </r>
  <r>
    <x v="548"/>
    <x v="22"/>
    <x v="2"/>
    <x v="0"/>
    <x v="1"/>
    <x v="0"/>
    <x v="2"/>
    <s v="Créteil"/>
    <x v="12"/>
    <n v="79"/>
    <x v="2"/>
    <x v="0"/>
    <x v="0"/>
    <x v="2"/>
    <x v="1"/>
    <n v="2"/>
    <n v="1"/>
    <x v="1"/>
    <x v="1"/>
    <n v="2"/>
    <x v="1"/>
    <n v="6"/>
    <x v="2"/>
    <x v="0"/>
    <x v="1"/>
    <x v="286"/>
    <x v="2"/>
    <x v="8"/>
    <x v="2"/>
    <x v="1"/>
    <x v="0"/>
    <x v="1"/>
    <s v="Standard"/>
    <n v="7"/>
  </r>
  <r>
    <x v="549"/>
    <x v="18"/>
    <x v="2"/>
    <x v="0"/>
    <x v="0"/>
    <x v="0"/>
    <x v="2"/>
    <s v="Doibang"/>
    <x v="10"/>
    <n v="79.3"/>
    <x v="2"/>
    <x v="0"/>
    <x v="0"/>
    <x v="3"/>
    <x v="1"/>
    <n v="2"/>
    <n v="1"/>
    <x v="2"/>
    <x v="2"/>
    <n v="2"/>
    <x v="2"/>
    <n v="4"/>
    <x v="1"/>
    <x v="0"/>
    <x v="0"/>
    <x v="68"/>
    <x v="2"/>
    <x v="8"/>
    <x v="1"/>
    <x v="1"/>
    <x v="1"/>
    <x v="1"/>
    <s v="No Preference"/>
    <n v="2"/>
  </r>
  <r>
    <x v="550"/>
    <x v="19"/>
    <x v="2"/>
    <x v="0"/>
    <x v="1"/>
    <x v="1"/>
    <x v="2"/>
    <s v="Bronnitsy"/>
    <x v="16"/>
    <n v="80.17"/>
    <x v="2"/>
    <x v="0"/>
    <x v="0"/>
    <x v="2"/>
    <x v="1"/>
    <n v="1"/>
    <n v="1"/>
    <x v="3"/>
    <x v="0"/>
    <n v="1"/>
    <x v="0"/>
    <n v="8"/>
    <x v="3"/>
    <x v="1"/>
    <x v="3"/>
    <x v="217"/>
    <x v="0"/>
    <x v="7"/>
    <x v="5"/>
    <x v="0"/>
    <x v="0"/>
    <x v="1"/>
    <s v="No Preference"/>
    <n v="6"/>
  </r>
  <r>
    <x v="551"/>
    <x v="19"/>
    <x v="2"/>
    <x v="1"/>
    <x v="1"/>
    <x v="2"/>
    <x v="0"/>
    <s v="Lahan Sai"/>
    <x v="6"/>
    <n v="82.39"/>
    <x v="0"/>
    <x v="0"/>
    <x v="1"/>
    <x v="4"/>
    <x v="1"/>
    <n v="1"/>
    <n v="1"/>
    <x v="0"/>
    <x v="2"/>
    <n v="0"/>
    <x v="0"/>
    <n v="8"/>
    <x v="3"/>
    <x v="0"/>
    <x v="4"/>
    <x v="104"/>
    <x v="3"/>
    <x v="11"/>
    <x v="2"/>
    <x v="1"/>
    <x v="1"/>
    <x v="1"/>
    <s v="Express"/>
    <n v="1"/>
  </r>
  <r>
    <x v="552"/>
    <x v="21"/>
    <x v="2"/>
    <x v="1"/>
    <x v="0"/>
    <x v="3"/>
    <x v="2"/>
    <s v="Orsay"/>
    <x v="15"/>
    <n v="83.21"/>
    <x v="2"/>
    <x v="0"/>
    <x v="0"/>
    <x v="0"/>
    <x v="0"/>
    <n v="3"/>
    <n v="2"/>
    <x v="2"/>
    <x v="2"/>
    <n v="0"/>
    <x v="2"/>
    <n v="4"/>
    <x v="1"/>
    <x v="2"/>
    <x v="4"/>
    <x v="35"/>
    <x v="0"/>
    <x v="0"/>
    <x v="3"/>
    <x v="1"/>
    <x v="1"/>
    <x v="3"/>
    <s v="Standard"/>
    <n v="7"/>
  </r>
  <r>
    <x v="553"/>
    <x v="18"/>
    <x v="2"/>
    <x v="1"/>
    <x v="1"/>
    <x v="1"/>
    <x v="0"/>
    <s v="Shiqiao"/>
    <x v="6"/>
    <n v="84.15"/>
    <x v="2"/>
    <x v="0"/>
    <x v="1"/>
    <x v="2"/>
    <x v="0"/>
    <n v="3"/>
    <n v="1"/>
    <x v="3"/>
    <x v="0"/>
    <n v="2"/>
    <x v="2"/>
    <n v="1"/>
    <x v="1"/>
    <x v="2"/>
    <x v="2"/>
    <x v="287"/>
    <x v="2"/>
    <x v="3"/>
    <x v="0"/>
    <x v="0"/>
    <x v="0"/>
    <x v="3"/>
    <s v="Standard"/>
    <n v="1"/>
  </r>
  <r>
    <x v="554"/>
    <x v="25"/>
    <x v="2"/>
    <x v="0"/>
    <x v="1"/>
    <x v="3"/>
    <x v="1"/>
    <s v="Pokrovka"/>
    <x v="8"/>
    <n v="85.03"/>
    <x v="6"/>
    <x v="0"/>
    <x v="1"/>
    <x v="4"/>
    <x v="2"/>
    <n v="4"/>
    <n v="1"/>
    <x v="1"/>
    <x v="0"/>
    <n v="0"/>
    <x v="0"/>
    <n v="9"/>
    <x v="1"/>
    <x v="0"/>
    <x v="3"/>
    <x v="243"/>
    <x v="2"/>
    <x v="6"/>
    <x v="0"/>
    <x v="0"/>
    <x v="0"/>
    <x v="0"/>
    <s v="Express"/>
    <n v="8"/>
  </r>
  <r>
    <x v="555"/>
    <x v="22"/>
    <x v="2"/>
    <x v="0"/>
    <x v="0"/>
    <x v="0"/>
    <x v="1"/>
    <s v="Pho Duc"/>
    <x v="11"/>
    <n v="85.52"/>
    <x v="4"/>
    <x v="0"/>
    <x v="2"/>
    <x v="2"/>
    <x v="2"/>
    <n v="5"/>
    <n v="0"/>
    <x v="1"/>
    <x v="2"/>
    <n v="1"/>
    <x v="2"/>
    <n v="3"/>
    <x v="2"/>
    <x v="0"/>
    <x v="4"/>
    <x v="77"/>
    <x v="2"/>
    <x v="6"/>
    <x v="6"/>
    <x v="1"/>
    <x v="0"/>
    <x v="1"/>
    <s v="No Preference"/>
    <n v="7"/>
  </r>
  <r>
    <x v="556"/>
    <x v="26"/>
    <x v="2"/>
    <x v="0"/>
    <x v="0"/>
    <x v="0"/>
    <x v="0"/>
    <s v="Laocheng"/>
    <x v="6"/>
    <n v="87.03"/>
    <x v="2"/>
    <x v="0"/>
    <x v="2"/>
    <x v="2"/>
    <x v="1"/>
    <n v="1"/>
    <n v="0"/>
    <x v="2"/>
    <x v="1"/>
    <n v="1"/>
    <x v="1"/>
    <n v="5"/>
    <x v="1"/>
    <x v="2"/>
    <x v="2"/>
    <x v="194"/>
    <x v="1"/>
    <x v="1"/>
    <x v="0"/>
    <x v="1"/>
    <x v="0"/>
    <x v="2"/>
    <s v="No Preference"/>
    <n v="7"/>
  </r>
  <r>
    <x v="557"/>
    <x v="20"/>
    <x v="2"/>
    <x v="0"/>
    <x v="1"/>
    <x v="2"/>
    <x v="2"/>
    <s v="Arendal"/>
    <x v="20"/>
    <n v="88.78"/>
    <x v="2"/>
    <x v="0"/>
    <x v="0"/>
    <x v="4"/>
    <x v="0"/>
    <n v="3"/>
    <n v="0"/>
    <x v="3"/>
    <x v="1"/>
    <n v="1"/>
    <x v="1"/>
    <n v="7"/>
    <x v="0"/>
    <x v="2"/>
    <x v="2"/>
    <x v="188"/>
    <x v="3"/>
    <x v="4"/>
    <x v="2"/>
    <x v="1"/>
    <x v="1"/>
    <x v="1"/>
    <s v="Standard"/>
    <n v="13"/>
  </r>
  <r>
    <x v="558"/>
    <x v="21"/>
    <x v="2"/>
    <x v="1"/>
    <x v="0"/>
    <x v="1"/>
    <x v="0"/>
    <s v="João Câmara"/>
    <x v="4"/>
    <n v="89.32"/>
    <x v="7"/>
    <x v="0"/>
    <x v="0"/>
    <x v="2"/>
    <x v="1"/>
    <n v="1"/>
    <n v="0.3"/>
    <x v="2"/>
    <x v="2"/>
    <n v="1"/>
    <x v="2"/>
    <n v="3"/>
    <x v="1"/>
    <x v="2"/>
    <x v="4"/>
    <x v="226"/>
    <x v="0"/>
    <x v="5"/>
    <x v="1"/>
    <x v="0"/>
    <x v="1"/>
    <x v="0"/>
    <s v="No Preference"/>
    <n v="12"/>
  </r>
  <r>
    <x v="559"/>
    <x v="23"/>
    <x v="2"/>
    <x v="1"/>
    <x v="0"/>
    <x v="2"/>
    <x v="0"/>
    <s v="Abaeté"/>
    <x v="16"/>
    <n v="92.97"/>
    <x v="1"/>
    <x v="0"/>
    <x v="1"/>
    <x v="4"/>
    <x v="2"/>
    <n v="5"/>
    <n v="0"/>
    <x v="1"/>
    <x v="1"/>
    <n v="0"/>
    <x v="1"/>
    <n v="7"/>
    <x v="2"/>
    <x v="2"/>
    <x v="4"/>
    <x v="60"/>
    <x v="3"/>
    <x v="9"/>
    <x v="0"/>
    <x v="1"/>
    <x v="0"/>
    <x v="3"/>
    <s v="Standard"/>
    <n v="7"/>
  </r>
  <r>
    <x v="560"/>
    <x v="22"/>
    <x v="2"/>
    <x v="0"/>
    <x v="1"/>
    <x v="2"/>
    <x v="1"/>
    <s v="Linao"/>
    <x v="20"/>
    <n v="96.52"/>
    <x v="7"/>
    <x v="0"/>
    <x v="1"/>
    <x v="4"/>
    <x v="0"/>
    <n v="3"/>
    <n v="2"/>
    <x v="2"/>
    <x v="0"/>
    <n v="1"/>
    <x v="2"/>
    <n v="3"/>
    <x v="3"/>
    <x v="1"/>
    <x v="1"/>
    <x v="0"/>
    <x v="0"/>
    <x v="0"/>
    <x v="0"/>
    <x v="1"/>
    <x v="1"/>
    <x v="1"/>
    <s v="Standard"/>
    <n v="11"/>
  </r>
  <r>
    <x v="561"/>
    <x v="18"/>
    <x v="2"/>
    <x v="0"/>
    <x v="0"/>
    <x v="1"/>
    <x v="2"/>
    <s v="Pedra Azul"/>
    <x v="10"/>
    <n v="98.97"/>
    <x v="0"/>
    <x v="0"/>
    <x v="1"/>
    <x v="1"/>
    <x v="2"/>
    <n v="5"/>
    <n v="2"/>
    <x v="0"/>
    <x v="1"/>
    <n v="1"/>
    <x v="1"/>
    <n v="7"/>
    <x v="1"/>
    <x v="1"/>
    <x v="4"/>
    <x v="288"/>
    <x v="0"/>
    <x v="0"/>
    <x v="1"/>
    <x v="0"/>
    <x v="0"/>
    <x v="3"/>
    <s v="No Preference"/>
    <n v="11"/>
  </r>
  <r>
    <x v="562"/>
    <x v="23"/>
    <x v="2"/>
    <x v="1"/>
    <x v="0"/>
    <x v="3"/>
    <x v="1"/>
    <s v="Proptisht"/>
    <x v="10"/>
    <n v="102.09"/>
    <x v="10"/>
    <x v="0"/>
    <x v="2"/>
    <x v="2"/>
    <x v="2"/>
    <n v="4"/>
    <n v="0"/>
    <x v="0"/>
    <x v="1"/>
    <n v="1"/>
    <x v="0"/>
    <n v="9"/>
    <x v="0"/>
    <x v="1"/>
    <x v="2"/>
    <x v="4"/>
    <x v="0"/>
    <x v="0"/>
    <x v="3"/>
    <x v="1"/>
    <x v="0"/>
    <x v="2"/>
    <s v="Express"/>
    <n v="1"/>
  </r>
  <r>
    <x v="563"/>
    <x v="20"/>
    <x v="2"/>
    <x v="1"/>
    <x v="1"/>
    <x v="2"/>
    <x v="2"/>
    <s v="Juyuan"/>
    <x v="17"/>
    <n v="102.73"/>
    <x v="10"/>
    <x v="0"/>
    <x v="2"/>
    <x v="0"/>
    <x v="2"/>
    <n v="5"/>
    <n v="0.3"/>
    <x v="0"/>
    <x v="0"/>
    <n v="2"/>
    <x v="1"/>
    <n v="5"/>
    <x v="3"/>
    <x v="1"/>
    <x v="0"/>
    <x v="122"/>
    <x v="1"/>
    <x v="10"/>
    <x v="6"/>
    <x v="1"/>
    <x v="1"/>
    <x v="0"/>
    <s v="Express"/>
    <n v="14"/>
  </r>
  <r>
    <x v="564"/>
    <x v="20"/>
    <x v="2"/>
    <x v="1"/>
    <x v="0"/>
    <x v="1"/>
    <x v="0"/>
    <s v="Gaowu"/>
    <x v="13"/>
    <n v="105.64"/>
    <x v="1"/>
    <x v="0"/>
    <x v="0"/>
    <x v="2"/>
    <x v="0"/>
    <n v="3"/>
    <n v="0"/>
    <x v="2"/>
    <x v="1"/>
    <n v="2"/>
    <x v="2"/>
    <n v="1"/>
    <x v="3"/>
    <x v="0"/>
    <x v="4"/>
    <x v="289"/>
    <x v="0"/>
    <x v="5"/>
    <x v="2"/>
    <x v="0"/>
    <x v="0"/>
    <x v="1"/>
    <s v="No Preference"/>
    <n v="12"/>
  </r>
  <r>
    <x v="565"/>
    <x v="20"/>
    <x v="2"/>
    <x v="1"/>
    <x v="0"/>
    <x v="1"/>
    <x v="1"/>
    <s v="Kostrovo"/>
    <x v="13"/>
    <n v="105.76"/>
    <x v="9"/>
    <x v="0"/>
    <x v="0"/>
    <x v="0"/>
    <x v="2"/>
    <n v="4"/>
    <n v="2"/>
    <x v="0"/>
    <x v="1"/>
    <n v="1"/>
    <x v="0"/>
    <n v="8"/>
    <x v="0"/>
    <x v="1"/>
    <x v="3"/>
    <x v="62"/>
    <x v="3"/>
    <x v="4"/>
    <x v="6"/>
    <x v="1"/>
    <x v="1"/>
    <x v="1"/>
    <s v="Express"/>
    <n v="4"/>
  </r>
  <r>
    <x v="566"/>
    <x v="23"/>
    <x v="2"/>
    <x v="0"/>
    <x v="1"/>
    <x v="2"/>
    <x v="1"/>
    <s v="Cockburn Town"/>
    <x v="7"/>
    <n v="107.21"/>
    <x v="5"/>
    <x v="0"/>
    <x v="0"/>
    <x v="0"/>
    <x v="1"/>
    <n v="2"/>
    <n v="1"/>
    <x v="0"/>
    <x v="0"/>
    <n v="2"/>
    <x v="0"/>
    <n v="9"/>
    <x v="0"/>
    <x v="2"/>
    <x v="4"/>
    <x v="165"/>
    <x v="1"/>
    <x v="1"/>
    <x v="4"/>
    <x v="0"/>
    <x v="0"/>
    <x v="1"/>
    <s v="Standard"/>
    <n v="6"/>
  </r>
  <r>
    <x v="567"/>
    <x v="19"/>
    <x v="2"/>
    <x v="5"/>
    <x v="1"/>
    <x v="3"/>
    <x v="1"/>
    <s v="Poá"/>
    <x v="17"/>
    <n v="108.5"/>
    <x v="7"/>
    <x v="0"/>
    <x v="2"/>
    <x v="4"/>
    <x v="2"/>
    <n v="5"/>
    <n v="0"/>
    <x v="0"/>
    <x v="1"/>
    <n v="1"/>
    <x v="2"/>
    <n v="2"/>
    <x v="0"/>
    <x v="0"/>
    <x v="2"/>
    <x v="134"/>
    <x v="1"/>
    <x v="10"/>
    <x v="1"/>
    <x v="1"/>
    <x v="1"/>
    <x v="0"/>
    <s v="No Preference"/>
    <n v="10"/>
  </r>
  <r>
    <x v="568"/>
    <x v="20"/>
    <x v="2"/>
    <x v="0"/>
    <x v="0"/>
    <x v="2"/>
    <x v="1"/>
    <s v="Dhankutā"/>
    <x v="10"/>
    <n v="109.29"/>
    <x v="10"/>
    <x v="0"/>
    <x v="0"/>
    <x v="3"/>
    <x v="2"/>
    <n v="4"/>
    <n v="0"/>
    <x v="1"/>
    <x v="2"/>
    <n v="2"/>
    <x v="2"/>
    <n v="2"/>
    <x v="1"/>
    <x v="2"/>
    <x v="0"/>
    <x v="194"/>
    <x v="1"/>
    <x v="1"/>
    <x v="0"/>
    <x v="1"/>
    <x v="0"/>
    <x v="0"/>
    <s v="Express"/>
    <n v="11"/>
  </r>
  <r>
    <x v="569"/>
    <x v="26"/>
    <x v="2"/>
    <x v="7"/>
    <x v="0"/>
    <x v="1"/>
    <x v="1"/>
    <s v="Benevides"/>
    <x v="16"/>
    <n v="111.24"/>
    <x v="6"/>
    <x v="0"/>
    <x v="2"/>
    <x v="4"/>
    <x v="1"/>
    <n v="2"/>
    <n v="0"/>
    <x v="1"/>
    <x v="2"/>
    <n v="0"/>
    <x v="2"/>
    <n v="2"/>
    <x v="1"/>
    <x v="0"/>
    <x v="3"/>
    <x v="100"/>
    <x v="1"/>
    <x v="1"/>
    <x v="1"/>
    <x v="0"/>
    <x v="1"/>
    <x v="2"/>
    <s v="No Preference"/>
    <n v="12"/>
  </r>
  <r>
    <x v="570"/>
    <x v="22"/>
    <x v="2"/>
    <x v="0"/>
    <x v="0"/>
    <x v="2"/>
    <x v="2"/>
    <s v="Bayan Tuohai"/>
    <x v="20"/>
    <n v="111.7"/>
    <x v="1"/>
    <x v="0"/>
    <x v="0"/>
    <x v="0"/>
    <x v="2"/>
    <n v="5"/>
    <n v="0"/>
    <x v="1"/>
    <x v="2"/>
    <n v="2"/>
    <x v="1"/>
    <n v="5"/>
    <x v="1"/>
    <x v="1"/>
    <x v="3"/>
    <x v="41"/>
    <x v="2"/>
    <x v="3"/>
    <x v="6"/>
    <x v="1"/>
    <x v="1"/>
    <x v="1"/>
    <s v="Standard"/>
    <n v="7"/>
  </r>
  <r>
    <x v="571"/>
    <x v="23"/>
    <x v="2"/>
    <x v="0"/>
    <x v="1"/>
    <x v="0"/>
    <x v="0"/>
    <s v="Марино"/>
    <x v="15"/>
    <n v="112.55"/>
    <x v="3"/>
    <x v="0"/>
    <x v="1"/>
    <x v="2"/>
    <x v="2"/>
    <n v="4"/>
    <n v="2"/>
    <x v="0"/>
    <x v="1"/>
    <n v="2"/>
    <x v="2"/>
    <n v="1"/>
    <x v="2"/>
    <x v="2"/>
    <x v="3"/>
    <x v="238"/>
    <x v="2"/>
    <x v="6"/>
    <x v="1"/>
    <x v="0"/>
    <x v="1"/>
    <x v="1"/>
    <s v="Standard"/>
    <n v="2"/>
  </r>
  <r>
    <x v="572"/>
    <x v="21"/>
    <x v="2"/>
    <x v="1"/>
    <x v="0"/>
    <x v="1"/>
    <x v="2"/>
    <s v="Ágios Andréas"/>
    <x v="7"/>
    <n v="113.51"/>
    <x v="7"/>
    <x v="0"/>
    <x v="2"/>
    <x v="0"/>
    <x v="1"/>
    <n v="1"/>
    <n v="1"/>
    <x v="3"/>
    <x v="0"/>
    <n v="2"/>
    <x v="2"/>
    <n v="2"/>
    <x v="2"/>
    <x v="2"/>
    <x v="3"/>
    <x v="139"/>
    <x v="3"/>
    <x v="11"/>
    <x v="3"/>
    <x v="0"/>
    <x v="0"/>
    <x v="1"/>
    <s v="Express"/>
    <n v="8"/>
  </r>
  <r>
    <x v="573"/>
    <x v="19"/>
    <x v="2"/>
    <x v="1"/>
    <x v="1"/>
    <x v="0"/>
    <x v="1"/>
    <s v="Muara"/>
    <x v="5"/>
    <n v="114.93"/>
    <x v="10"/>
    <x v="0"/>
    <x v="1"/>
    <x v="0"/>
    <x v="0"/>
    <n v="3"/>
    <n v="1"/>
    <x v="3"/>
    <x v="2"/>
    <n v="0"/>
    <x v="2"/>
    <n v="4"/>
    <x v="3"/>
    <x v="2"/>
    <x v="4"/>
    <x v="90"/>
    <x v="1"/>
    <x v="1"/>
    <x v="5"/>
    <x v="0"/>
    <x v="0"/>
    <x v="3"/>
    <s v="Standard"/>
    <n v="4"/>
  </r>
  <r>
    <x v="574"/>
    <x v="18"/>
    <x v="2"/>
    <x v="1"/>
    <x v="0"/>
    <x v="0"/>
    <x v="2"/>
    <s v="Horní Suchá"/>
    <x v="13"/>
    <n v="117.03"/>
    <x v="1"/>
    <x v="0"/>
    <x v="0"/>
    <x v="3"/>
    <x v="1"/>
    <n v="2"/>
    <n v="0"/>
    <x v="0"/>
    <x v="1"/>
    <n v="2"/>
    <x v="0"/>
    <n v="9"/>
    <x v="0"/>
    <x v="1"/>
    <x v="1"/>
    <x v="176"/>
    <x v="2"/>
    <x v="8"/>
    <x v="5"/>
    <x v="1"/>
    <x v="1"/>
    <x v="3"/>
    <s v="Standard"/>
    <n v="5"/>
  </r>
  <r>
    <x v="575"/>
    <x v="26"/>
    <x v="2"/>
    <x v="1"/>
    <x v="0"/>
    <x v="1"/>
    <x v="0"/>
    <s v="Changbai"/>
    <x v="13"/>
    <n v="120.56"/>
    <x v="3"/>
    <x v="0"/>
    <x v="0"/>
    <x v="0"/>
    <x v="0"/>
    <n v="3"/>
    <n v="2"/>
    <x v="0"/>
    <x v="0"/>
    <n v="2"/>
    <x v="1"/>
    <n v="7"/>
    <x v="2"/>
    <x v="1"/>
    <x v="0"/>
    <x v="50"/>
    <x v="1"/>
    <x v="2"/>
    <x v="4"/>
    <x v="1"/>
    <x v="1"/>
    <x v="2"/>
    <s v="Express"/>
    <n v="7"/>
  </r>
  <r>
    <x v="576"/>
    <x v="22"/>
    <x v="2"/>
    <x v="1"/>
    <x v="0"/>
    <x v="3"/>
    <x v="1"/>
    <s v="Wang Yang"/>
    <x v="7"/>
    <n v="123.7"/>
    <x v="1"/>
    <x v="0"/>
    <x v="0"/>
    <x v="1"/>
    <x v="2"/>
    <n v="5"/>
    <n v="0"/>
    <x v="3"/>
    <x v="1"/>
    <n v="1"/>
    <x v="1"/>
    <n v="5"/>
    <x v="3"/>
    <x v="0"/>
    <x v="4"/>
    <x v="20"/>
    <x v="1"/>
    <x v="10"/>
    <x v="0"/>
    <x v="1"/>
    <x v="1"/>
    <x v="3"/>
    <s v="Express"/>
    <n v="2"/>
  </r>
  <r>
    <x v="577"/>
    <x v="20"/>
    <x v="2"/>
    <x v="0"/>
    <x v="0"/>
    <x v="0"/>
    <x v="1"/>
    <s v="Klonowa"/>
    <x v="15"/>
    <n v="127.66"/>
    <x v="7"/>
    <x v="0"/>
    <x v="0"/>
    <x v="2"/>
    <x v="1"/>
    <n v="2"/>
    <n v="2"/>
    <x v="2"/>
    <x v="0"/>
    <n v="2"/>
    <x v="1"/>
    <n v="7"/>
    <x v="3"/>
    <x v="0"/>
    <x v="3"/>
    <x v="290"/>
    <x v="3"/>
    <x v="11"/>
    <x v="5"/>
    <x v="1"/>
    <x v="0"/>
    <x v="1"/>
    <s v="Standard"/>
    <n v="7"/>
  </r>
  <r>
    <x v="578"/>
    <x v="25"/>
    <x v="2"/>
    <x v="0"/>
    <x v="0"/>
    <x v="2"/>
    <x v="0"/>
    <s v="Moate"/>
    <x v="4"/>
    <n v="129.82"/>
    <x v="0"/>
    <x v="0"/>
    <x v="2"/>
    <x v="2"/>
    <x v="1"/>
    <n v="2"/>
    <n v="0"/>
    <x v="3"/>
    <x v="0"/>
    <n v="2"/>
    <x v="2"/>
    <n v="1"/>
    <x v="1"/>
    <x v="1"/>
    <x v="1"/>
    <x v="50"/>
    <x v="1"/>
    <x v="2"/>
    <x v="4"/>
    <x v="1"/>
    <x v="1"/>
    <x v="3"/>
    <s v="Standard"/>
    <n v="8"/>
  </r>
  <r>
    <x v="579"/>
    <x v="20"/>
    <x v="2"/>
    <x v="1"/>
    <x v="0"/>
    <x v="0"/>
    <x v="2"/>
    <s v="Nanchangshan"/>
    <x v="11"/>
    <n v="130.84"/>
    <x v="8"/>
    <x v="0"/>
    <x v="0"/>
    <x v="4"/>
    <x v="2"/>
    <n v="5"/>
    <n v="2"/>
    <x v="1"/>
    <x v="1"/>
    <n v="2"/>
    <x v="0"/>
    <n v="10"/>
    <x v="2"/>
    <x v="1"/>
    <x v="2"/>
    <x v="162"/>
    <x v="2"/>
    <x v="8"/>
    <x v="5"/>
    <x v="0"/>
    <x v="0"/>
    <x v="2"/>
    <s v="Standard"/>
    <n v="13"/>
  </r>
  <r>
    <x v="580"/>
    <x v="25"/>
    <x v="2"/>
    <x v="0"/>
    <x v="1"/>
    <x v="3"/>
    <x v="1"/>
    <s v="La Unión"/>
    <x v="4"/>
    <n v="130.91999999999999"/>
    <x v="5"/>
    <x v="0"/>
    <x v="0"/>
    <x v="2"/>
    <x v="1"/>
    <n v="2"/>
    <n v="1"/>
    <x v="3"/>
    <x v="1"/>
    <n v="2"/>
    <x v="2"/>
    <n v="2"/>
    <x v="3"/>
    <x v="1"/>
    <x v="1"/>
    <x v="131"/>
    <x v="3"/>
    <x v="9"/>
    <x v="3"/>
    <x v="0"/>
    <x v="0"/>
    <x v="3"/>
    <s v="No Preference"/>
    <n v="9"/>
  </r>
  <r>
    <x v="581"/>
    <x v="24"/>
    <x v="2"/>
    <x v="1"/>
    <x v="1"/>
    <x v="0"/>
    <x v="0"/>
    <s v="Bom Jesus do Itabapoana"/>
    <x v="10"/>
    <n v="131.36000000000001"/>
    <x v="8"/>
    <x v="0"/>
    <x v="1"/>
    <x v="0"/>
    <x v="2"/>
    <n v="4"/>
    <n v="2"/>
    <x v="0"/>
    <x v="2"/>
    <n v="1"/>
    <x v="1"/>
    <n v="6"/>
    <x v="1"/>
    <x v="0"/>
    <x v="0"/>
    <x v="234"/>
    <x v="2"/>
    <x v="3"/>
    <x v="6"/>
    <x v="1"/>
    <x v="1"/>
    <x v="0"/>
    <s v="Express"/>
    <n v="3"/>
  </r>
  <r>
    <x v="582"/>
    <x v="24"/>
    <x v="2"/>
    <x v="0"/>
    <x v="0"/>
    <x v="0"/>
    <x v="2"/>
    <s v="Osorno"/>
    <x v="14"/>
    <n v="131.85"/>
    <x v="8"/>
    <x v="0"/>
    <x v="2"/>
    <x v="4"/>
    <x v="2"/>
    <n v="4"/>
    <n v="2"/>
    <x v="2"/>
    <x v="2"/>
    <n v="1"/>
    <x v="1"/>
    <n v="5"/>
    <x v="0"/>
    <x v="0"/>
    <x v="0"/>
    <x v="248"/>
    <x v="3"/>
    <x v="4"/>
    <x v="6"/>
    <x v="0"/>
    <x v="1"/>
    <x v="2"/>
    <s v="No Preference"/>
    <n v="6"/>
  </r>
  <r>
    <x v="583"/>
    <x v="26"/>
    <x v="2"/>
    <x v="1"/>
    <x v="1"/>
    <x v="1"/>
    <x v="1"/>
    <s v="Phu Loc"/>
    <x v="0"/>
    <n v="136.1"/>
    <x v="3"/>
    <x v="0"/>
    <x v="1"/>
    <x v="3"/>
    <x v="2"/>
    <n v="5"/>
    <n v="2"/>
    <x v="2"/>
    <x v="1"/>
    <n v="0"/>
    <x v="2"/>
    <n v="2"/>
    <x v="1"/>
    <x v="1"/>
    <x v="0"/>
    <x v="78"/>
    <x v="3"/>
    <x v="11"/>
    <x v="1"/>
    <x v="1"/>
    <x v="0"/>
    <x v="1"/>
    <s v="Express"/>
    <n v="14"/>
  </r>
  <r>
    <x v="584"/>
    <x v="18"/>
    <x v="2"/>
    <x v="1"/>
    <x v="0"/>
    <x v="1"/>
    <x v="1"/>
    <s v="Sancang"/>
    <x v="14"/>
    <n v="136.19999999999999"/>
    <x v="5"/>
    <x v="0"/>
    <x v="2"/>
    <x v="3"/>
    <x v="1"/>
    <n v="2"/>
    <n v="2"/>
    <x v="2"/>
    <x v="0"/>
    <n v="0"/>
    <x v="2"/>
    <n v="1"/>
    <x v="1"/>
    <x v="1"/>
    <x v="2"/>
    <x v="200"/>
    <x v="1"/>
    <x v="2"/>
    <x v="2"/>
    <x v="0"/>
    <x v="0"/>
    <x v="2"/>
    <s v="Express"/>
    <n v="9"/>
  </r>
  <r>
    <x v="585"/>
    <x v="23"/>
    <x v="2"/>
    <x v="0"/>
    <x v="0"/>
    <x v="1"/>
    <x v="2"/>
    <s v="Montpellier"/>
    <x v="1"/>
    <n v="136.53"/>
    <x v="10"/>
    <x v="0"/>
    <x v="2"/>
    <x v="1"/>
    <x v="2"/>
    <n v="4"/>
    <n v="2"/>
    <x v="3"/>
    <x v="0"/>
    <n v="1"/>
    <x v="2"/>
    <n v="3"/>
    <x v="1"/>
    <x v="0"/>
    <x v="2"/>
    <x v="203"/>
    <x v="0"/>
    <x v="7"/>
    <x v="5"/>
    <x v="0"/>
    <x v="0"/>
    <x v="1"/>
    <s v="Standard"/>
    <n v="10"/>
  </r>
  <r>
    <x v="586"/>
    <x v="19"/>
    <x v="2"/>
    <x v="1"/>
    <x v="0"/>
    <x v="0"/>
    <x v="1"/>
    <s v="Kuçovë"/>
    <x v="11"/>
    <n v="136.66999999999999"/>
    <x v="10"/>
    <x v="0"/>
    <x v="0"/>
    <x v="3"/>
    <x v="1"/>
    <n v="1"/>
    <n v="1"/>
    <x v="2"/>
    <x v="2"/>
    <n v="0"/>
    <x v="2"/>
    <n v="2"/>
    <x v="1"/>
    <x v="2"/>
    <x v="2"/>
    <x v="291"/>
    <x v="1"/>
    <x v="2"/>
    <x v="6"/>
    <x v="1"/>
    <x v="0"/>
    <x v="3"/>
    <s v="Standard"/>
    <n v="1"/>
  </r>
  <r>
    <x v="587"/>
    <x v="24"/>
    <x v="2"/>
    <x v="0"/>
    <x v="1"/>
    <x v="0"/>
    <x v="1"/>
    <s v="Sobue"/>
    <x v="19"/>
    <n v="138.35"/>
    <x v="5"/>
    <x v="0"/>
    <x v="0"/>
    <x v="0"/>
    <x v="2"/>
    <n v="5"/>
    <n v="2"/>
    <x v="2"/>
    <x v="0"/>
    <n v="0"/>
    <x v="2"/>
    <n v="2"/>
    <x v="2"/>
    <x v="0"/>
    <x v="4"/>
    <x v="160"/>
    <x v="1"/>
    <x v="10"/>
    <x v="0"/>
    <x v="0"/>
    <x v="0"/>
    <x v="0"/>
    <s v="No Preference"/>
    <n v="8"/>
  </r>
  <r>
    <x v="588"/>
    <x v="24"/>
    <x v="2"/>
    <x v="0"/>
    <x v="1"/>
    <x v="1"/>
    <x v="1"/>
    <s v="Kouvola"/>
    <x v="16"/>
    <n v="140.31"/>
    <x v="5"/>
    <x v="0"/>
    <x v="0"/>
    <x v="1"/>
    <x v="2"/>
    <n v="4"/>
    <n v="1"/>
    <x v="2"/>
    <x v="1"/>
    <n v="2"/>
    <x v="1"/>
    <n v="5"/>
    <x v="3"/>
    <x v="2"/>
    <x v="1"/>
    <x v="110"/>
    <x v="0"/>
    <x v="7"/>
    <x v="1"/>
    <x v="0"/>
    <x v="0"/>
    <x v="3"/>
    <s v="Express"/>
    <n v="8"/>
  </r>
  <r>
    <x v="589"/>
    <x v="23"/>
    <x v="2"/>
    <x v="1"/>
    <x v="1"/>
    <x v="2"/>
    <x v="0"/>
    <s v="Binagadi"/>
    <x v="2"/>
    <n v="140.87"/>
    <x v="9"/>
    <x v="0"/>
    <x v="1"/>
    <x v="3"/>
    <x v="0"/>
    <n v="3"/>
    <n v="2"/>
    <x v="2"/>
    <x v="0"/>
    <n v="2"/>
    <x v="1"/>
    <n v="7"/>
    <x v="0"/>
    <x v="1"/>
    <x v="4"/>
    <x v="237"/>
    <x v="0"/>
    <x v="0"/>
    <x v="0"/>
    <x v="0"/>
    <x v="1"/>
    <x v="3"/>
    <s v="No Preference"/>
    <n v="9"/>
  </r>
  <r>
    <x v="590"/>
    <x v="26"/>
    <x v="2"/>
    <x v="0"/>
    <x v="0"/>
    <x v="2"/>
    <x v="2"/>
    <s v="Prengtale"/>
    <x v="15"/>
    <n v="141.63"/>
    <x v="10"/>
    <x v="0"/>
    <x v="0"/>
    <x v="0"/>
    <x v="1"/>
    <n v="1"/>
    <n v="1"/>
    <x v="0"/>
    <x v="2"/>
    <n v="1"/>
    <x v="0"/>
    <n v="8"/>
    <x v="2"/>
    <x v="0"/>
    <x v="1"/>
    <x v="197"/>
    <x v="2"/>
    <x v="6"/>
    <x v="5"/>
    <x v="0"/>
    <x v="0"/>
    <x v="1"/>
    <s v="Express"/>
    <n v="11"/>
  </r>
  <r>
    <x v="591"/>
    <x v="25"/>
    <x v="2"/>
    <x v="0"/>
    <x v="0"/>
    <x v="2"/>
    <x v="0"/>
    <s v="Curumaní"/>
    <x v="1"/>
    <n v="142.69999999999999"/>
    <x v="1"/>
    <x v="0"/>
    <x v="1"/>
    <x v="3"/>
    <x v="1"/>
    <n v="2"/>
    <n v="1"/>
    <x v="0"/>
    <x v="1"/>
    <n v="0"/>
    <x v="2"/>
    <n v="4"/>
    <x v="3"/>
    <x v="2"/>
    <x v="3"/>
    <x v="73"/>
    <x v="0"/>
    <x v="7"/>
    <x v="5"/>
    <x v="1"/>
    <x v="0"/>
    <x v="3"/>
    <s v="No Preference"/>
    <n v="11"/>
  </r>
  <r>
    <x v="592"/>
    <x v="18"/>
    <x v="2"/>
    <x v="0"/>
    <x v="1"/>
    <x v="1"/>
    <x v="2"/>
    <s v="Xiaqiao"/>
    <x v="12"/>
    <n v="144.38999999999999"/>
    <x v="0"/>
    <x v="0"/>
    <x v="1"/>
    <x v="4"/>
    <x v="0"/>
    <n v="3"/>
    <n v="2"/>
    <x v="3"/>
    <x v="1"/>
    <n v="0"/>
    <x v="2"/>
    <n v="4"/>
    <x v="2"/>
    <x v="2"/>
    <x v="1"/>
    <x v="48"/>
    <x v="1"/>
    <x v="2"/>
    <x v="1"/>
    <x v="0"/>
    <x v="0"/>
    <x v="3"/>
    <s v="Standard"/>
    <n v="12"/>
  </r>
  <r>
    <x v="593"/>
    <x v="20"/>
    <x v="2"/>
    <x v="1"/>
    <x v="0"/>
    <x v="1"/>
    <x v="2"/>
    <s v="Xinzhou"/>
    <x v="5"/>
    <n v="149.52000000000001"/>
    <x v="6"/>
    <x v="0"/>
    <x v="1"/>
    <x v="1"/>
    <x v="2"/>
    <n v="5"/>
    <n v="1"/>
    <x v="0"/>
    <x v="2"/>
    <n v="0"/>
    <x v="1"/>
    <n v="6"/>
    <x v="3"/>
    <x v="0"/>
    <x v="1"/>
    <x v="16"/>
    <x v="0"/>
    <x v="0"/>
    <x v="0"/>
    <x v="1"/>
    <x v="1"/>
    <x v="0"/>
    <s v="No Preference"/>
    <n v="8"/>
  </r>
  <r>
    <x v="594"/>
    <x v="25"/>
    <x v="2"/>
    <x v="1"/>
    <x v="1"/>
    <x v="2"/>
    <x v="2"/>
    <s v="Ranot"/>
    <x v="20"/>
    <n v="149.88"/>
    <x v="6"/>
    <x v="0"/>
    <x v="2"/>
    <x v="3"/>
    <x v="1"/>
    <n v="2"/>
    <n v="0"/>
    <x v="2"/>
    <x v="2"/>
    <n v="1"/>
    <x v="0"/>
    <n v="10"/>
    <x v="2"/>
    <x v="0"/>
    <x v="0"/>
    <x v="156"/>
    <x v="0"/>
    <x v="5"/>
    <x v="5"/>
    <x v="1"/>
    <x v="1"/>
    <x v="3"/>
    <s v="Standard"/>
    <n v="4"/>
  </r>
  <r>
    <x v="595"/>
    <x v="18"/>
    <x v="2"/>
    <x v="1"/>
    <x v="0"/>
    <x v="2"/>
    <x v="0"/>
    <s v="Bor"/>
    <x v="19"/>
    <n v="152.33000000000001"/>
    <x v="5"/>
    <x v="0"/>
    <x v="1"/>
    <x v="2"/>
    <x v="2"/>
    <n v="5"/>
    <n v="1"/>
    <x v="0"/>
    <x v="0"/>
    <n v="1"/>
    <x v="1"/>
    <n v="6"/>
    <x v="1"/>
    <x v="0"/>
    <x v="0"/>
    <x v="292"/>
    <x v="3"/>
    <x v="4"/>
    <x v="5"/>
    <x v="1"/>
    <x v="0"/>
    <x v="3"/>
    <s v="No Preference"/>
    <n v="8"/>
  </r>
  <r>
    <x v="596"/>
    <x v="24"/>
    <x v="2"/>
    <x v="6"/>
    <x v="0"/>
    <x v="3"/>
    <x v="0"/>
    <s v="Karafao"/>
    <x v="17"/>
    <n v="157.21"/>
    <x v="7"/>
    <x v="0"/>
    <x v="0"/>
    <x v="3"/>
    <x v="0"/>
    <n v="3"/>
    <n v="0"/>
    <x v="1"/>
    <x v="0"/>
    <n v="0"/>
    <x v="2"/>
    <n v="3"/>
    <x v="1"/>
    <x v="1"/>
    <x v="0"/>
    <x v="82"/>
    <x v="0"/>
    <x v="5"/>
    <x v="1"/>
    <x v="0"/>
    <x v="1"/>
    <x v="0"/>
    <s v="Express"/>
    <n v="5"/>
  </r>
  <r>
    <x v="597"/>
    <x v="22"/>
    <x v="2"/>
    <x v="0"/>
    <x v="1"/>
    <x v="3"/>
    <x v="2"/>
    <s v="Oslo"/>
    <x v="0"/>
    <n v="160.88999999999999"/>
    <x v="2"/>
    <x v="0"/>
    <x v="0"/>
    <x v="4"/>
    <x v="2"/>
    <n v="5"/>
    <n v="2"/>
    <x v="0"/>
    <x v="2"/>
    <n v="2"/>
    <x v="1"/>
    <n v="6"/>
    <x v="0"/>
    <x v="2"/>
    <x v="2"/>
    <x v="155"/>
    <x v="1"/>
    <x v="2"/>
    <x v="0"/>
    <x v="0"/>
    <x v="0"/>
    <x v="1"/>
    <s v="No Preference"/>
    <n v="13"/>
  </r>
  <r>
    <x v="598"/>
    <x v="23"/>
    <x v="2"/>
    <x v="0"/>
    <x v="1"/>
    <x v="1"/>
    <x v="2"/>
    <s v="Zarechnyy"/>
    <x v="0"/>
    <n v="161.41"/>
    <x v="6"/>
    <x v="0"/>
    <x v="2"/>
    <x v="2"/>
    <x v="2"/>
    <n v="4"/>
    <n v="0"/>
    <x v="2"/>
    <x v="1"/>
    <n v="1"/>
    <x v="0"/>
    <n v="8"/>
    <x v="1"/>
    <x v="2"/>
    <x v="2"/>
    <x v="293"/>
    <x v="0"/>
    <x v="5"/>
    <x v="0"/>
    <x v="0"/>
    <x v="1"/>
    <x v="3"/>
    <s v="Standard"/>
    <n v="3"/>
  </r>
  <r>
    <x v="599"/>
    <x v="25"/>
    <x v="2"/>
    <x v="3"/>
    <x v="0"/>
    <x v="2"/>
    <x v="1"/>
    <s v="Cigadog"/>
    <x v="1"/>
    <n v="161.85"/>
    <x v="6"/>
    <x v="0"/>
    <x v="1"/>
    <x v="4"/>
    <x v="0"/>
    <n v="3"/>
    <n v="0"/>
    <x v="3"/>
    <x v="1"/>
    <n v="0"/>
    <x v="2"/>
    <n v="4"/>
    <x v="0"/>
    <x v="0"/>
    <x v="4"/>
    <x v="294"/>
    <x v="0"/>
    <x v="5"/>
    <x v="6"/>
    <x v="0"/>
    <x v="1"/>
    <x v="2"/>
    <s v="No Preference"/>
    <n v="10"/>
  </r>
  <r>
    <x v="600"/>
    <x v="20"/>
    <x v="2"/>
    <x v="4"/>
    <x v="0"/>
    <x v="0"/>
    <x v="0"/>
    <s v="Il’inskiy"/>
    <x v="1"/>
    <n v="162.22"/>
    <x v="2"/>
    <x v="0"/>
    <x v="1"/>
    <x v="4"/>
    <x v="2"/>
    <n v="5"/>
    <n v="0.2"/>
    <x v="3"/>
    <x v="2"/>
    <n v="1"/>
    <x v="2"/>
    <n v="1"/>
    <x v="0"/>
    <x v="2"/>
    <x v="4"/>
    <x v="261"/>
    <x v="0"/>
    <x v="5"/>
    <x v="0"/>
    <x v="0"/>
    <x v="0"/>
    <x v="0"/>
    <s v="No Preference"/>
    <n v="8"/>
  </r>
  <r>
    <x v="601"/>
    <x v="25"/>
    <x v="2"/>
    <x v="0"/>
    <x v="1"/>
    <x v="1"/>
    <x v="2"/>
    <s v="Katav-Ivanovsk"/>
    <x v="15"/>
    <n v="163.22"/>
    <x v="9"/>
    <x v="0"/>
    <x v="0"/>
    <x v="4"/>
    <x v="0"/>
    <n v="3"/>
    <n v="0"/>
    <x v="3"/>
    <x v="2"/>
    <n v="1"/>
    <x v="2"/>
    <n v="3"/>
    <x v="3"/>
    <x v="0"/>
    <x v="2"/>
    <x v="233"/>
    <x v="1"/>
    <x v="10"/>
    <x v="4"/>
    <x v="1"/>
    <x v="0"/>
    <x v="0"/>
    <s v="No Preference"/>
    <n v="8"/>
  </r>
  <r>
    <x v="602"/>
    <x v="24"/>
    <x v="2"/>
    <x v="1"/>
    <x v="0"/>
    <x v="0"/>
    <x v="0"/>
    <s v="Zalţan"/>
    <x v="16"/>
    <n v="164.27"/>
    <x v="1"/>
    <x v="0"/>
    <x v="0"/>
    <x v="4"/>
    <x v="0"/>
    <n v="3"/>
    <n v="2"/>
    <x v="3"/>
    <x v="0"/>
    <n v="2"/>
    <x v="1"/>
    <n v="7"/>
    <x v="2"/>
    <x v="2"/>
    <x v="2"/>
    <x v="85"/>
    <x v="1"/>
    <x v="10"/>
    <x v="2"/>
    <x v="0"/>
    <x v="1"/>
    <x v="0"/>
    <s v="No Preference"/>
    <n v="14"/>
  </r>
  <r>
    <x v="603"/>
    <x v="24"/>
    <x v="2"/>
    <x v="0"/>
    <x v="1"/>
    <x v="1"/>
    <x v="1"/>
    <s v="Alfeizerão"/>
    <x v="13"/>
    <n v="169.28"/>
    <x v="4"/>
    <x v="0"/>
    <x v="2"/>
    <x v="0"/>
    <x v="2"/>
    <n v="4"/>
    <n v="1"/>
    <x v="0"/>
    <x v="2"/>
    <n v="2"/>
    <x v="2"/>
    <n v="1"/>
    <x v="2"/>
    <x v="1"/>
    <x v="1"/>
    <x v="132"/>
    <x v="1"/>
    <x v="2"/>
    <x v="4"/>
    <x v="0"/>
    <x v="0"/>
    <x v="3"/>
    <s v="No Preference"/>
    <n v="6"/>
  </r>
  <r>
    <x v="604"/>
    <x v="23"/>
    <x v="2"/>
    <x v="1"/>
    <x v="1"/>
    <x v="1"/>
    <x v="2"/>
    <s v="Tandahimba"/>
    <x v="13"/>
    <n v="173.43"/>
    <x v="8"/>
    <x v="0"/>
    <x v="1"/>
    <x v="3"/>
    <x v="0"/>
    <n v="3"/>
    <n v="0"/>
    <x v="1"/>
    <x v="0"/>
    <n v="2"/>
    <x v="2"/>
    <n v="1"/>
    <x v="2"/>
    <x v="2"/>
    <x v="2"/>
    <x v="30"/>
    <x v="0"/>
    <x v="7"/>
    <x v="4"/>
    <x v="0"/>
    <x v="0"/>
    <x v="2"/>
    <s v="No Preference"/>
    <n v="14"/>
  </r>
  <r>
    <x v="605"/>
    <x v="20"/>
    <x v="2"/>
    <x v="1"/>
    <x v="1"/>
    <x v="1"/>
    <x v="1"/>
    <s v="San Ramon"/>
    <x v="9"/>
    <n v="173.46"/>
    <x v="8"/>
    <x v="0"/>
    <x v="2"/>
    <x v="4"/>
    <x v="0"/>
    <n v="3"/>
    <n v="1"/>
    <x v="0"/>
    <x v="0"/>
    <n v="0"/>
    <x v="0"/>
    <n v="9"/>
    <x v="0"/>
    <x v="0"/>
    <x v="2"/>
    <x v="9"/>
    <x v="0"/>
    <x v="5"/>
    <x v="6"/>
    <x v="1"/>
    <x v="0"/>
    <x v="0"/>
    <s v="No Preference"/>
    <n v="2"/>
  </r>
  <r>
    <x v="606"/>
    <x v="26"/>
    <x v="2"/>
    <x v="0"/>
    <x v="1"/>
    <x v="2"/>
    <x v="0"/>
    <s v="Renshan"/>
    <x v="11"/>
    <n v="175.65"/>
    <x v="7"/>
    <x v="0"/>
    <x v="2"/>
    <x v="0"/>
    <x v="0"/>
    <n v="3"/>
    <n v="2"/>
    <x v="2"/>
    <x v="0"/>
    <n v="1"/>
    <x v="1"/>
    <n v="7"/>
    <x v="3"/>
    <x v="1"/>
    <x v="4"/>
    <x v="123"/>
    <x v="3"/>
    <x v="9"/>
    <x v="0"/>
    <x v="1"/>
    <x v="0"/>
    <x v="0"/>
    <s v="Express"/>
    <n v="8"/>
  </r>
  <r>
    <x v="607"/>
    <x v="25"/>
    <x v="2"/>
    <x v="0"/>
    <x v="0"/>
    <x v="0"/>
    <x v="1"/>
    <s v="Colón"/>
    <x v="16"/>
    <n v="176.12"/>
    <x v="9"/>
    <x v="0"/>
    <x v="0"/>
    <x v="1"/>
    <x v="0"/>
    <n v="3"/>
    <n v="1.2"/>
    <x v="1"/>
    <x v="2"/>
    <n v="1"/>
    <x v="0"/>
    <n v="10"/>
    <x v="2"/>
    <x v="2"/>
    <x v="3"/>
    <x v="200"/>
    <x v="1"/>
    <x v="2"/>
    <x v="2"/>
    <x v="0"/>
    <x v="0"/>
    <x v="3"/>
    <s v="Standard"/>
    <n v="14"/>
  </r>
  <r>
    <x v="608"/>
    <x v="22"/>
    <x v="2"/>
    <x v="1"/>
    <x v="1"/>
    <x v="3"/>
    <x v="1"/>
    <s v="Merlo"/>
    <x v="8"/>
    <n v="178.04"/>
    <x v="3"/>
    <x v="0"/>
    <x v="2"/>
    <x v="2"/>
    <x v="1"/>
    <n v="1"/>
    <n v="2"/>
    <x v="0"/>
    <x v="2"/>
    <n v="2"/>
    <x v="0"/>
    <n v="10"/>
    <x v="1"/>
    <x v="0"/>
    <x v="3"/>
    <x v="29"/>
    <x v="2"/>
    <x v="8"/>
    <x v="6"/>
    <x v="0"/>
    <x v="0"/>
    <x v="3"/>
    <s v="Express"/>
    <n v="11"/>
  </r>
  <r>
    <x v="609"/>
    <x v="21"/>
    <x v="2"/>
    <x v="1"/>
    <x v="0"/>
    <x v="3"/>
    <x v="2"/>
    <s v="Saint Joseph"/>
    <x v="17"/>
    <n v="178.21"/>
    <x v="4"/>
    <x v="0"/>
    <x v="1"/>
    <x v="2"/>
    <x v="2"/>
    <n v="5"/>
    <n v="2"/>
    <x v="2"/>
    <x v="2"/>
    <n v="2"/>
    <x v="0"/>
    <n v="8"/>
    <x v="3"/>
    <x v="2"/>
    <x v="2"/>
    <x v="11"/>
    <x v="0"/>
    <x v="7"/>
    <x v="5"/>
    <x v="1"/>
    <x v="1"/>
    <x v="1"/>
    <s v="No Preference"/>
    <n v="9"/>
  </r>
  <r>
    <x v="610"/>
    <x v="20"/>
    <x v="2"/>
    <x v="1"/>
    <x v="1"/>
    <x v="0"/>
    <x v="1"/>
    <s v="Qiankeng"/>
    <x v="20"/>
    <n v="178.29"/>
    <x v="8"/>
    <x v="0"/>
    <x v="2"/>
    <x v="0"/>
    <x v="0"/>
    <n v="3"/>
    <n v="2"/>
    <x v="2"/>
    <x v="1"/>
    <n v="2"/>
    <x v="0"/>
    <n v="10"/>
    <x v="1"/>
    <x v="2"/>
    <x v="1"/>
    <x v="163"/>
    <x v="1"/>
    <x v="10"/>
    <x v="4"/>
    <x v="1"/>
    <x v="0"/>
    <x v="1"/>
    <s v="No Preference"/>
    <n v="8"/>
  </r>
  <r>
    <x v="611"/>
    <x v="21"/>
    <x v="2"/>
    <x v="1"/>
    <x v="0"/>
    <x v="2"/>
    <x v="2"/>
    <s v="Liangshuihe"/>
    <x v="12"/>
    <n v="178.61"/>
    <x v="0"/>
    <x v="0"/>
    <x v="0"/>
    <x v="4"/>
    <x v="1"/>
    <n v="1"/>
    <n v="2"/>
    <x v="3"/>
    <x v="0"/>
    <n v="0"/>
    <x v="2"/>
    <n v="3"/>
    <x v="3"/>
    <x v="0"/>
    <x v="3"/>
    <x v="295"/>
    <x v="1"/>
    <x v="10"/>
    <x v="3"/>
    <x v="0"/>
    <x v="1"/>
    <x v="3"/>
    <s v="No Preference"/>
    <n v="8"/>
  </r>
  <r>
    <x v="612"/>
    <x v="22"/>
    <x v="2"/>
    <x v="0"/>
    <x v="1"/>
    <x v="1"/>
    <x v="1"/>
    <s v="Níkaia"/>
    <x v="18"/>
    <n v="182.72"/>
    <x v="3"/>
    <x v="0"/>
    <x v="0"/>
    <x v="1"/>
    <x v="1"/>
    <n v="1"/>
    <n v="2"/>
    <x v="3"/>
    <x v="1"/>
    <n v="1"/>
    <x v="1"/>
    <n v="7"/>
    <x v="3"/>
    <x v="2"/>
    <x v="4"/>
    <x v="206"/>
    <x v="1"/>
    <x v="2"/>
    <x v="1"/>
    <x v="1"/>
    <x v="1"/>
    <x v="3"/>
    <s v="No Preference"/>
    <n v="13"/>
  </r>
  <r>
    <x v="613"/>
    <x v="26"/>
    <x v="2"/>
    <x v="0"/>
    <x v="1"/>
    <x v="1"/>
    <x v="1"/>
    <s v="Emiliano Zapata"/>
    <x v="6"/>
    <n v="183.66"/>
    <x v="7"/>
    <x v="0"/>
    <x v="0"/>
    <x v="3"/>
    <x v="1"/>
    <n v="1"/>
    <n v="1"/>
    <x v="2"/>
    <x v="1"/>
    <n v="0"/>
    <x v="0"/>
    <n v="10"/>
    <x v="0"/>
    <x v="1"/>
    <x v="3"/>
    <x v="129"/>
    <x v="0"/>
    <x v="5"/>
    <x v="6"/>
    <x v="0"/>
    <x v="0"/>
    <x v="1"/>
    <s v="No Preference"/>
    <n v="6"/>
  </r>
  <r>
    <x v="614"/>
    <x v="23"/>
    <x v="2"/>
    <x v="1"/>
    <x v="0"/>
    <x v="3"/>
    <x v="0"/>
    <s v="Maurisu"/>
    <x v="5"/>
    <n v="183.86"/>
    <x v="3"/>
    <x v="0"/>
    <x v="2"/>
    <x v="2"/>
    <x v="1"/>
    <n v="1"/>
    <n v="2"/>
    <x v="1"/>
    <x v="0"/>
    <n v="1"/>
    <x v="2"/>
    <n v="4"/>
    <x v="2"/>
    <x v="0"/>
    <x v="0"/>
    <x v="136"/>
    <x v="2"/>
    <x v="6"/>
    <x v="4"/>
    <x v="1"/>
    <x v="0"/>
    <x v="0"/>
    <s v="Standard"/>
    <n v="3"/>
  </r>
  <r>
    <x v="615"/>
    <x v="18"/>
    <x v="2"/>
    <x v="0"/>
    <x v="0"/>
    <x v="1"/>
    <x v="2"/>
    <s v="Halinów"/>
    <x v="18"/>
    <n v="186.85"/>
    <x v="5"/>
    <x v="0"/>
    <x v="0"/>
    <x v="3"/>
    <x v="1"/>
    <n v="1"/>
    <n v="2"/>
    <x v="3"/>
    <x v="0"/>
    <n v="2"/>
    <x v="0"/>
    <n v="8"/>
    <x v="2"/>
    <x v="0"/>
    <x v="4"/>
    <x v="296"/>
    <x v="3"/>
    <x v="11"/>
    <x v="1"/>
    <x v="0"/>
    <x v="1"/>
    <x v="3"/>
    <s v="Express"/>
    <n v="12"/>
  </r>
  <r>
    <x v="616"/>
    <x v="22"/>
    <x v="2"/>
    <x v="0"/>
    <x v="1"/>
    <x v="1"/>
    <x v="1"/>
    <s v="Bom Despacho"/>
    <x v="5"/>
    <n v="189.97"/>
    <x v="5"/>
    <x v="0"/>
    <x v="1"/>
    <x v="1"/>
    <x v="0"/>
    <n v="3"/>
    <n v="1"/>
    <x v="3"/>
    <x v="2"/>
    <n v="0"/>
    <x v="2"/>
    <n v="3"/>
    <x v="0"/>
    <x v="0"/>
    <x v="3"/>
    <x v="269"/>
    <x v="0"/>
    <x v="0"/>
    <x v="3"/>
    <x v="0"/>
    <x v="1"/>
    <x v="2"/>
    <s v="Standard"/>
    <n v="8"/>
  </r>
  <r>
    <x v="617"/>
    <x v="25"/>
    <x v="2"/>
    <x v="1"/>
    <x v="1"/>
    <x v="3"/>
    <x v="2"/>
    <s v="Myingyan"/>
    <x v="18"/>
    <n v="190.06"/>
    <x v="6"/>
    <x v="0"/>
    <x v="1"/>
    <x v="4"/>
    <x v="1"/>
    <n v="1"/>
    <n v="1"/>
    <x v="0"/>
    <x v="2"/>
    <n v="1"/>
    <x v="2"/>
    <n v="2"/>
    <x v="2"/>
    <x v="0"/>
    <x v="4"/>
    <x v="207"/>
    <x v="3"/>
    <x v="11"/>
    <x v="2"/>
    <x v="0"/>
    <x v="0"/>
    <x v="1"/>
    <s v="Standard"/>
    <n v="12"/>
  </r>
  <r>
    <x v="618"/>
    <x v="19"/>
    <x v="2"/>
    <x v="1"/>
    <x v="0"/>
    <x v="3"/>
    <x v="0"/>
    <s v="Araci"/>
    <x v="3"/>
    <n v="191.21"/>
    <x v="4"/>
    <x v="0"/>
    <x v="2"/>
    <x v="4"/>
    <x v="2"/>
    <n v="4"/>
    <n v="1"/>
    <x v="2"/>
    <x v="1"/>
    <n v="2"/>
    <x v="1"/>
    <n v="6"/>
    <x v="2"/>
    <x v="0"/>
    <x v="0"/>
    <x v="220"/>
    <x v="0"/>
    <x v="5"/>
    <x v="6"/>
    <x v="1"/>
    <x v="1"/>
    <x v="2"/>
    <s v="No Preference"/>
    <n v="13"/>
  </r>
  <r>
    <x v="619"/>
    <x v="21"/>
    <x v="2"/>
    <x v="1"/>
    <x v="0"/>
    <x v="0"/>
    <x v="2"/>
    <s v="Konārak"/>
    <x v="17"/>
    <n v="193.32"/>
    <x v="6"/>
    <x v="0"/>
    <x v="2"/>
    <x v="0"/>
    <x v="0"/>
    <n v="3"/>
    <n v="0"/>
    <x v="0"/>
    <x v="1"/>
    <n v="0"/>
    <x v="0"/>
    <n v="8"/>
    <x v="1"/>
    <x v="1"/>
    <x v="2"/>
    <x v="126"/>
    <x v="1"/>
    <x v="10"/>
    <x v="6"/>
    <x v="1"/>
    <x v="0"/>
    <x v="0"/>
    <s v="Express"/>
    <n v="6"/>
  </r>
  <r>
    <x v="620"/>
    <x v="24"/>
    <x v="2"/>
    <x v="1"/>
    <x v="1"/>
    <x v="3"/>
    <x v="2"/>
    <s v="Pallisa"/>
    <x v="10"/>
    <n v="195.05"/>
    <x v="3"/>
    <x v="0"/>
    <x v="1"/>
    <x v="1"/>
    <x v="1"/>
    <n v="1"/>
    <n v="2"/>
    <x v="1"/>
    <x v="0"/>
    <n v="0"/>
    <x v="0"/>
    <n v="10"/>
    <x v="1"/>
    <x v="0"/>
    <x v="4"/>
    <x v="110"/>
    <x v="0"/>
    <x v="7"/>
    <x v="1"/>
    <x v="0"/>
    <x v="1"/>
    <x v="3"/>
    <s v="No Preference"/>
    <n v="11"/>
  </r>
  <r>
    <x v="621"/>
    <x v="21"/>
    <x v="2"/>
    <x v="1"/>
    <x v="1"/>
    <x v="3"/>
    <x v="0"/>
    <s v="Genting"/>
    <x v="6"/>
    <n v="195.83"/>
    <x v="2"/>
    <x v="0"/>
    <x v="2"/>
    <x v="2"/>
    <x v="1"/>
    <n v="2"/>
    <n v="2"/>
    <x v="0"/>
    <x v="0"/>
    <n v="1"/>
    <x v="1"/>
    <n v="7"/>
    <x v="1"/>
    <x v="2"/>
    <x v="0"/>
    <x v="13"/>
    <x v="3"/>
    <x v="4"/>
    <x v="6"/>
    <x v="0"/>
    <x v="1"/>
    <x v="2"/>
    <s v="No Preference"/>
    <n v="13"/>
  </r>
  <r>
    <x v="622"/>
    <x v="21"/>
    <x v="2"/>
    <x v="3"/>
    <x v="0"/>
    <x v="2"/>
    <x v="2"/>
    <s v="Medicine Hat"/>
    <x v="7"/>
    <n v="196.33"/>
    <x v="7"/>
    <x v="0"/>
    <x v="0"/>
    <x v="0"/>
    <x v="0"/>
    <n v="3"/>
    <n v="1"/>
    <x v="1"/>
    <x v="0"/>
    <n v="0"/>
    <x v="1"/>
    <n v="5"/>
    <x v="3"/>
    <x v="2"/>
    <x v="0"/>
    <x v="143"/>
    <x v="1"/>
    <x v="2"/>
    <x v="2"/>
    <x v="0"/>
    <x v="0"/>
    <x v="1"/>
    <s v="Standard"/>
    <n v="11"/>
  </r>
  <r>
    <x v="623"/>
    <x v="24"/>
    <x v="2"/>
    <x v="1"/>
    <x v="1"/>
    <x v="0"/>
    <x v="1"/>
    <s v="Aksha"/>
    <x v="15"/>
    <n v="198.36"/>
    <x v="8"/>
    <x v="0"/>
    <x v="0"/>
    <x v="2"/>
    <x v="1"/>
    <n v="1"/>
    <n v="2"/>
    <x v="0"/>
    <x v="2"/>
    <n v="1"/>
    <x v="0"/>
    <n v="9"/>
    <x v="3"/>
    <x v="2"/>
    <x v="1"/>
    <x v="297"/>
    <x v="3"/>
    <x v="9"/>
    <x v="5"/>
    <x v="1"/>
    <x v="0"/>
    <x v="0"/>
    <s v="Standard"/>
    <n v="4"/>
  </r>
  <r>
    <x v="624"/>
    <x v="23"/>
    <x v="2"/>
    <x v="3"/>
    <x v="0"/>
    <x v="3"/>
    <x v="2"/>
    <s v="Ḩabābah"/>
    <x v="20"/>
    <n v="198.89"/>
    <x v="5"/>
    <x v="0"/>
    <x v="1"/>
    <x v="1"/>
    <x v="1"/>
    <n v="2"/>
    <n v="0"/>
    <x v="3"/>
    <x v="0"/>
    <n v="0"/>
    <x v="2"/>
    <n v="4"/>
    <x v="2"/>
    <x v="1"/>
    <x v="3"/>
    <x v="281"/>
    <x v="3"/>
    <x v="4"/>
    <x v="5"/>
    <x v="1"/>
    <x v="1"/>
    <x v="3"/>
    <s v="Standard"/>
    <n v="1"/>
  </r>
  <r>
    <x v="625"/>
    <x v="26"/>
    <x v="2"/>
    <x v="0"/>
    <x v="0"/>
    <x v="0"/>
    <x v="2"/>
    <s v="Nantang"/>
    <x v="10"/>
    <n v="201.53"/>
    <x v="3"/>
    <x v="0"/>
    <x v="0"/>
    <x v="1"/>
    <x v="0"/>
    <n v="3"/>
    <n v="1"/>
    <x v="0"/>
    <x v="0"/>
    <n v="1"/>
    <x v="1"/>
    <n v="6"/>
    <x v="1"/>
    <x v="1"/>
    <x v="4"/>
    <x v="232"/>
    <x v="1"/>
    <x v="2"/>
    <x v="2"/>
    <x v="1"/>
    <x v="0"/>
    <x v="0"/>
    <s v="No Preference"/>
    <n v="11"/>
  </r>
  <r>
    <x v="626"/>
    <x v="22"/>
    <x v="2"/>
    <x v="0"/>
    <x v="0"/>
    <x v="2"/>
    <x v="2"/>
    <s v="La Guata"/>
    <x v="3"/>
    <n v="203.13"/>
    <x v="2"/>
    <x v="0"/>
    <x v="0"/>
    <x v="0"/>
    <x v="0"/>
    <n v="3"/>
    <n v="2"/>
    <x v="0"/>
    <x v="2"/>
    <n v="1"/>
    <x v="1"/>
    <n v="5"/>
    <x v="1"/>
    <x v="1"/>
    <x v="0"/>
    <x v="213"/>
    <x v="1"/>
    <x v="1"/>
    <x v="6"/>
    <x v="0"/>
    <x v="1"/>
    <x v="3"/>
    <s v="Standard"/>
    <n v="6"/>
  </r>
  <r>
    <x v="627"/>
    <x v="18"/>
    <x v="2"/>
    <x v="1"/>
    <x v="0"/>
    <x v="1"/>
    <x v="1"/>
    <s v="Purwa"/>
    <x v="5"/>
    <n v="204.83"/>
    <x v="1"/>
    <x v="0"/>
    <x v="1"/>
    <x v="4"/>
    <x v="1"/>
    <n v="1"/>
    <n v="0"/>
    <x v="3"/>
    <x v="1"/>
    <n v="1"/>
    <x v="1"/>
    <n v="5"/>
    <x v="0"/>
    <x v="0"/>
    <x v="0"/>
    <x v="235"/>
    <x v="0"/>
    <x v="5"/>
    <x v="4"/>
    <x v="0"/>
    <x v="1"/>
    <x v="0"/>
    <s v="Standard"/>
    <n v="5"/>
  </r>
  <r>
    <x v="628"/>
    <x v="18"/>
    <x v="2"/>
    <x v="1"/>
    <x v="1"/>
    <x v="3"/>
    <x v="2"/>
    <s v="Nikolayevsk"/>
    <x v="14"/>
    <n v="205.49"/>
    <x v="8"/>
    <x v="0"/>
    <x v="1"/>
    <x v="4"/>
    <x v="0"/>
    <n v="3"/>
    <n v="2"/>
    <x v="2"/>
    <x v="2"/>
    <n v="2"/>
    <x v="2"/>
    <n v="2"/>
    <x v="1"/>
    <x v="1"/>
    <x v="1"/>
    <x v="75"/>
    <x v="2"/>
    <x v="3"/>
    <x v="2"/>
    <x v="0"/>
    <x v="1"/>
    <x v="2"/>
    <s v="Express"/>
    <n v="11"/>
  </r>
  <r>
    <x v="629"/>
    <x v="22"/>
    <x v="2"/>
    <x v="0"/>
    <x v="0"/>
    <x v="3"/>
    <x v="0"/>
    <s v="Guolemude"/>
    <x v="10"/>
    <n v="207.24"/>
    <x v="6"/>
    <x v="0"/>
    <x v="0"/>
    <x v="1"/>
    <x v="1"/>
    <n v="2"/>
    <n v="0"/>
    <x v="2"/>
    <x v="0"/>
    <n v="0"/>
    <x v="1"/>
    <n v="6"/>
    <x v="3"/>
    <x v="2"/>
    <x v="0"/>
    <x v="298"/>
    <x v="0"/>
    <x v="7"/>
    <x v="0"/>
    <x v="0"/>
    <x v="1"/>
    <x v="3"/>
    <s v="No Preference"/>
    <n v="3"/>
  </r>
  <r>
    <x v="630"/>
    <x v="26"/>
    <x v="2"/>
    <x v="0"/>
    <x v="1"/>
    <x v="1"/>
    <x v="2"/>
    <s v="Kęsowo"/>
    <x v="13"/>
    <n v="209.62"/>
    <x v="0"/>
    <x v="0"/>
    <x v="2"/>
    <x v="2"/>
    <x v="1"/>
    <n v="2"/>
    <n v="1"/>
    <x v="1"/>
    <x v="1"/>
    <n v="0"/>
    <x v="1"/>
    <n v="7"/>
    <x v="0"/>
    <x v="1"/>
    <x v="4"/>
    <x v="67"/>
    <x v="2"/>
    <x v="6"/>
    <x v="2"/>
    <x v="0"/>
    <x v="1"/>
    <x v="1"/>
    <s v="Standard"/>
    <n v="9"/>
  </r>
  <r>
    <x v="631"/>
    <x v="20"/>
    <x v="2"/>
    <x v="1"/>
    <x v="1"/>
    <x v="0"/>
    <x v="1"/>
    <s v="Yinying"/>
    <x v="8"/>
    <n v="209.68"/>
    <x v="5"/>
    <x v="0"/>
    <x v="0"/>
    <x v="3"/>
    <x v="1"/>
    <n v="1"/>
    <n v="1"/>
    <x v="0"/>
    <x v="0"/>
    <n v="0"/>
    <x v="2"/>
    <n v="1"/>
    <x v="0"/>
    <x v="0"/>
    <x v="4"/>
    <x v="173"/>
    <x v="1"/>
    <x v="2"/>
    <x v="0"/>
    <x v="1"/>
    <x v="0"/>
    <x v="3"/>
    <s v="Express"/>
    <n v="8"/>
  </r>
  <r>
    <x v="632"/>
    <x v="26"/>
    <x v="2"/>
    <x v="6"/>
    <x v="0"/>
    <x v="0"/>
    <x v="0"/>
    <s v="Jilin"/>
    <x v="6"/>
    <n v="209.79"/>
    <x v="1"/>
    <x v="0"/>
    <x v="2"/>
    <x v="4"/>
    <x v="1"/>
    <n v="1"/>
    <n v="2"/>
    <x v="3"/>
    <x v="0"/>
    <n v="1"/>
    <x v="0"/>
    <n v="9"/>
    <x v="2"/>
    <x v="1"/>
    <x v="4"/>
    <x v="162"/>
    <x v="2"/>
    <x v="8"/>
    <x v="5"/>
    <x v="0"/>
    <x v="0"/>
    <x v="2"/>
    <s v="Standard"/>
    <n v="10"/>
  </r>
  <r>
    <x v="633"/>
    <x v="25"/>
    <x v="2"/>
    <x v="1"/>
    <x v="0"/>
    <x v="0"/>
    <x v="0"/>
    <s v="Kuafeu"/>
    <x v="6"/>
    <n v="213.39"/>
    <x v="1"/>
    <x v="0"/>
    <x v="0"/>
    <x v="3"/>
    <x v="2"/>
    <n v="4"/>
    <n v="2"/>
    <x v="1"/>
    <x v="0"/>
    <n v="2"/>
    <x v="1"/>
    <n v="5"/>
    <x v="0"/>
    <x v="2"/>
    <x v="1"/>
    <x v="57"/>
    <x v="2"/>
    <x v="6"/>
    <x v="0"/>
    <x v="1"/>
    <x v="0"/>
    <x v="1"/>
    <s v="Standard"/>
    <n v="4"/>
  </r>
  <r>
    <x v="634"/>
    <x v="18"/>
    <x v="2"/>
    <x v="0"/>
    <x v="1"/>
    <x v="2"/>
    <x v="2"/>
    <s v="Yatsuomachi-higashikumisaka"/>
    <x v="8"/>
    <n v="214.69"/>
    <x v="4"/>
    <x v="0"/>
    <x v="1"/>
    <x v="0"/>
    <x v="2"/>
    <n v="4"/>
    <n v="0"/>
    <x v="1"/>
    <x v="0"/>
    <n v="1"/>
    <x v="1"/>
    <n v="7"/>
    <x v="3"/>
    <x v="1"/>
    <x v="3"/>
    <x v="25"/>
    <x v="0"/>
    <x v="7"/>
    <x v="3"/>
    <x v="0"/>
    <x v="0"/>
    <x v="0"/>
    <s v="Standard"/>
    <n v="9"/>
  </r>
  <r>
    <x v="635"/>
    <x v="23"/>
    <x v="2"/>
    <x v="1"/>
    <x v="0"/>
    <x v="2"/>
    <x v="1"/>
    <s v="Bida"/>
    <x v="5"/>
    <n v="217.72"/>
    <x v="10"/>
    <x v="0"/>
    <x v="1"/>
    <x v="0"/>
    <x v="2"/>
    <n v="4"/>
    <n v="2"/>
    <x v="1"/>
    <x v="0"/>
    <n v="1"/>
    <x v="2"/>
    <n v="4"/>
    <x v="1"/>
    <x v="1"/>
    <x v="0"/>
    <x v="113"/>
    <x v="2"/>
    <x v="6"/>
    <x v="3"/>
    <x v="1"/>
    <x v="0"/>
    <x v="0"/>
    <s v="No Preference"/>
    <n v="14"/>
  </r>
  <r>
    <x v="636"/>
    <x v="25"/>
    <x v="2"/>
    <x v="0"/>
    <x v="1"/>
    <x v="3"/>
    <x v="2"/>
    <s v="Taocheng"/>
    <x v="18"/>
    <n v="218.06"/>
    <x v="1"/>
    <x v="0"/>
    <x v="0"/>
    <x v="4"/>
    <x v="2"/>
    <n v="4"/>
    <n v="1"/>
    <x v="2"/>
    <x v="2"/>
    <n v="2"/>
    <x v="0"/>
    <n v="9"/>
    <x v="3"/>
    <x v="2"/>
    <x v="3"/>
    <x v="0"/>
    <x v="0"/>
    <x v="0"/>
    <x v="0"/>
    <x v="1"/>
    <x v="0"/>
    <x v="3"/>
    <s v="No Preference"/>
    <n v="13"/>
  </r>
  <r>
    <x v="637"/>
    <x v="22"/>
    <x v="2"/>
    <x v="0"/>
    <x v="0"/>
    <x v="0"/>
    <x v="2"/>
    <s v="Kadumelati"/>
    <x v="10"/>
    <n v="218.87"/>
    <x v="3"/>
    <x v="0"/>
    <x v="2"/>
    <x v="0"/>
    <x v="0"/>
    <n v="3"/>
    <n v="0"/>
    <x v="1"/>
    <x v="1"/>
    <n v="0"/>
    <x v="2"/>
    <n v="4"/>
    <x v="0"/>
    <x v="0"/>
    <x v="1"/>
    <x v="112"/>
    <x v="2"/>
    <x v="8"/>
    <x v="3"/>
    <x v="0"/>
    <x v="1"/>
    <x v="1"/>
    <s v="No Preference"/>
    <n v="11"/>
  </r>
  <r>
    <x v="638"/>
    <x v="18"/>
    <x v="2"/>
    <x v="0"/>
    <x v="1"/>
    <x v="3"/>
    <x v="1"/>
    <s v="Ormstown"/>
    <x v="7"/>
    <n v="220.77"/>
    <x v="4"/>
    <x v="0"/>
    <x v="0"/>
    <x v="0"/>
    <x v="1"/>
    <n v="2"/>
    <n v="2"/>
    <x v="2"/>
    <x v="0"/>
    <n v="2"/>
    <x v="2"/>
    <n v="1"/>
    <x v="3"/>
    <x v="0"/>
    <x v="0"/>
    <x v="272"/>
    <x v="0"/>
    <x v="5"/>
    <x v="4"/>
    <x v="0"/>
    <x v="0"/>
    <x v="2"/>
    <s v="Standard"/>
    <n v="11"/>
  </r>
  <r>
    <x v="639"/>
    <x v="21"/>
    <x v="2"/>
    <x v="1"/>
    <x v="0"/>
    <x v="0"/>
    <x v="0"/>
    <s v="Gimcheon"/>
    <x v="18"/>
    <n v="225.05"/>
    <x v="3"/>
    <x v="0"/>
    <x v="2"/>
    <x v="1"/>
    <x v="1"/>
    <n v="1"/>
    <n v="1"/>
    <x v="3"/>
    <x v="2"/>
    <n v="1"/>
    <x v="2"/>
    <n v="1"/>
    <x v="2"/>
    <x v="2"/>
    <x v="3"/>
    <x v="299"/>
    <x v="1"/>
    <x v="2"/>
    <x v="6"/>
    <x v="1"/>
    <x v="1"/>
    <x v="2"/>
    <s v="No Preference"/>
    <n v="10"/>
  </r>
  <r>
    <x v="640"/>
    <x v="24"/>
    <x v="2"/>
    <x v="0"/>
    <x v="1"/>
    <x v="3"/>
    <x v="2"/>
    <s v="Karlstad"/>
    <x v="17"/>
    <n v="226.48"/>
    <x v="7"/>
    <x v="0"/>
    <x v="1"/>
    <x v="4"/>
    <x v="0"/>
    <n v="3"/>
    <n v="2"/>
    <x v="0"/>
    <x v="0"/>
    <n v="2"/>
    <x v="1"/>
    <n v="7"/>
    <x v="1"/>
    <x v="1"/>
    <x v="0"/>
    <x v="300"/>
    <x v="2"/>
    <x v="6"/>
    <x v="5"/>
    <x v="0"/>
    <x v="1"/>
    <x v="2"/>
    <s v="Express"/>
    <n v="11"/>
  </r>
  <r>
    <x v="641"/>
    <x v="21"/>
    <x v="2"/>
    <x v="0"/>
    <x v="1"/>
    <x v="2"/>
    <x v="0"/>
    <s v="Sośno"/>
    <x v="20"/>
    <n v="227.57"/>
    <x v="5"/>
    <x v="0"/>
    <x v="0"/>
    <x v="2"/>
    <x v="1"/>
    <n v="2"/>
    <n v="0"/>
    <x v="3"/>
    <x v="2"/>
    <n v="1"/>
    <x v="1"/>
    <n v="6"/>
    <x v="3"/>
    <x v="1"/>
    <x v="2"/>
    <x v="70"/>
    <x v="1"/>
    <x v="1"/>
    <x v="2"/>
    <x v="1"/>
    <x v="0"/>
    <x v="0"/>
    <s v="No Preference"/>
    <n v="14"/>
  </r>
  <r>
    <x v="642"/>
    <x v="21"/>
    <x v="2"/>
    <x v="1"/>
    <x v="1"/>
    <x v="0"/>
    <x v="1"/>
    <s v="San Carlos"/>
    <x v="13"/>
    <n v="229.56"/>
    <x v="6"/>
    <x v="0"/>
    <x v="0"/>
    <x v="2"/>
    <x v="1"/>
    <n v="2"/>
    <n v="1"/>
    <x v="0"/>
    <x v="2"/>
    <n v="0"/>
    <x v="0"/>
    <n v="9"/>
    <x v="2"/>
    <x v="1"/>
    <x v="2"/>
    <x v="198"/>
    <x v="3"/>
    <x v="4"/>
    <x v="0"/>
    <x v="0"/>
    <x v="0"/>
    <x v="2"/>
    <s v="No Preference"/>
    <n v="11"/>
  </r>
  <r>
    <x v="643"/>
    <x v="18"/>
    <x v="2"/>
    <x v="1"/>
    <x v="0"/>
    <x v="3"/>
    <x v="2"/>
    <s v="Dake"/>
    <x v="9"/>
    <n v="229.97"/>
    <x v="4"/>
    <x v="0"/>
    <x v="2"/>
    <x v="3"/>
    <x v="2"/>
    <n v="4"/>
    <n v="0"/>
    <x v="0"/>
    <x v="1"/>
    <n v="2"/>
    <x v="0"/>
    <n v="9"/>
    <x v="3"/>
    <x v="2"/>
    <x v="4"/>
    <x v="234"/>
    <x v="2"/>
    <x v="3"/>
    <x v="6"/>
    <x v="1"/>
    <x v="0"/>
    <x v="2"/>
    <s v="Standard"/>
    <n v="6"/>
  </r>
  <r>
    <x v="644"/>
    <x v="22"/>
    <x v="2"/>
    <x v="1"/>
    <x v="1"/>
    <x v="2"/>
    <x v="0"/>
    <s v="Damnoen Saduak"/>
    <x v="17"/>
    <n v="235.32"/>
    <x v="4"/>
    <x v="0"/>
    <x v="0"/>
    <x v="1"/>
    <x v="1"/>
    <n v="1"/>
    <n v="1"/>
    <x v="1"/>
    <x v="1"/>
    <n v="1"/>
    <x v="0"/>
    <n v="10"/>
    <x v="1"/>
    <x v="2"/>
    <x v="2"/>
    <x v="249"/>
    <x v="1"/>
    <x v="2"/>
    <x v="0"/>
    <x v="1"/>
    <x v="0"/>
    <x v="3"/>
    <s v="Express"/>
    <n v="11"/>
  </r>
  <r>
    <x v="645"/>
    <x v="23"/>
    <x v="2"/>
    <x v="1"/>
    <x v="1"/>
    <x v="0"/>
    <x v="0"/>
    <s v="Créteil"/>
    <x v="0"/>
    <n v="235.84"/>
    <x v="6"/>
    <x v="0"/>
    <x v="2"/>
    <x v="4"/>
    <x v="1"/>
    <n v="2"/>
    <n v="0"/>
    <x v="0"/>
    <x v="1"/>
    <n v="2"/>
    <x v="2"/>
    <n v="3"/>
    <x v="3"/>
    <x v="2"/>
    <x v="1"/>
    <x v="149"/>
    <x v="1"/>
    <x v="1"/>
    <x v="2"/>
    <x v="1"/>
    <x v="1"/>
    <x v="1"/>
    <s v="No Preference"/>
    <n v="14"/>
  </r>
  <r>
    <x v="646"/>
    <x v="21"/>
    <x v="2"/>
    <x v="1"/>
    <x v="1"/>
    <x v="2"/>
    <x v="0"/>
    <s v="Ngeru"/>
    <x v="3"/>
    <n v="236.99"/>
    <x v="2"/>
    <x v="0"/>
    <x v="2"/>
    <x v="1"/>
    <x v="2"/>
    <n v="4"/>
    <n v="0"/>
    <x v="3"/>
    <x v="1"/>
    <n v="0"/>
    <x v="0"/>
    <n v="8"/>
    <x v="3"/>
    <x v="1"/>
    <x v="2"/>
    <x v="154"/>
    <x v="3"/>
    <x v="9"/>
    <x v="4"/>
    <x v="0"/>
    <x v="0"/>
    <x v="3"/>
    <s v="No Preference"/>
    <n v="13"/>
  </r>
  <r>
    <x v="647"/>
    <x v="21"/>
    <x v="2"/>
    <x v="1"/>
    <x v="0"/>
    <x v="1"/>
    <x v="0"/>
    <s v="Győr"/>
    <x v="9"/>
    <n v="238.93"/>
    <x v="3"/>
    <x v="0"/>
    <x v="0"/>
    <x v="0"/>
    <x v="0"/>
    <n v="3"/>
    <n v="1"/>
    <x v="1"/>
    <x v="1"/>
    <n v="0"/>
    <x v="0"/>
    <n v="10"/>
    <x v="1"/>
    <x v="1"/>
    <x v="1"/>
    <x v="285"/>
    <x v="3"/>
    <x v="9"/>
    <x v="5"/>
    <x v="0"/>
    <x v="1"/>
    <x v="1"/>
    <s v="No Preference"/>
    <n v="1"/>
  </r>
  <r>
    <x v="648"/>
    <x v="24"/>
    <x v="2"/>
    <x v="0"/>
    <x v="0"/>
    <x v="1"/>
    <x v="1"/>
    <s v="La Montañita"/>
    <x v="8"/>
    <n v="239.46"/>
    <x v="10"/>
    <x v="0"/>
    <x v="2"/>
    <x v="3"/>
    <x v="1"/>
    <n v="1"/>
    <n v="0"/>
    <x v="2"/>
    <x v="0"/>
    <n v="2"/>
    <x v="0"/>
    <n v="8"/>
    <x v="1"/>
    <x v="2"/>
    <x v="4"/>
    <x v="22"/>
    <x v="1"/>
    <x v="1"/>
    <x v="0"/>
    <x v="0"/>
    <x v="0"/>
    <x v="1"/>
    <s v="Standard"/>
    <n v="7"/>
  </r>
  <r>
    <x v="649"/>
    <x v="20"/>
    <x v="2"/>
    <x v="1"/>
    <x v="0"/>
    <x v="0"/>
    <x v="0"/>
    <s v="Rizal"/>
    <x v="18"/>
    <n v="240.28"/>
    <x v="10"/>
    <x v="0"/>
    <x v="0"/>
    <x v="3"/>
    <x v="2"/>
    <n v="5"/>
    <n v="2"/>
    <x v="3"/>
    <x v="0"/>
    <n v="2"/>
    <x v="1"/>
    <n v="7"/>
    <x v="0"/>
    <x v="1"/>
    <x v="1"/>
    <x v="246"/>
    <x v="3"/>
    <x v="9"/>
    <x v="2"/>
    <x v="0"/>
    <x v="0"/>
    <x v="3"/>
    <s v="Standard"/>
    <n v="4"/>
  </r>
  <r>
    <x v="650"/>
    <x v="25"/>
    <x v="2"/>
    <x v="1"/>
    <x v="0"/>
    <x v="3"/>
    <x v="2"/>
    <s v="Njeru"/>
    <x v="5"/>
    <n v="241.1"/>
    <x v="0"/>
    <x v="0"/>
    <x v="1"/>
    <x v="2"/>
    <x v="2"/>
    <n v="5"/>
    <n v="2"/>
    <x v="0"/>
    <x v="0"/>
    <n v="2"/>
    <x v="2"/>
    <n v="2"/>
    <x v="0"/>
    <x v="2"/>
    <x v="3"/>
    <x v="301"/>
    <x v="1"/>
    <x v="10"/>
    <x v="1"/>
    <x v="1"/>
    <x v="0"/>
    <x v="1"/>
    <s v="No Preference"/>
    <n v="8"/>
  </r>
  <r>
    <x v="651"/>
    <x v="23"/>
    <x v="2"/>
    <x v="1"/>
    <x v="1"/>
    <x v="0"/>
    <x v="0"/>
    <s v="Takāb"/>
    <x v="19"/>
    <n v="242.79"/>
    <x v="1"/>
    <x v="0"/>
    <x v="2"/>
    <x v="1"/>
    <x v="2"/>
    <n v="4"/>
    <n v="0"/>
    <x v="3"/>
    <x v="2"/>
    <n v="1"/>
    <x v="1"/>
    <n v="7"/>
    <x v="3"/>
    <x v="0"/>
    <x v="4"/>
    <x v="302"/>
    <x v="3"/>
    <x v="4"/>
    <x v="2"/>
    <x v="0"/>
    <x v="1"/>
    <x v="3"/>
    <s v="Express"/>
    <n v="7"/>
  </r>
  <r>
    <x v="652"/>
    <x v="21"/>
    <x v="2"/>
    <x v="0"/>
    <x v="1"/>
    <x v="2"/>
    <x v="0"/>
    <s v="Perugia"/>
    <x v="16"/>
    <n v="244.6"/>
    <x v="0"/>
    <x v="0"/>
    <x v="0"/>
    <x v="0"/>
    <x v="2"/>
    <n v="4"/>
    <n v="2"/>
    <x v="1"/>
    <x v="2"/>
    <n v="0"/>
    <x v="1"/>
    <n v="6"/>
    <x v="3"/>
    <x v="1"/>
    <x v="4"/>
    <x v="1"/>
    <x v="1"/>
    <x v="1"/>
    <x v="0"/>
    <x v="1"/>
    <x v="1"/>
    <x v="0"/>
    <s v="Standard"/>
    <n v="3"/>
  </r>
  <r>
    <x v="653"/>
    <x v="22"/>
    <x v="2"/>
    <x v="1"/>
    <x v="0"/>
    <x v="1"/>
    <x v="1"/>
    <s v="Goiatuba"/>
    <x v="18"/>
    <n v="245.14"/>
    <x v="8"/>
    <x v="0"/>
    <x v="0"/>
    <x v="0"/>
    <x v="2"/>
    <n v="5"/>
    <n v="1"/>
    <x v="3"/>
    <x v="1"/>
    <n v="1"/>
    <x v="2"/>
    <n v="4"/>
    <x v="0"/>
    <x v="0"/>
    <x v="2"/>
    <x v="237"/>
    <x v="0"/>
    <x v="0"/>
    <x v="0"/>
    <x v="0"/>
    <x v="1"/>
    <x v="3"/>
    <s v="Standard"/>
    <n v="3"/>
  </r>
  <r>
    <x v="654"/>
    <x v="21"/>
    <x v="2"/>
    <x v="0"/>
    <x v="0"/>
    <x v="2"/>
    <x v="0"/>
    <s v="Čáslav"/>
    <x v="5"/>
    <n v="245.98"/>
    <x v="8"/>
    <x v="0"/>
    <x v="2"/>
    <x v="4"/>
    <x v="1"/>
    <n v="1"/>
    <n v="1"/>
    <x v="3"/>
    <x v="0"/>
    <n v="0"/>
    <x v="2"/>
    <n v="1"/>
    <x v="0"/>
    <x v="2"/>
    <x v="2"/>
    <x v="222"/>
    <x v="2"/>
    <x v="3"/>
    <x v="5"/>
    <x v="1"/>
    <x v="1"/>
    <x v="1"/>
    <s v="Standard"/>
    <n v="10"/>
  </r>
  <r>
    <x v="655"/>
    <x v="21"/>
    <x v="2"/>
    <x v="2"/>
    <x v="0"/>
    <x v="2"/>
    <x v="1"/>
    <s v="Kadugadung"/>
    <x v="10"/>
    <n v="246.74"/>
    <x v="2"/>
    <x v="0"/>
    <x v="0"/>
    <x v="1"/>
    <x v="0"/>
    <n v="3"/>
    <n v="0"/>
    <x v="1"/>
    <x v="0"/>
    <n v="1"/>
    <x v="1"/>
    <n v="6"/>
    <x v="1"/>
    <x v="2"/>
    <x v="2"/>
    <x v="137"/>
    <x v="0"/>
    <x v="0"/>
    <x v="3"/>
    <x v="1"/>
    <x v="1"/>
    <x v="2"/>
    <s v="Express"/>
    <n v="8"/>
  </r>
  <r>
    <x v="656"/>
    <x v="23"/>
    <x v="2"/>
    <x v="7"/>
    <x v="1"/>
    <x v="3"/>
    <x v="0"/>
    <s v="Pantenan"/>
    <x v="12"/>
    <n v="247.05"/>
    <x v="9"/>
    <x v="0"/>
    <x v="1"/>
    <x v="3"/>
    <x v="1"/>
    <n v="2"/>
    <n v="1"/>
    <x v="2"/>
    <x v="2"/>
    <n v="1"/>
    <x v="0"/>
    <n v="8"/>
    <x v="1"/>
    <x v="2"/>
    <x v="1"/>
    <x v="84"/>
    <x v="0"/>
    <x v="7"/>
    <x v="2"/>
    <x v="1"/>
    <x v="1"/>
    <x v="0"/>
    <s v="Standard"/>
    <n v="2"/>
  </r>
  <r>
    <x v="657"/>
    <x v="20"/>
    <x v="2"/>
    <x v="1"/>
    <x v="0"/>
    <x v="2"/>
    <x v="0"/>
    <s v="Jiangmen"/>
    <x v="16"/>
    <n v="247.3"/>
    <x v="5"/>
    <x v="0"/>
    <x v="1"/>
    <x v="0"/>
    <x v="2"/>
    <n v="4"/>
    <n v="2"/>
    <x v="2"/>
    <x v="1"/>
    <n v="0"/>
    <x v="2"/>
    <n v="1"/>
    <x v="0"/>
    <x v="2"/>
    <x v="3"/>
    <x v="303"/>
    <x v="3"/>
    <x v="11"/>
    <x v="6"/>
    <x v="0"/>
    <x v="0"/>
    <x v="0"/>
    <s v="No Preference"/>
    <n v="11"/>
  </r>
  <r>
    <x v="658"/>
    <x v="25"/>
    <x v="2"/>
    <x v="1"/>
    <x v="1"/>
    <x v="1"/>
    <x v="0"/>
    <s v="Oslo"/>
    <x v="18"/>
    <n v="247.51"/>
    <x v="2"/>
    <x v="0"/>
    <x v="2"/>
    <x v="1"/>
    <x v="1"/>
    <n v="1"/>
    <n v="2"/>
    <x v="2"/>
    <x v="2"/>
    <n v="1"/>
    <x v="0"/>
    <n v="8"/>
    <x v="2"/>
    <x v="1"/>
    <x v="3"/>
    <x v="233"/>
    <x v="1"/>
    <x v="10"/>
    <x v="4"/>
    <x v="0"/>
    <x v="1"/>
    <x v="3"/>
    <s v="Standard"/>
    <n v="2"/>
  </r>
  <r>
    <x v="659"/>
    <x v="20"/>
    <x v="2"/>
    <x v="5"/>
    <x v="0"/>
    <x v="3"/>
    <x v="0"/>
    <s v="Jembangan"/>
    <x v="11"/>
    <n v="249.02"/>
    <x v="7"/>
    <x v="0"/>
    <x v="2"/>
    <x v="3"/>
    <x v="1"/>
    <n v="2"/>
    <n v="0.3"/>
    <x v="1"/>
    <x v="0"/>
    <n v="1"/>
    <x v="2"/>
    <n v="1"/>
    <x v="0"/>
    <x v="0"/>
    <x v="2"/>
    <x v="88"/>
    <x v="2"/>
    <x v="6"/>
    <x v="1"/>
    <x v="0"/>
    <x v="0"/>
    <x v="1"/>
    <s v="Express"/>
    <n v="14"/>
  </r>
  <r>
    <x v="660"/>
    <x v="18"/>
    <x v="2"/>
    <x v="1"/>
    <x v="1"/>
    <x v="1"/>
    <x v="0"/>
    <s v="Point Pedro"/>
    <x v="8"/>
    <n v="250.54"/>
    <x v="8"/>
    <x v="0"/>
    <x v="1"/>
    <x v="3"/>
    <x v="0"/>
    <n v="3"/>
    <n v="1"/>
    <x v="3"/>
    <x v="0"/>
    <n v="2"/>
    <x v="0"/>
    <n v="10"/>
    <x v="3"/>
    <x v="2"/>
    <x v="3"/>
    <x v="285"/>
    <x v="3"/>
    <x v="9"/>
    <x v="5"/>
    <x v="1"/>
    <x v="1"/>
    <x v="0"/>
    <s v="No Preference"/>
    <n v="3"/>
  </r>
  <r>
    <x v="661"/>
    <x v="25"/>
    <x v="2"/>
    <x v="0"/>
    <x v="1"/>
    <x v="2"/>
    <x v="0"/>
    <s v="Daying"/>
    <x v="2"/>
    <n v="251.8"/>
    <x v="1"/>
    <x v="0"/>
    <x v="2"/>
    <x v="4"/>
    <x v="1"/>
    <n v="1"/>
    <n v="2"/>
    <x v="3"/>
    <x v="1"/>
    <n v="1"/>
    <x v="0"/>
    <n v="8"/>
    <x v="2"/>
    <x v="0"/>
    <x v="0"/>
    <x v="216"/>
    <x v="1"/>
    <x v="10"/>
    <x v="5"/>
    <x v="0"/>
    <x v="0"/>
    <x v="3"/>
    <s v="No Preference"/>
    <n v="11"/>
  </r>
  <r>
    <x v="662"/>
    <x v="23"/>
    <x v="2"/>
    <x v="1"/>
    <x v="0"/>
    <x v="3"/>
    <x v="2"/>
    <s v="Zubūbah"/>
    <x v="18"/>
    <n v="253.37"/>
    <x v="0"/>
    <x v="0"/>
    <x v="1"/>
    <x v="1"/>
    <x v="2"/>
    <n v="5"/>
    <n v="0"/>
    <x v="0"/>
    <x v="1"/>
    <n v="0"/>
    <x v="0"/>
    <n v="9"/>
    <x v="2"/>
    <x v="1"/>
    <x v="3"/>
    <x v="280"/>
    <x v="0"/>
    <x v="7"/>
    <x v="3"/>
    <x v="1"/>
    <x v="0"/>
    <x v="1"/>
    <s v="Express"/>
    <n v="6"/>
  </r>
  <r>
    <x v="663"/>
    <x v="20"/>
    <x v="2"/>
    <x v="1"/>
    <x v="0"/>
    <x v="1"/>
    <x v="0"/>
    <s v="Xidianzi"/>
    <x v="11"/>
    <n v="255.96"/>
    <x v="4"/>
    <x v="0"/>
    <x v="0"/>
    <x v="4"/>
    <x v="1"/>
    <n v="1"/>
    <n v="1"/>
    <x v="3"/>
    <x v="1"/>
    <n v="0"/>
    <x v="0"/>
    <n v="10"/>
    <x v="3"/>
    <x v="1"/>
    <x v="1"/>
    <x v="253"/>
    <x v="3"/>
    <x v="9"/>
    <x v="4"/>
    <x v="1"/>
    <x v="1"/>
    <x v="2"/>
    <s v="No Preference"/>
    <n v="13"/>
  </r>
  <r>
    <x v="664"/>
    <x v="26"/>
    <x v="2"/>
    <x v="0"/>
    <x v="0"/>
    <x v="1"/>
    <x v="1"/>
    <s v="Kovářov"/>
    <x v="18"/>
    <n v="257.12"/>
    <x v="9"/>
    <x v="0"/>
    <x v="0"/>
    <x v="1"/>
    <x v="1"/>
    <n v="1"/>
    <n v="0"/>
    <x v="3"/>
    <x v="0"/>
    <n v="2"/>
    <x v="2"/>
    <n v="1"/>
    <x v="1"/>
    <x v="0"/>
    <x v="4"/>
    <x v="145"/>
    <x v="1"/>
    <x v="10"/>
    <x v="3"/>
    <x v="0"/>
    <x v="1"/>
    <x v="3"/>
    <s v="No Preference"/>
    <n v="11"/>
  </r>
  <r>
    <x v="665"/>
    <x v="26"/>
    <x v="2"/>
    <x v="0"/>
    <x v="0"/>
    <x v="1"/>
    <x v="2"/>
    <s v="Macayug"/>
    <x v="5"/>
    <n v="260.22000000000003"/>
    <x v="7"/>
    <x v="0"/>
    <x v="1"/>
    <x v="0"/>
    <x v="0"/>
    <n v="3"/>
    <n v="0"/>
    <x v="0"/>
    <x v="0"/>
    <n v="2"/>
    <x v="1"/>
    <n v="5"/>
    <x v="1"/>
    <x v="2"/>
    <x v="3"/>
    <x v="304"/>
    <x v="2"/>
    <x v="3"/>
    <x v="3"/>
    <x v="1"/>
    <x v="0"/>
    <x v="2"/>
    <s v="Express"/>
    <n v="13"/>
  </r>
  <r>
    <x v="666"/>
    <x v="24"/>
    <x v="2"/>
    <x v="1"/>
    <x v="1"/>
    <x v="0"/>
    <x v="2"/>
    <s v="Yaodu"/>
    <x v="10"/>
    <n v="264.3"/>
    <x v="2"/>
    <x v="0"/>
    <x v="1"/>
    <x v="4"/>
    <x v="2"/>
    <n v="4"/>
    <n v="1"/>
    <x v="2"/>
    <x v="0"/>
    <n v="2"/>
    <x v="2"/>
    <n v="2"/>
    <x v="1"/>
    <x v="0"/>
    <x v="2"/>
    <x v="8"/>
    <x v="1"/>
    <x v="1"/>
    <x v="1"/>
    <x v="0"/>
    <x v="0"/>
    <x v="1"/>
    <s v="No Preference"/>
    <n v="5"/>
  </r>
  <r>
    <x v="667"/>
    <x v="22"/>
    <x v="2"/>
    <x v="2"/>
    <x v="0"/>
    <x v="0"/>
    <x v="1"/>
    <s v="Xinchengzi"/>
    <x v="6"/>
    <n v="268.27999999999997"/>
    <x v="6"/>
    <x v="0"/>
    <x v="2"/>
    <x v="4"/>
    <x v="1"/>
    <n v="2"/>
    <n v="2"/>
    <x v="3"/>
    <x v="1"/>
    <n v="2"/>
    <x v="2"/>
    <n v="2"/>
    <x v="1"/>
    <x v="0"/>
    <x v="3"/>
    <x v="12"/>
    <x v="0"/>
    <x v="5"/>
    <x v="1"/>
    <x v="1"/>
    <x v="0"/>
    <x v="2"/>
    <s v="Standard"/>
    <n v="8"/>
  </r>
  <r>
    <x v="668"/>
    <x v="19"/>
    <x v="2"/>
    <x v="1"/>
    <x v="1"/>
    <x v="0"/>
    <x v="2"/>
    <s v="Kokstad"/>
    <x v="1"/>
    <n v="269.77999999999997"/>
    <x v="4"/>
    <x v="0"/>
    <x v="1"/>
    <x v="1"/>
    <x v="0"/>
    <n v="3"/>
    <n v="1"/>
    <x v="1"/>
    <x v="2"/>
    <n v="2"/>
    <x v="1"/>
    <n v="7"/>
    <x v="0"/>
    <x v="2"/>
    <x v="4"/>
    <x v="174"/>
    <x v="1"/>
    <x v="10"/>
    <x v="6"/>
    <x v="0"/>
    <x v="0"/>
    <x v="2"/>
    <s v="No Preference"/>
    <n v="5"/>
  </r>
  <r>
    <x v="669"/>
    <x v="21"/>
    <x v="2"/>
    <x v="1"/>
    <x v="1"/>
    <x v="2"/>
    <x v="0"/>
    <s v="Mirów"/>
    <x v="11"/>
    <n v="269.83999999999997"/>
    <x v="8"/>
    <x v="0"/>
    <x v="1"/>
    <x v="4"/>
    <x v="2"/>
    <n v="4"/>
    <n v="0"/>
    <x v="2"/>
    <x v="0"/>
    <n v="2"/>
    <x v="0"/>
    <n v="9"/>
    <x v="2"/>
    <x v="1"/>
    <x v="3"/>
    <x v="210"/>
    <x v="0"/>
    <x v="7"/>
    <x v="2"/>
    <x v="0"/>
    <x v="0"/>
    <x v="0"/>
    <s v="No Preference"/>
    <n v="2"/>
  </r>
  <r>
    <x v="670"/>
    <x v="22"/>
    <x v="2"/>
    <x v="1"/>
    <x v="0"/>
    <x v="1"/>
    <x v="1"/>
    <s v="Yamaga"/>
    <x v="17"/>
    <n v="273.48"/>
    <x v="0"/>
    <x v="0"/>
    <x v="0"/>
    <x v="4"/>
    <x v="0"/>
    <n v="3"/>
    <n v="2"/>
    <x v="2"/>
    <x v="1"/>
    <n v="0"/>
    <x v="1"/>
    <n v="5"/>
    <x v="0"/>
    <x v="0"/>
    <x v="4"/>
    <x v="193"/>
    <x v="3"/>
    <x v="4"/>
    <x v="4"/>
    <x v="0"/>
    <x v="1"/>
    <x v="0"/>
    <s v="Express"/>
    <n v="5"/>
  </r>
  <r>
    <x v="671"/>
    <x v="25"/>
    <x v="2"/>
    <x v="0"/>
    <x v="1"/>
    <x v="1"/>
    <x v="0"/>
    <s v="Huanggang"/>
    <x v="9"/>
    <n v="276.48"/>
    <x v="10"/>
    <x v="0"/>
    <x v="2"/>
    <x v="2"/>
    <x v="1"/>
    <n v="2"/>
    <n v="1"/>
    <x v="0"/>
    <x v="2"/>
    <n v="0"/>
    <x v="2"/>
    <n v="4"/>
    <x v="2"/>
    <x v="2"/>
    <x v="1"/>
    <x v="241"/>
    <x v="0"/>
    <x v="7"/>
    <x v="0"/>
    <x v="1"/>
    <x v="1"/>
    <x v="2"/>
    <s v="Express"/>
    <n v="7"/>
  </r>
  <r>
    <x v="672"/>
    <x v="18"/>
    <x v="2"/>
    <x v="1"/>
    <x v="0"/>
    <x v="1"/>
    <x v="2"/>
    <s v="Kubangwaru"/>
    <x v="20"/>
    <n v="278.77999999999997"/>
    <x v="10"/>
    <x v="0"/>
    <x v="2"/>
    <x v="4"/>
    <x v="1"/>
    <n v="2"/>
    <n v="0"/>
    <x v="1"/>
    <x v="0"/>
    <n v="0"/>
    <x v="2"/>
    <n v="1"/>
    <x v="2"/>
    <x v="2"/>
    <x v="3"/>
    <x v="305"/>
    <x v="1"/>
    <x v="2"/>
    <x v="5"/>
    <x v="0"/>
    <x v="1"/>
    <x v="0"/>
    <s v="Standard"/>
    <n v="2"/>
  </r>
  <r>
    <x v="673"/>
    <x v="18"/>
    <x v="2"/>
    <x v="1"/>
    <x v="1"/>
    <x v="0"/>
    <x v="1"/>
    <s v="Göteborg"/>
    <x v="0"/>
    <n v="279.08"/>
    <x v="2"/>
    <x v="0"/>
    <x v="0"/>
    <x v="0"/>
    <x v="1"/>
    <n v="2"/>
    <n v="1"/>
    <x v="3"/>
    <x v="0"/>
    <n v="2"/>
    <x v="1"/>
    <n v="7"/>
    <x v="0"/>
    <x v="0"/>
    <x v="3"/>
    <x v="294"/>
    <x v="0"/>
    <x v="5"/>
    <x v="6"/>
    <x v="1"/>
    <x v="0"/>
    <x v="0"/>
    <s v="No Preference"/>
    <n v="3"/>
  </r>
  <r>
    <x v="674"/>
    <x v="25"/>
    <x v="2"/>
    <x v="2"/>
    <x v="0"/>
    <x v="0"/>
    <x v="0"/>
    <s v="Paris 06"/>
    <x v="3"/>
    <n v="282.13"/>
    <x v="3"/>
    <x v="0"/>
    <x v="2"/>
    <x v="0"/>
    <x v="2"/>
    <n v="5"/>
    <n v="1"/>
    <x v="0"/>
    <x v="2"/>
    <n v="1"/>
    <x v="2"/>
    <n v="2"/>
    <x v="3"/>
    <x v="1"/>
    <x v="4"/>
    <x v="284"/>
    <x v="3"/>
    <x v="4"/>
    <x v="5"/>
    <x v="0"/>
    <x v="1"/>
    <x v="2"/>
    <s v="Standard"/>
    <n v="9"/>
  </r>
  <r>
    <x v="675"/>
    <x v="19"/>
    <x v="2"/>
    <x v="0"/>
    <x v="1"/>
    <x v="0"/>
    <x v="1"/>
    <s v="Fangshan"/>
    <x v="5"/>
    <n v="283.7"/>
    <x v="9"/>
    <x v="0"/>
    <x v="2"/>
    <x v="1"/>
    <x v="2"/>
    <n v="5"/>
    <n v="1"/>
    <x v="1"/>
    <x v="0"/>
    <n v="1"/>
    <x v="2"/>
    <n v="3"/>
    <x v="2"/>
    <x v="0"/>
    <x v="1"/>
    <x v="215"/>
    <x v="3"/>
    <x v="11"/>
    <x v="6"/>
    <x v="1"/>
    <x v="1"/>
    <x v="3"/>
    <s v="Express"/>
    <n v="8"/>
  </r>
  <r>
    <x v="676"/>
    <x v="18"/>
    <x v="2"/>
    <x v="1"/>
    <x v="1"/>
    <x v="2"/>
    <x v="1"/>
    <s v="Lobuk"/>
    <x v="20"/>
    <n v="287.18"/>
    <x v="4"/>
    <x v="0"/>
    <x v="1"/>
    <x v="0"/>
    <x v="2"/>
    <n v="5"/>
    <n v="0"/>
    <x v="0"/>
    <x v="0"/>
    <n v="0"/>
    <x v="2"/>
    <n v="1"/>
    <x v="3"/>
    <x v="1"/>
    <x v="0"/>
    <x v="141"/>
    <x v="0"/>
    <x v="0"/>
    <x v="4"/>
    <x v="0"/>
    <x v="1"/>
    <x v="1"/>
    <s v="No Preference"/>
    <n v="8"/>
  </r>
  <r>
    <x v="677"/>
    <x v="23"/>
    <x v="2"/>
    <x v="0"/>
    <x v="1"/>
    <x v="3"/>
    <x v="1"/>
    <s v="Nymburk"/>
    <x v="1"/>
    <n v="290.11"/>
    <x v="9"/>
    <x v="0"/>
    <x v="2"/>
    <x v="0"/>
    <x v="2"/>
    <n v="4"/>
    <n v="1"/>
    <x v="1"/>
    <x v="1"/>
    <n v="1"/>
    <x v="2"/>
    <n v="4"/>
    <x v="0"/>
    <x v="0"/>
    <x v="2"/>
    <x v="97"/>
    <x v="2"/>
    <x v="6"/>
    <x v="3"/>
    <x v="1"/>
    <x v="1"/>
    <x v="3"/>
    <s v="No Preference"/>
    <n v="14"/>
  </r>
  <r>
    <x v="678"/>
    <x v="23"/>
    <x v="2"/>
    <x v="1"/>
    <x v="1"/>
    <x v="3"/>
    <x v="2"/>
    <s v="Tambaksari"/>
    <x v="11"/>
    <n v="292.08"/>
    <x v="4"/>
    <x v="0"/>
    <x v="1"/>
    <x v="3"/>
    <x v="1"/>
    <n v="2"/>
    <n v="1"/>
    <x v="3"/>
    <x v="2"/>
    <n v="2"/>
    <x v="0"/>
    <n v="9"/>
    <x v="2"/>
    <x v="0"/>
    <x v="3"/>
    <x v="12"/>
    <x v="0"/>
    <x v="5"/>
    <x v="1"/>
    <x v="1"/>
    <x v="1"/>
    <x v="2"/>
    <s v="Standard"/>
    <n v="11"/>
  </r>
  <r>
    <x v="679"/>
    <x v="26"/>
    <x v="2"/>
    <x v="0"/>
    <x v="0"/>
    <x v="2"/>
    <x v="0"/>
    <s v="Majdal Banī Fāḑil"/>
    <x v="16"/>
    <n v="293.04000000000002"/>
    <x v="7"/>
    <x v="0"/>
    <x v="1"/>
    <x v="0"/>
    <x v="1"/>
    <n v="2"/>
    <n v="1"/>
    <x v="0"/>
    <x v="1"/>
    <n v="1"/>
    <x v="2"/>
    <n v="3"/>
    <x v="2"/>
    <x v="2"/>
    <x v="2"/>
    <x v="237"/>
    <x v="0"/>
    <x v="0"/>
    <x v="0"/>
    <x v="0"/>
    <x v="1"/>
    <x v="1"/>
    <s v="Standard"/>
    <n v="6"/>
  </r>
  <r>
    <x v="680"/>
    <x v="25"/>
    <x v="2"/>
    <x v="0"/>
    <x v="1"/>
    <x v="1"/>
    <x v="0"/>
    <s v="Taoyuan"/>
    <x v="20"/>
    <n v="293.43"/>
    <x v="6"/>
    <x v="0"/>
    <x v="1"/>
    <x v="0"/>
    <x v="2"/>
    <n v="4"/>
    <n v="1"/>
    <x v="1"/>
    <x v="1"/>
    <n v="0"/>
    <x v="1"/>
    <n v="5"/>
    <x v="3"/>
    <x v="2"/>
    <x v="1"/>
    <x v="216"/>
    <x v="1"/>
    <x v="10"/>
    <x v="5"/>
    <x v="1"/>
    <x v="0"/>
    <x v="2"/>
    <s v="Standard"/>
    <n v="7"/>
  </r>
  <r>
    <x v="681"/>
    <x v="26"/>
    <x v="2"/>
    <x v="1"/>
    <x v="0"/>
    <x v="2"/>
    <x v="2"/>
    <s v="Klishkivtsi"/>
    <x v="12"/>
    <n v="294.61"/>
    <x v="1"/>
    <x v="0"/>
    <x v="1"/>
    <x v="1"/>
    <x v="1"/>
    <n v="1"/>
    <n v="0"/>
    <x v="0"/>
    <x v="1"/>
    <n v="0"/>
    <x v="2"/>
    <n v="2"/>
    <x v="3"/>
    <x v="2"/>
    <x v="2"/>
    <x v="185"/>
    <x v="2"/>
    <x v="6"/>
    <x v="6"/>
    <x v="1"/>
    <x v="0"/>
    <x v="0"/>
    <s v="Express"/>
    <n v="4"/>
  </r>
  <r>
    <x v="682"/>
    <x v="25"/>
    <x v="2"/>
    <x v="1"/>
    <x v="1"/>
    <x v="2"/>
    <x v="2"/>
    <s v="Ishikawa"/>
    <x v="4"/>
    <n v="295.54000000000002"/>
    <x v="9"/>
    <x v="0"/>
    <x v="0"/>
    <x v="3"/>
    <x v="0"/>
    <n v="3"/>
    <n v="1"/>
    <x v="0"/>
    <x v="1"/>
    <n v="2"/>
    <x v="2"/>
    <n v="4"/>
    <x v="2"/>
    <x v="1"/>
    <x v="1"/>
    <x v="306"/>
    <x v="1"/>
    <x v="10"/>
    <x v="2"/>
    <x v="1"/>
    <x v="1"/>
    <x v="1"/>
    <s v="Express"/>
    <n v="14"/>
  </r>
  <r>
    <x v="683"/>
    <x v="26"/>
    <x v="2"/>
    <x v="0"/>
    <x v="0"/>
    <x v="1"/>
    <x v="1"/>
    <s v="Guéret"/>
    <x v="11"/>
    <n v="295.60000000000002"/>
    <x v="2"/>
    <x v="0"/>
    <x v="0"/>
    <x v="2"/>
    <x v="1"/>
    <n v="2"/>
    <n v="1"/>
    <x v="3"/>
    <x v="2"/>
    <n v="0"/>
    <x v="0"/>
    <n v="9"/>
    <x v="2"/>
    <x v="2"/>
    <x v="3"/>
    <x v="307"/>
    <x v="0"/>
    <x v="7"/>
    <x v="4"/>
    <x v="0"/>
    <x v="0"/>
    <x v="2"/>
    <s v="Standard"/>
    <n v="5"/>
  </r>
  <r>
    <x v="684"/>
    <x v="22"/>
    <x v="2"/>
    <x v="0"/>
    <x v="0"/>
    <x v="1"/>
    <x v="1"/>
    <s v="Olavarría"/>
    <x v="8"/>
    <n v="298.32"/>
    <x v="4"/>
    <x v="0"/>
    <x v="1"/>
    <x v="3"/>
    <x v="2"/>
    <n v="5"/>
    <n v="1"/>
    <x v="2"/>
    <x v="2"/>
    <n v="2"/>
    <x v="0"/>
    <n v="8"/>
    <x v="3"/>
    <x v="1"/>
    <x v="4"/>
    <x v="132"/>
    <x v="1"/>
    <x v="2"/>
    <x v="4"/>
    <x v="0"/>
    <x v="1"/>
    <x v="0"/>
    <s v="Standard"/>
    <n v="12"/>
  </r>
  <r>
    <x v="685"/>
    <x v="23"/>
    <x v="2"/>
    <x v="0"/>
    <x v="1"/>
    <x v="2"/>
    <x v="2"/>
    <s v="Tocoa"/>
    <x v="11"/>
    <n v="298.38"/>
    <x v="8"/>
    <x v="0"/>
    <x v="2"/>
    <x v="3"/>
    <x v="2"/>
    <n v="4"/>
    <n v="2"/>
    <x v="3"/>
    <x v="1"/>
    <n v="0"/>
    <x v="2"/>
    <n v="2"/>
    <x v="2"/>
    <x v="1"/>
    <x v="1"/>
    <x v="43"/>
    <x v="0"/>
    <x v="5"/>
    <x v="2"/>
    <x v="1"/>
    <x v="0"/>
    <x v="2"/>
    <s v="Standard"/>
    <n v="3"/>
  </r>
  <r>
    <x v="686"/>
    <x v="18"/>
    <x v="2"/>
    <x v="0"/>
    <x v="1"/>
    <x v="1"/>
    <x v="1"/>
    <s v="Libei"/>
    <x v="9"/>
    <n v="298.93"/>
    <x v="1"/>
    <x v="0"/>
    <x v="2"/>
    <x v="4"/>
    <x v="1"/>
    <n v="2"/>
    <n v="0.2"/>
    <x v="0"/>
    <x v="2"/>
    <n v="2"/>
    <x v="2"/>
    <n v="1"/>
    <x v="3"/>
    <x v="1"/>
    <x v="2"/>
    <x v="168"/>
    <x v="2"/>
    <x v="8"/>
    <x v="0"/>
    <x v="0"/>
    <x v="0"/>
    <x v="1"/>
    <s v="Express"/>
    <n v="2"/>
  </r>
  <r>
    <x v="687"/>
    <x v="19"/>
    <x v="2"/>
    <x v="0"/>
    <x v="0"/>
    <x v="2"/>
    <x v="2"/>
    <s v="Jelat"/>
    <x v="10"/>
    <n v="299.08999999999997"/>
    <x v="9"/>
    <x v="0"/>
    <x v="1"/>
    <x v="2"/>
    <x v="1"/>
    <n v="1"/>
    <n v="2"/>
    <x v="3"/>
    <x v="1"/>
    <n v="2"/>
    <x v="1"/>
    <n v="7"/>
    <x v="1"/>
    <x v="1"/>
    <x v="0"/>
    <x v="28"/>
    <x v="1"/>
    <x v="2"/>
    <x v="4"/>
    <x v="1"/>
    <x v="1"/>
    <x v="3"/>
    <s v="Standard"/>
    <n v="14"/>
  </r>
  <r>
    <x v="688"/>
    <x v="23"/>
    <x v="2"/>
    <x v="1"/>
    <x v="1"/>
    <x v="3"/>
    <x v="0"/>
    <s v="Qinghaihu"/>
    <x v="10"/>
    <n v="299.31"/>
    <x v="4"/>
    <x v="0"/>
    <x v="2"/>
    <x v="1"/>
    <x v="2"/>
    <n v="4"/>
    <n v="1"/>
    <x v="1"/>
    <x v="1"/>
    <n v="2"/>
    <x v="2"/>
    <n v="3"/>
    <x v="3"/>
    <x v="2"/>
    <x v="0"/>
    <x v="92"/>
    <x v="3"/>
    <x v="11"/>
    <x v="6"/>
    <x v="0"/>
    <x v="1"/>
    <x v="2"/>
    <s v="Express"/>
    <n v="3"/>
  </r>
  <r>
    <x v="689"/>
    <x v="20"/>
    <x v="2"/>
    <x v="1"/>
    <x v="1"/>
    <x v="1"/>
    <x v="1"/>
    <s v="La Laja"/>
    <x v="1"/>
    <n v="300.73"/>
    <x v="9"/>
    <x v="0"/>
    <x v="0"/>
    <x v="0"/>
    <x v="1"/>
    <n v="2"/>
    <n v="1"/>
    <x v="2"/>
    <x v="2"/>
    <n v="2"/>
    <x v="0"/>
    <n v="9"/>
    <x v="1"/>
    <x v="2"/>
    <x v="1"/>
    <x v="42"/>
    <x v="0"/>
    <x v="0"/>
    <x v="0"/>
    <x v="0"/>
    <x v="0"/>
    <x v="2"/>
    <s v="No Preference"/>
    <n v="10"/>
  </r>
  <r>
    <x v="690"/>
    <x v="24"/>
    <x v="2"/>
    <x v="3"/>
    <x v="1"/>
    <x v="0"/>
    <x v="0"/>
    <s v="Myshkin"/>
    <x v="1"/>
    <n v="301.16000000000003"/>
    <x v="2"/>
    <x v="0"/>
    <x v="0"/>
    <x v="0"/>
    <x v="0"/>
    <n v="3"/>
    <n v="2"/>
    <x v="0"/>
    <x v="1"/>
    <n v="2"/>
    <x v="0"/>
    <n v="9"/>
    <x v="0"/>
    <x v="1"/>
    <x v="1"/>
    <x v="251"/>
    <x v="1"/>
    <x v="10"/>
    <x v="5"/>
    <x v="1"/>
    <x v="1"/>
    <x v="2"/>
    <s v="Standard"/>
    <n v="1"/>
  </r>
  <r>
    <x v="691"/>
    <x v="21"/>
    <x v="2"/>
    <x v="1"/>
    <x v="1"/>
    <x v="1"/>
    <x v="2"/>
    <s v="Béja"/>
    <x v="15"/>
    <n v="301.60000000000002"/>
    <x v="8"/>
    <x v="0"/>
    <x v="2"/>
    <x v="0"/>
    <x v="2"/>
    <n v="5"/>
    <n v="1"/>
    <x v="2"/>
    <x v="0"/>
    <n v="2"/>
    <x v="0"/>
    <n v="10"/>
    <x v="1"/>
    <x v="2"/>
    <x v="3"/>
    <x v="141"/>
    <x v="0"/>
    <x v="0"/>
    <x v="4"/>
    <x v="1"/>
    <x v="1"/>
    <x v="3"/>
    <s v="Standard"/>
    <n v="13"/>
  </r>
  <r>
    <x v="692"/>
    <x v="19"/>
    <x v="2"/>
    <x v="1"/>
    <x v="1"/>
    <x v="3"/>
    <x v="1"/>
    <s v="Mangge"/>
    <x v="9"/>
    <n v="302.07"/>
    <x v="1"/>
    <x v="0"/>
    <x v="2"/>
    <x v="2"/>
    <x v="2"/>
    <n v="5"/>
    <n v="1"/>
    <x v="1"/>
    <x v="0"/>
    <n v="2"/>
    <x v="1"/>
    <n v="5"/>
    <x v="0"/>
    <x v="2"/>
    <x v="4"/>
    <x v="12"/>
    <x v="0"/>
    <x v="5"/>
    <x v="1"/>
    <x v="0"/>
    <x v="1"/>
    <x v="1"/>
    <s v="Express"/>
    <n v="13"/>
  </r>
  <r>
    <x v="693"/>
    <x v="23"/>
    <x v="2"/>
    <x v="1"/>
    <x v="1"/>
    <x v="0"/>
    <x v="1"/>
    <s v="Fenglu"/>
    <x v="5"/>
    <n v="303.08999999999997"/>
    <x v="5"/>
    <x v="0"/>
    <x v="0"/>
    <x v="1"/>
    <x v="2"/>
    <n v="5"/>
    <n v="1"/>
    <x v="0"/>
    <x v="1"/>
    <n v="2"/>
    <x v="0"/>
    <n v="9"/>
    <x v="3"/>
    <x v="1"/>
    <x v="4"/>
    <x v="18"/>
    <x v="3"/>
    <x v="4"/>
    <x v="3"/>
    <x v="1"/>
    <x v="1"/>
    <x v="3"/>
    <s v="No Preference"/>
    <n v="11"/>
  </r>
  <r>
    <x v="694"/>
    <x v="21"/>
    <x v="2"/>
    <x v="0"/>
    <x v="1"/>
    <x v="0"/>
    <x v="0"/>
    <s v="Yanshang"/>
    <x v="19"/>
    <n v="303.93"/>
    <x v="1"/>
    <x v="0"/>
    <x v="2"/>
    <x v="3"/>
    <x v="1"/>
    <n v="2"/>
    <n v="0"/>
    <x v="3"/>
    <x v="0"/>
    <n v="1"/>
    <x v="0"/>
    <n v="10"/>
    <x v="2"/>
    <x v="0"/>
    <x v="0"/>
    <x v="4"/>
    <x v="0"/>
    <x v="0"/>
    <x v="3"/>
    <x v="0"/>
    <x v="1"/>
    <x v="2"/>
    <s v="No Preference"/>
    <n v="2"/>
  </r>
  <r>
    <x v="695"/>
    <x v="25"/>
    <x v="2"/>
    <x v="0"/>
    <x v="1"/>
    <x v="3"/>
    <x v="2"/>
    <s v="Tanushimarumachi-toyoki"/>
    <x v="10"/>
    <n v="304.79000000000002"/>
    <x v="0"/>
    <x v="0"/>
    <x v="1"/>
    <x v="1"/>
    <x v="2"/>
    <n v="4"/>
    <n v="2"/>
    <x v="2"/>
    <x v="2"/>
    <n v="1"/>
    <x v="0"/>
    <n v="9"/>
    <x v="1"/>
    <x v="2"/>
    <x v="4"/>
    <x v="308"/>
    <x v="3"/>
    <x v="4"/>
    <x v="0"/>
    <x v="0"/>
    <x v="0"/>
    <x v="0"/>
    <s v="Standard"/>
    <n v="10"/>
  </r>
  <r>
    <x v="696"/>
    <x v="24"/>
    <x v="2"/>
    <x v="0"/>
    <x v="0"/>
    <x v="2"/>
    <x v="2"/>
    <s v="Barishāl"/>
    <x v="16"/>
    <n v="305.73"/>
    <x v="4"/>
    <x v="0"/>
    <x v="2"/>
    <x v="1"/>
    <x v="2"/>
    <n v="5"/>
    <n v="1"/>
    <x v="1"/>
    <x v="0"/>
    <n v="2"/>
    <x v="0"/>
    <n v="8"/>
    <x v="0"/>
    <x v="1"/>
    <x v="1"/>
    <x v="164"/>
    <x v="3"/>
    <x v="9"/>
    <x v="2"/>
    <x v="0"/>
    <x v="1"/>
    <x v="1"/>
    <s v="Express"/>
    <n v="14"/>
  </r>
  <r>
    <x v="697"/>
    <x v="20"/>
    <x v="2"/>
    <x v="1"/>
    <x v="0"/>
    <x v="1"/>
    <x v="2"/>
    <s v="Gaopeng"/>
    <x v="3"/>
    <n v="306.17"/>
    <x v="8"/>
    <x v="0"/>
    <x v="1"/>
    <x v="3"/>
    <x v="2"/>
    <n v="5"/>
    <n v="1"/>
    <x v="1"/>
    <x v="2"/>
    <n v="0"/>
    <x v="1"/>
    <n v="6"/>
    <x v="0"/>
    <x v="1"/>
    <x v="2"/>
    <x v="184"/>
    <x v="3"/>
    <x v="4"/>
    <x v="4"/>
    <x v="1"/>
    <x v="0"/>
    <x v="0"/>
    <s v="Express"/>
    <n v="8"/>
  </r>
  <r>
    <x v="698"/>
    <x v="20"/>
    <x v="2"/>
    <x v="5"/>
    <x v="0"/>
    <x v="3"/>
    <x v="0"/>
    <s v="Oke Ila"/>
    <x v="2"/>
    <n v="308.58"/>
    <x v="7"/>
    <x v="0"/>
    <x v="0"/>
    <x v="1"/>
    <x v="2"/>
    <n v="5"/>
    <n v="2"/>
    <x v="1"/>
    <x v="0"/>
    <n v="0"/>
    <x v="1"/>
    <n v="7"/>
    <x v="0"/>
    <x v="0"/>
    <x v="0"/>
    <x v="110"/>
    <x v="0"/>
    <x v="7"/>
    <x v="1"/>
    <x v="1"/>
    <x v="0"/>
    <x v="2"/>
    <s v="Express"/>
    <n v="12"/>
  </r>
  <r>
    <x v="699"/>
    <x v="25"/>
    <x v="2"/>
    <x v="1"/>
    <x v="0"/>
    <x v="1"/>
    <x v="1"/>
    <s v="Qal‘eh-ye Khvājeh"/>
    <x v="17"/>
    <n v="310.23"/>
    <x v="0"/>
    <x v="0"/>
    <x v="1"/>
    <x v="2"/>
    <x v="2"/>
    <n v="4"/>
    <n v="0"/>
    <x v="0"/>
    <x v="2"/>
    <n v="0"/>
    <x v="1"/>
    <n v="6"/>
    <x v="3"/>
    <x v="2"/>
    <x v="2"/>
    <x v="309"/>
    <x v="3"/>
    <x v="9"/>
    <x v="1"/>
    <x v="0"/>
    <x v="1"/>
    <x v="3"/>
    <s v="Express"/>
    <n v="3"/>
  </r>
  <r>
    <x v="700"/>
    <x v="19"/>
    <x v="2"/>
    <x v="1"/>
    <x v="0"/>
    <x v="3"/>
    <x v="2"/>
    <s v="Kliteh"/>
    <x v="8"/>
    <n v="311.89999999999998"/>
    <x v="8"/>
    <x v="0"/>
    <x v="1"/>
    <x v="1"/>
    <x v="2"/>
    <n v="4"/>
    <n v="2"/>
    <x v="2"/>
    <x v="1"/>
    <n v="0"/>
    <x v="1"/>
    <n v="6"/>
    <x v="1"/>
    <x v="0"/>
    <x v="3"/>
    <x v="310"/>
    <x v="3"/>
    <x v="9"/>
    <x v="4"/>
    <x v="1"/>
    <x v="0"/>
    <x v="1"/>
    <s v="No Preference"/>
    <n v="2"/>
  </r>
  <r>
    <x v="701"/>
    <x v="19"/>
    <x v="2"/>
    <x v="1"/>
    <x v="0"/>
    <x v="1"/>
    <x v="2"/>
    <s v="Buensuseso"/>
    <x v="5"/>
    <n v="312.93"/>
    <x v="5"/>
    <x v="0"/>
    <x v="1"/>
    <x v="1"/>
    <x v="1"/>
    <n v="2"/>
    <n v="1"/>
    <x v="3"/>
    <x v="1"/>
    <n v="0"/>
    <x v="1"/>
    <n v="7"/>
    <x v="3"/>
    <x v="0"/>
    <x v="2"/>
    <x v="22"/>
    <x v="1"/>
    <x v="1"/>
    <x v="0"/>
    <x v="0"/>
    <x v="0"/>
    <x v="0"/>
    <s v="No Preference"/>
    <n v="3"/>
  </r>
  <r>
    <x v="702"/>
    <x v="19"/>
    <x v="2"/>
    <x v="7"/>
    <x v="1"/>
    <x v="3"/>
    <x v="0"/>
    <s v="Tío Pujio"/>
    <x v="3"/>
    <n v="314.32"/>
    <x v="1"/>
    <x v="0"/>
    <x v="0"/>
    <x v="2"/>
    <x v="2"/>
    <n v="4"/>
    <n v="2"/>
    <x v="3"/>
    <x v="1"/>
    <n v="2"/>
    <x v="1"/>
    <n v="5"/>
    <x v="2"/>
    <x v="0"/>
    <x v="3"/>
    <x v="311"/>
    <x v="0"/>
    <x v="0"/>
    <x v="2"/>
    <x v="0"/>
    <x v="1"/>
    <x v="3"/>
    <s v="Standard"/>
    <n v="7"/>
  </r>
  <r>
    <x v="703"/>
    <x v="26"/>
    <x v="2"/>
    <x v="0"/>
    <x v="1"/>
    <x v="3"/>
    <x v="1"/>
    <s v="Regimin"/>
    <x v="0"/>
    <n v="318.83999999999997"/>
    <x v="1"/>
    <x v="0"/>
    <x v="0"/>
    <x v="2"/>
    <x v="1"/>
    <n v="1"/>
    <n v="2"/>
    <x v="2"/>
    <x v="1"/>
    <n v="0"/>
    <x v="2"/>
    <n v="4"/>
    <x v="1"/>
    <x v="1"/>
    <x v="4"/>
    <x v="195"/>
    <x v="0"/>
    <x v="5"/>
    <x v="2"/>
    <x v="1"/>
    <x v="0"/>
    <x v="0"/>
    <s v="Standard"/>
    <n v="10"/>
  </r>
  <r>
    <x v="704"/>
    <x v="26"/>
    <x v="2"/>
    <x v="0"/>
    <x v="1"/>
    <x v="0"/>
    <x v="0"/>
    <s v="Chamical"/>
    <x v="5"/>
    <n v="319.39"/>
    <x v="4"/>
    <x v="0"/>
    <x v="2"/>
    <x v="0"/>
    <x v="2"/>
    <n v="5"/>
    <n v="0"/>
    <x v="0"/>
    <x v="1"/>
    <n v="1"/>
    <x v="0"/>
    <n v="10"/>
    <x v="1"/>
    <x v="2"/>
    <x v="3"/>
    <x v="312"/>
    <x v="2"/>
    <x v="3"/>
    <x v="0"/>
    <x v="1"/>
    <x v="0"/>
    <x v="1"/>
    <s v="Standard"/>
    <n v="3"/>
  </r>
  <r>
    <x v="705"/>
    <x v="25"/>
    <x v="2"/>
    <x v="0"/>
    <x v="0"/>
    <x v="2"/>
    <x v="1"/>
    <s v="Aubergenville"/>
    <x v="20"/>
    <n v="319.66000000000003"/>
    <x v="4"/>
    <x v="0"/>
    <x v="2"/>
    <x v="0"/>
    <x v="1"/>
    <n v="2"/>
    <n v="1"/>
    <x v="3"/>
    <x v="0"/>
    <n v="1"/>
    <x v="0"/>
    <n v="10"/>
    <x v="3"/>
    <x v="2"/>
    <x v="0"/>
    <x v="147"/>
    <x v="3"/>
    <x v="11"/>
    <x v="0"/>
    <x v="1"/>
    <x v="1"/>
    <x v="0"/>
    <s v="Express"/>
    <n v="3"/>
  </r>
  <r>
    <x v="706"/>
    <x v="20"/>
    <x v="2"/>
    <x v="0"/>
    <x v="0"/>
    <x v="2"/>
    <x v="0"/>
    <s v="Chuquitira"/>
    <x v="7"/>
    <n v="321.26"/>
    <x v="0"/>
    <x v="0"/>
    <x v="0"/>
    <x v="0"/>
    <x v="1"/>
    <n v="1"/>
    <n v="0"/>
    <x v="0"/>
    <x v="1"/>
    <n v="0"/>
    <x v="1"/>
    <n v="6"/>
    <x v="3"/>
    <x v="2"/>
    <x v="0"/>
    <x v="268"/>
    <x v="1"/>
    <x v="2"/>
    <x v="6"/>
    <x v="1"/>
    <x v="1"/>
    <x v="2"/>
    <s v="Standard"/>
    <n v="14"/>
  </r>
  <r>
    <x v="707"/>
    <x v="26"/>
    <x v="2"/>
    <x v="0"/>
    <x v="0"/>
    <x v="1"/>
    <x v="1"/>
    <s v="Montecristi"/>
    <x v="17"/>
    <n v="322.39999999999998"/>
    <x v="4"/>
    <x v="0"/>
    <x v="2"/>
    <x v="0"/>
    <x v="1"/>
    <n v="2"/>
    <n v="1"/>
    <x v="1"/>
    <x v="1"/>
    <n v="2"/>
    <x v="2"/>
    <n v="3"/>
    <x v="0"/>
    <x v="1"/>
    <x v="1"/>
    <x v="273"/>
    <x v="1"/>
    <x v="1"/>
    <x v="3"/>
    <x v="0"/>
    <x v="0"/>
    <x v="2"/>
    <s v="Express"/>
    <n v="2"/>
  </r>
  <r>
    <x v="708"/>
    <x v="23"/>
    <x v="2"/>
    <x v="0"/>
    <x v="1"/>
    <x v="1"/>
    <x v="1"/>
    <s v="Bokong Timur"/>
    <x v="9"/>
    <n v="324.11"/>
    <x v="7"/>
    <x v="0"/>
    <x v="0"/>
    <x v="3"/>
    <x v="0"/>
    <n v="3"/>
    <n v="2"/>
    <x v="0"/>
    <x v="1"/>
    <n v="0"/>
    <x v="2"/>
    <n v="2"/>
    <x v="2"/>
    <x v="0"/>
    <x v="1"/>
    <x v="313"/>
    <x v="0"/>
    <x v="0"/>
    <x v="5"/>
    <x v="1"/>
    <x v="1"/>
    <x v="3"/>
    <s v="No Preference"/>
    <n v="7"/>
  </r>
  <r>
    <x v="709"/>
    <x v="19"/>
    <x v="2"/>
    <x v="0"/>
    <x v="0"/>
    <x v="2"/>
    <x v="2"/>
    <s v="Bugarama"/>
    <x v="15"/>
    <n v="324.22000000000003"/>
    <x v="5"/>
    <x v="0"/>
    <x v="1"/>
    <x v="0"/>
    <x v="1"/>
    <n v="2"/>
    <n v="0"/>
    <x v="0"/>
    <x v="2"/>
    <n v="1"/>
    <x v="1"/>
    <n v="6"/>
    <x v="0"/>
    <x v="2"/>
    <x v="2"/>
    <x v="129"/>
    <x v="0"/>
    <x v="5"/>
    <x v="6"/>
    <x v="1"/>
    <x v="1"/>
    <x v="0"/>
    <s v="Express"/>
    <n v="14"/>
  </r>
  <r>
    <x v="710"/>
    <x v="23"/>
    <x v="2"/>
    <x v="0"/>
    <x v="1"/>
    <x v="1"/>
    <x v="1"/>
    <s v="Puqian"/>
    <x v="14"/>
    <n v="328.21"/>
    <x v="4"/>
    <x v="0"/>
    <x v="2"/>
    <x v="4"/>
    <x v="2"/>
    <n v="5"/>
    <n v="2"/>
    <x v="2"/>
    <x v="0"/>
    <n v="2"/>
    <x v="2"/>
    <n v="2"/>
    <x v="2"/>
    <x v="0"/>
    <x v="3"/>
    <x v="139"/>
    <x v="3"/>
    <x v="11"/>
    <x v="3"/>
    <x v="1"/>
    <x v="1"/>
    <x v="2"/>
    <s v="No Preference"/>
    <n v="12"/>
  </r>
  <r>
    <x v="711"/>
    <x v="21"/>
    <x v="2"/>
    <x v="0"/>
    <x v="1"/>
    <x v="0"/>
    <x v="0"/>
    <s v="Vsevolozhsk"/>
    <x v="10"/>
    <n v="330.27"/>
    <x v="10"/>
    <x v="0"/>
    <x v="1"/>
    <x v="3"/>
    <x v="1"/>
    <n v="2"/>
    <n v="1"/>
    <x v="3"/>
    <x v="0"/>
    <n v="1"/>
    <x v="0"/>
    <n v="9"/>
    <x v="1"/>
    <x v="0"/>
    <x v="4"/>
    <x v="250"/>
    <x v="3"/>
    <x v="11"/>
    <x v="2"/>
    <x v="0"/>
    <x v="1"/>
    <x v="3"/>
    <s v="No Preference"/>
    <n v="9"/>
  </r>
  <r>
    <x v="712"/>
    <x v="24"/>
    <x v="2"/>
    <x v="0"/>
    <x v="1"/>
    <x v="3"/>
    <x v="1"/>
    <s v="Beiyuan"/>
    <x v="6"/>
    <n v="330.36"/>
    <x v="0"/>
    <x v="0"/>
    <x v="1"/>
    <x v="4"/>
    <x v="2"/>
    <n v="5"/>
    <n v="1"/>
    <x v="2"/>
    <x v="1"/>
    <n v="1"/>
    <x v="2"/>
    <n v="4"/>
    <x v="2"/>
    <x v="1"/>
    <x v="4"/>
    <x v="143"/>
    <x v="1"/>
    <x v="2"/>
    <x v="2"/>
    <x v="0"/>
    <x v="0"/>
    <x v="2"/>
    <s v="No Preference"/>
    <n v="3"/>
  </r>
  <r>
    <x v="713"/>
    <x v="26"/>
    <x v="2"/>
    <x v="0"/>
    <x v="0"/>
    <x v="1"/>
    <x v="0"/>
    <s v="Sakété"/>
    <x v="0"/>
    <n v="332.14"/>
    <x v="2"/>
    <x v="0"/>
    <x v="0"/>
    <x v="0"/>
    <x v="2"/>
    <n v="4"/>
    <n v="0"/>
    <x v="2"/>
    <x v="2"/>
    <n v="1"/>
    <x v="2"/>
    <n v="2"/>
    <x v="3"/>
    <x v="2"/>
    <x v="2"/>
    <x v="144"/>
    <x v="3"/>
    <x v="11"/>
    <x v="5"/>
    <x v="0"/>
    <x v="0"/>
    <x v="1"/>
    <s v="No Preference"/>
    <n v="13"/>
  </r>
  <r>
    <x v="714"/>
    <x v="24"/>
    <x v="2"/>
    <x v="1"/>
    <x v="1"/>
    <x v="3"/>
    <x v="1"/>
    <s v="Gueltat Zemmour"/>
    <x v="0"/>
    <n v="332.67"/>
    <x v="9"/>
    <x v="0"/>
    <x v="1"/>
    <x v="2"/>
    <x v="2"/>
    <n v="4"/>
    <n v="2"/>
    <x v="1"/>
    <x v="2"/>
    <n v="1"/>
    <x v="2"/>
    <n v="2"/>
    <x v="1"/>
    <x v="0"/>
    <x v="4"/>
    <x v="150"/>
    <x v="3"/>
    <x v="9"/>
    <x v="3"/>
    <x v="1"/>
    <x v="0"/>
    <x v="3"/>
    <s v="Express"/>
    <n v="4"/>
  </r>
  <r>
    <x v="715"/>
    <x v="24"/>
    <x v="2"/>
    <x v="0"/>
    <x v="0"/>
    <x v="3"/>
    <x v="0"/>
    <s v="Dalumangcob"/>
    <x v="15"/>
    <n v="333.18"/>
    <x v="1"/>
    <x v="0"/>
    <x v="1"/>
    <x v="2"/>
    <x v="1"/>
    <n v="1"/>
    <n v="0"/>
    <x v="1"/>
    <x v="1"/>
    <n v="2"/>
    <x v="1"/>
    <n v="5"/>
    <x v="2"/>
    <x v="0"/>
    <x v="4"/>
    <x v="314"/>
    <x v="0"/>
    <x v="5"/>
    <x v="1"/>
    <x v="0"/>
    <x v="1"/>
    <x v="1"/>
    <s v="Express"/>
    <n v="8"/>
  </r>
  <r>
    <x v="716"/>
    <x v="24"/>
    <x v="2"/>
    <x v="0"/>
    <x v="0"/>
    <x v="3"/>
    <x v="1"/>
    <s v="Skórzec"/>
    <x v="10"/>
    <n v="333.41"/>
    <x v="10"/>
    <x v="0"/>
    <x v="0"/>
    <x v="1"/>
    <x v="2"/>
    <n v="5"/>
    <n v="1"/>
    <x v="3"/>
    <x v="1"/>
    <n v="1"/>
    <x v="1"/>
    <n v="6"/>
    <x v="3"/>
    <x v="1"/>
    <x v="2"/>
    <x v="315"/>
    <x v="3"/>
    <x v="4"/>
    <x v="3"/>
    <x v="1"/>
    <x v="1"/>
    <x v="1"/>
    <s v="Standard"/>
    <n v="3"/>
  </r>
  <r>
    <x v="717"/>
    <x v="20"/>
    <x v="2"/>
    <x v="0"/>
    <x v="0"/>
    <x v="3"/>
    <x v="0"/>
    <s v="San Luis"/>
    <x v="2"/>
    <n v="333.63"/>
    <x v="9"/>
    <x v="0"/>
    <x v="2"/>
    <x v="0"/>
    <x v="2"/>
    <n v="5"/>
    <n v="2"/>
    <x v="0"/>
    <x v="1"/>
    <n v="2"/>
    <x v="2"/>
    <n v="2"/>
    <x v="1"/>
    <x v="0"/>
    <x v="4"/>
    <x v="19"/>
    <x v="3"/>
    <x v="9"/>
    <x v="6"/>
    <x v="1"/>
    <x v="1"/>
    <x v="2"/>
    <s v="Express"/>
    <n v="14"/>
  </r>
  <r>
    <x v="718"/>
    <x v="20"/>
    <x v="2"/>
    <x v="0"/>
    <x v="0"/>
    <x v="0"/>
    <x v="2"/>
    <s v="Hultsfred"/>
    <x v="13"/>
    <n v="334.67"/>
    <x v="0"/>
    <x v="0"/>
    <x v="1"/>
    <x v="1"/>
    <x v="1"/>
    <n v="1"/>
    <n v="2"/>
    <x v="0"/>
    <x v="2"/>
    <n v="2"/>
    <x v="1"/>
    <n v="5"/>
    <x v="3"/>
    <x v="1"/>
    <x v="0"/>
    <x v="94"/>
    <x v="2"/>
    <x v="3"/>
    <x v="4"/>
    <x v="0"/>
    <x v="1"/>
    <x v="2"/>
    <s v="Standard"/>
    <n v="13"/>
  </r>
  <r>
    <x v="719"/>
    <x v="24"/>
    <x v="2"/>
    <x v="1"/>
    <x v="0"/>
    <x v="2"/>
    <x v="2"/>
    <s v="Kolsko"/>
    <x v="5"/>
    <n v="335.32"/>
    <x v="1"/>
    <x v="0"/>
    <x v="2"/>
    <x v="3"/>
    <x v="0"/>
    <n v="3"/>
    <n v="1"/>
    <x v="0"/>
    <x v="0"/>
    <n v="0"/>
    <x v="2"/>
    <n v="1"/>
    <x v="2"/>
    <x v="2"/>
    <x v="4"/>
    <x v="5"/>
    <x v="1"/>
    <x v="1"/>
    <x v="4"/>
    <x v="0"/>
    <x v="1"/>
    <x v="1"/>
    <s v="No Preference"/>
    <n v="10"/>
  </r>
  <r>
    <x v="720"/>
    <x v="18"/>
    <x v="2"/>
    <x v="1"/>
    <x v="1"/>
    <x v="1"/>
    <x v="1"/>
    <s v="Dualing"/>
    <x v="0"/>
    <n v="339.63"/>
    <x v="5"/>
    <x v="0"/>
    <x v="1"/>
    <x v="3"/>
    <x v="0"/>
    <n v="3"/>
    <n v="2"/>
    <x v="1"/>
    <x v="1"/>
    <n v="2"/>
    <x v="2"/>
    <n v="1"/>
    <x v="2"/>
    <x v="1"/>
    <x v="2"/>
    <x v="121"/>
    <x v="1"/>
    <x v="1"/>
    <x v="4"/>
    <x v="0"/>
    <x v="1"/>
    <x v="3"/>
    <s v="No Preference"/>
    <n v="6"/>
  </r>
  <r>
    <x v="721"/>
    <x v="20"/>
    <x v="2"/>
    <x v="0"/>
    <x v="0"/>
    <x v="0"/>
    <x v="0"/>
    <s v="Tanjungbalai"/>
    <x v="10"/>
    <n v="341.24"/>
    <x v="6"/>
    <x v="0"/>
    <x v="2"/>
    <x v="4"/>
    <x v="2"/>
    <n v="5"/>
    <n v="2"/>
    <x v="2"/>
    <x v="2"/>
    <n v="1"/>
    <x v="2"/>
    <n v="3"/>
    <x v="3"/>
    <x v="1"/>
    <x v="3"/>
    <x v="94"/>
    <x v="2"/>
    <x v="3"/>
    <x v="4"/>
    <x v="0"/>
    <x v="1"/>
    <x v="2"/>
    <s v="Standard"/>
    <n v="4"/>
  </r>
  <r>
    <x v="722"/>
    <x v="18"/>
    <x v="2"/>
    <x v="0"/>
    <x v="0"/>
    <x v="1"/>
    <x v="0"/>
    <s v="Sollefteå"/>
    <x v="2"/>
    <n v="341.91"/>
    <x v="10"/>
    <x v="0"/>
    <x v="0"/>
    <x v="0"/>
    <x v="2"/>
    <n v="4"/>
    <n v="0"/>
    <x v="2"/>
    <x v="0"/>
    <n v="1"/>
    <x v="0"/>
    <n v="9"/>
    <x v="3"/>
    <x v="1"/>
    <x v="1"/>
    <x v="203"/>
    <x v="0"/>
    <x v="7"/>
    <x v="5"/>
    <x v="1"/>
    <x v="1"/>
    <x v="3"/>
    <s v="Express"/>
    <n v="7"/>
  </r>
  <r>
    <x v="723"/>
    <x v="22"/>
    <x v="2"/>
    <x v="0"/>
    <x v="0"/>
    <x v="1"/>
    <x v="2"/>
    <s v="Montreuil"/>
    <x v="10"/>
    <n v="342.39"/>
    <x v="9"/>
    <x v="0"/>
    <x v="1"/>
    <x v="2"/>
    <x v="2"/>
    <n v="5"/>
    <n v="2"/>
    <x v="2"/>
    <x v="1"/>
    <n v="2"/>
    <x v="2"/>
    <n v="3"/>
    <x v="1"/>
    <x v="2"/>
    <x v="4"/>
    <x v="248"/>
    <x v="3"/>
    <x v="4"/>
    <x v="6"/>
    <x v="1"/>
    <x v="1"/>
    <x v="2"/>
    <s v="Standard"/>
    <n v="9"/>
  </r>
  <r>
    <x v="724"/>
    <x v="26"/>
    <x v="2"/>
    <x v="1"/>
    <x v="0"/>
    <x v="1"/>
    <x v="1"/>
    <s v="Da’an"/>
    <x v="8"/>
    <n v="345.49"/>
    <x v="6"/>
    <x v="0"/>
    <x v="2"/>
    <x v="3"/>
    <x v="1"/>
    <n v="1"/>
    <n v="2"/>
    <x v="3"/>
    <x v="0"/>
    <n v="0"/>
    <x v="0"/>
    <n v="10"/>
    <x v="0"/>
    <x v="1"/>
    <x v="2"/>
    <x v="316"/>
    <x v="2"/>
    <x v="8"/>
    <x v="5"/>
    <x v="0"/>
    <x v="1"/>
    <x v="3"/>
    <s v="Express"/>
    <n v="3"/>
  </r>
  <r>
    <x v="725"/>
    <x v="23"/>
    <x v="2"/>
    <x v="1"/>
    <x v="1"/>
    <x v="1"/>
    <x v="1"/>
    <s v="Trélazé"/>
    <x v="12"/>
    <n v="346.36"/>
    <x v="0"/>
    <x v="0"/>
    <x v="2"/>
    <x v="0"/>
    <x v="2"/>
    <n v="5"/>
    <n v="0"/>
    <x v="1"/>
    <x v="2"/>
    <n v="0"/>
    <x v="1"/>
    <n v="7"/>
    <x v="0"/>
    <x v="0"/>
    <x v="3"/>
    <x v="276"/>
    <x v="2"/>
    <x v="8"/>
    <x v="3"/>
    <x v="1"/>
    <x v="1"/>
    <x v="2"/>
    <s v="Standard"/>
    <n v="14"/>
  </r>
  <r>
    <x v="726"/>
    <x v="23"/>
    <x v="2"/>
    <x v="0"/>
    <x v="0"/>
    <x v="0"/>
    <x v="1"/>
    <s v="Ziniaré"/>
    <x v="1"/>
    <n v="347.99"/>
    <x v="3"/>
    <x v="0"/>
    <x v="2"/>
    <x v="0"/>
    <x v="2"/>
    <n v="4"/>
    <n v="1"/>
    <x v="2"/>
    <x v="2"/>
    <n v="0"/>
    <x v="2"/>
    <n v="1"/>
    <x v="1"/>
    <x v="2"/>
    <x v="2"/>
    <x v="313"/>
    <x v="0"/>
    <x v="0"/>
    <x v="5"/>
    <x v="0"/>
    <x v="1"/>
    <x v="1"/>
    <s v="Standard"/>
    <n v="6"/>
  </r>
  <r>
    <x v="727"/>
    <x v="22"/>
    <x v="2"/>
    <x v="1"/>
    <x v="0"/>
    <x v="3"/>
    <x v="0"/>
    <s v="Jianshan"/>
    <x v="10"/>
    <n v="351.71"/>
    <x v="4"/>
    <x v="1"/>
    <x v="1"/>
    <x v="1"/>
    <x v="1"/>
    <n v="2"/>
    <n v="0"/>
    <x v="1"/>
    <x v="1"/>
    <n v="1"/>
    <x v="1"/>
    <n v="6"/>
    <x v="0"/>
    <x v="1"/>
    <x v="4"/>
    <x v="288"/>
    <x v="0"/>
    <x v="0"/>
    <x v="1"/>
    <x v="0"/>
    <x v="1"/>
    <x v="2"/>
    <s v="Standard"/>
    <n v="8"/>
  </r>
  <r>
    <x v="728"/>
    <x v="22"/>
    <x v="2"/>
    <x v="0"/>
    <x v="0"/>
    <x v="3"/>
    <x v="0"/>
    <s v="Don Carlos"/>
    <x v="13"/>
    <n v="352.35"/>
    <x v="8"/>
    <x v="0"/>
    <x v="0"/>
    <x v="1"/>
    <x v="1"/>
    <n v="2"/>
    <n v="0"/>
    <x v="2"/>
    <x v="1"/>
    <n v="1"/>
    <x v="2"/>
    <n v="1"/>
    <x v="2"/>
    <x v="0"/>
    <x v="3"/>
    <x v="291"/>
    <x v="1"/>
    <x v="2"/>
    <x v="6"/>
    <x v="1"/>
    <x v="1"/>
    <x v="1"/>
    <s v="Express"/>
    <n v="14"/>
  </r>
  <r>
    <x v="729"/>
    <x v="24"/>
    <x v="2"/>
    <x v="3"/>
    <x v="1"/>
    <x v="3"/>
    <x v="2"/>
    <s v="Dagup"/>
    <x v="8"/>
    <n v="354.16"/>
    <x v="9"/>
    <x v="1"/>
    <x v="1"/>
    <x v="2"/>
    <x v="1"/>
    <n v="1"/>
    <n v="1"/>
    <x v="2"/>
    <x v="0"/>
    <n v="2"/>
    <x v="2"/>
    <n v="3"/>
    <x v="2"/>
    <x v="2"/>
    <x v="3"/>
    <x v="268"/>
    <x v="1"/>
    <x v="2"/>
    <x v="6"/>
    <x v="0"/>
    <x v="1"/>
    <x v="1"/>
    <s v="Express"/>
    <n v="5"/>
  </r>
  <r>
    <x v="730"/>
    <x v="23"/>
    <x v="2"/>
    <x v="0"/>
    <x v="0"/>
    <x v="1"/>
    <x v="1"/>
    <s v="Karpogory"/>
    <x v="5"/>
    <n v="354.87"/>
    <x v="3"/>
    <x v="0"/>
    <x v="1"/>
    <x v="2"/>
    <x v="1"/>
    <n v="1"/>
    <n v="0"/>
    <x v="0"/>
    <x v="0"/>
    <n v="2"/>
    <x v="2"/>
    <n v="4"/>
    <x v="3"/>
    <x v="2"/>
    <x v="1"/>
    <x v="129"/>
    <x v="0"/>
    <x v="5"/>
    <x v="6"/>
    <x v="1"/>
    <x v="0"/>
    <x v="1"/>
    <s v="Express"/>
    <n v="12"/>
  </r>
  <r>
    <x v="731"/>
    <x v="18"/>
    <x v="2"/>
    <x v="0"/>
    <x v="0"/>
    <x v="0"/>
    <x v="2"/>
    <s v="Ropa"/>
    <x v="2"/>
    <n v="356.22"/>
    <x v="4"/>
    <x v="1"/>
    <x v="1"/>
    <x v="1"/>
    <x v="2"/>
    <n v="5"/>
    <n v="0"/>
    <x v="1"/>
    <x v="1"/>
    <n v="1"/>
    <x v="1"/>
    <n v="7"/>
    <x v="1"/>
    <x v="0"/>
    <x v="3"/>
    <x v="65"/>
    <x v="1"/>
    <x v="2"/>
    <x v="4"/>
    <x v="1"/>
    <x v="0"/>
    <x v="1"/>
    <s v="Express"/>
    <n v="6"/>
  </r>
  <r>
    <x v="732"/>
    <x v="23"/>
    <x v="2"/>
    <x v="0"/>
    <x v="0"/>
    <x v="3"/>
    <x v="0"/>
    <s v="Jindong"/>
    <x v="6"/>
    <n v="356.45"/>
    <x v="1"/>
    <x v="0"/>
    <x v="2"/>
    <x v="4"/>
    <x v="2"/>
    <n v="5"/>
    <n v="2"/>
    <x v="2"/>
    <x v="1"/>
    <n v="0"/>
    <x v="1"/>
    <n v="7"/>
    <x v="0"/>
    <x v="0"/>
    <x v="3"/>
    <x v="300"/>
    <x v="2"/>
    <x v="6"/>
    <x v="5"/>
    <x v="1"/>
    <x v="0"/>
    <x v="1"/>
    <s v="Standard"/>
    <n v="8"/>
  </r>
  <r>
    <x v="733"/>
    <x v="22"/>
    <x v="2"/>
    <x v="0"/>
    <x v="0"/>
    <x v="1"/>
    <x v="2"/>
    <s v="Kudanding"/>
    <x v="14"/>
    <n v="358.11"/>
    <x v="7"/>
    <x v="1"/>
    <x v="2"/>
    <x v="4"/>
    <x v="1"/>
    <n v="1"/>
    <n v="0"/>
    <x v="3"/>
    <x v="1"/>
    <n v="0"/>
    <x v="2"/>
    <n v="3"/>
    <x v="1"/>
    <x v="2"/>
    <x v="3"/>
    <x v="68"/>
    <x v="2"/>
    <x v="8"/>
    <x v="1"/>
    <x v="1"/>
    <x v="1"/>
    <x v="2"/>
    <s v="Standard"/>
    <n v="11"/>
  </r>
  <r>
    <x v="734"/>
    <x v="19"/>
    <x v="2"/>
    <x v="1"/>
    <x v="0"/>
    <x v="1"/>
    <x v="0"/>
    <s v="Miyazu"/>
    <x v="5"/>
    <n v="360.92"/>
    <x v="4"/>
    <x v="1"/>
    <x v="0"/>
    <x v="1"/>
    <x v="1"/>
    <n v="1"/>
    <n v="2"/>
    <x v="0"/>
    <x v="1"/>
    <n v="0"/>
    <x v="0"/>
    <n v="9"/>
    <x v="2"/>
    <x v="0"/>
    <x v="2"/>
    <x v="199"/>
    <x v="2"/>
    <x v="3"/>
    <x v="0"/>
    <x v="1"/>
    <x v="0"/>
    <x v="3"/>
    <s v="Standard"/>
    <n v="8"/>
  </r>
  <r>
    <x v="735"/>
    <x v="20"/>
    <x v="2"/>
    <x v="1"/>
    <x v="1"/>
    <x v="2"/>
    <x v="0"/>
    <s v="Mawu"/>
    <x v="4"/>
    <n v="361.27"/>
    <x v="8"/>
    <x v="0"/>
    <x v="0"/>
    <x v="3"/>
    <x v="0"/>
    <n v="3"/>
    <n v="1"/>
    <x v="0"/>
    <x v="0"/>
    <n v="0"/>
    <x v="1"/>
    <n v="5"/>
    <x v="1"/>
    <x v="1"/>
    <x v="3"/>
    <x v="153"/>
    <x v="2"/>
    <x v="8"/>
    <x v="0"/>
    <x v="0"/>
    <x v="1"/>
    <x v="2"/>
    <s v="Standard"/>
    <n v="2"/>
  </r>
  <r>
    <x v="736"/>
    <x v="24"/>
    <x v="2"/>
    <x v="0"/>
    <x v="0"/>
    <x v="3"/>
    <x v="2"/>
    <s v="Ku‘aydinah"/>
    <x v="8"/>
    <n v="361.4"/>
    <x v="5"/>
    <x v="0"/>
    <x v="1"/>
    <x v="1"/>
    <x v="2"/>
    <n v="5"/>
    <n v="1"/>
    <x v="1"/>
    <x v="2"/>
    <n v="0"/>
    <x v="1"/>
    <n v="5"/>
    <x v="0"/>
    <x v="2"/>
    <x v="3"/>
    <x v="186"/>
    <x v="3"/>
    <x v="9"/>
    <x v="2"/>
    <x v="1"/>
    <x v="0"/>
    <x v="3"/>
    <s v="No Preference"/>
    <n v="7"/>
  </r>
  <r>
    <x v="737"/>
    <x v="21"/>
    <x v="2"/>
    <x v="0"/>
    <x v="0"/>
    <x v="2"/>
    <x v="0"/>
    <s v="Bilice"/>
    <x v="2"/>
    <n v="362.01"/>
    <x v="5"/>
    <x v="0"/>
    <x v="1"/>
    <x v="1"/>
    <x v="2"/>
    <n v="4"/>
    <n v="1"/>
    <x v="0"/>
    <x v="2"/>
    <n v="2"/>
    <x v="2"/>
    <n v="1"/>
    <x v="0"/>
    <x v="1"/>
    <x v="0"/>
    <x v="89"/>
    <x v="2"/>
    <x v="3"/>
    <x v="0"/>
    <x v="1"/>
    <x v="1"/>
    <x v="3"/>
    <s v="Express"/>
    <n v="1"/>
  </r>
  <r>
    <x v="738"/>
    <x v="22"/>
    <x v="2"/>
    <x v="0"/>
    <x v="1"/>
    <x v="1"/>
    <x v="2"/>
    <s v="Estacion"/>
    <x v="6"/>
    <n v="365.38"/>
    <x v="7"/>
    <x v="1"/>
    <x v="0"/>
    <x v="2"/>
    <x v="2"/>
    <n v="4"/>
    <n v="0"/>
    <x v="3"/>
    <x v="2"/>
    <n v="0"/>
    <x v="0"/>
    <n v="9"/>
    <x v="0"/>
    <x v="2"/>
    <x v="1"/>
    <x v="244"/>
    <x v="1"/>
    <x v="1"/>
    <x v="6"/>
    <x v="1"/>
    <x v="1"/>
    <x v="0"/>
    <s v="Express"/>
    <n v="14"/>
  </r>
  <r>
    <x v="739"/>
    <x v="22"/>
    <x v="2"/>
    <x v="1"/>
    <x v="1"/>
    <x v="1"/>
    <x v="0"/>
    <s v="Karengan"/>
    <x v="16"/>
    <n v="368.91"/>
    <x v="2"/>
    <x v="1"/>
    <x v="1"/>
    <x v="2"/>
    <x v="0"/>
    <n v="3"/>
    <n v="2"/>
    <x v="3"/>
    <x v="0"/>
    <n v="2"/>
    <x v="0"/>
    <n v="10"/>
    <x v="1"/>
    <x v="2"/>
    <x v="0"/>
    <x v="255"/>
    <x v="0"/>
    <x v="0"/>
    <x v="6"/>
    <x v="1"/>
    <x v="1"/>
    <x v="2"/>
    <s v="No Preference"/>
    <n v="7"/>
  </r>
  <r>
    <x v="740"/>
    <x v="21"/>
    <x v="2"/>
    <x v="0"/>
    <x v="0"/>
    <x v="3"/>
    <x v="1"/>
    <s v="Talshand"/>
    <x v="7"/>
    <n v="370.05"/>
    <x v="7"/>
    <x v="1"/>
    <x v="2"/>
    <x v="4"/>
    <x v="0"/>
    <n v="3"/>
    <n v="0"/>
    <x v="1"/>
    <x v="1"/>
    <n v="1"/>
    <x v="0"/>
    <n v="10"/>
    <x v="1"/>
    <x v="0"/>
    <x v="1"/>
    <x v="97"/>
    <x v="2"/>
    <x v="6"/>
    <x v="3"/>
    <x v="0"/>
    <x v="0"/>
    <x v="3"/>
    <s v="No Preference"/>
    <n v="10"/>
  </r>
  <r>
    <x v="741"/>
    <x v="21"/>
    <x v="2"/>
    <x v="0"/>
    <x v="0"/>
    <x v="1"/>
    <x v="1"/>
    <s v="Huakoulongtan"/>
    <x v="19"/>
    <n v="370.17"/>
    <x v="5"/>
    <x v="0"/>
    <x v="2"/>
    <x v="4"/>
    <x v="2"/>
    <n v="4"/>
    <n v="2"/>
    <x v="1"/>
    <x v="0"/>
    <n v="1"/>
    <x v="0"/>
    <n v="9"/>
    <x v="2"/>
    <x v="1"/>
    <x v="1"/>
    <x v="96"/>
    <x v="2"/>
    <x v="3"/>
    <x v="2"/>
    <x v="1"/>
    <x v="0"/>
    <x v="2"/>
    <s v="Express"/>
    <n v="1"/>
  </r>
  <r>
    <x v="742"/>
    <x v="20"/>
    <x v="2"/>
    <x v="1"/>
    <x v="0"/>
    <x v="1"/>
    <x v="1"/>
    <s v="Tabonok"/>
    <x v="11"/>
    <n v="370.38"/>
    <x v="7"/>
    <x v="1"/>
    <x v="1"/>
    <x v="2"/>
    <x v="1"/>
    <n v="2"/>
    <n v="1"/>
    <x v="0"/>
    <x v="0"/>
    <n v="1"/>
    <x v="2"/>
    <n v="1"/>
    <x v="1"/>
    <x v="2"/>
    <x v="4"/>
    <x v="44"/>
    <x v="0"/>
    <x v="0"/>
    <x v="4"/>
    <x v="0"/>
    <x v="0"/>
    <x v="0"/>
    <s v="No Preference"/>
    <n v="9"/>
  </r>
  <r>
    <x v="743"/>
    <x v="18"/>
    <x v="2"/>
    <x v="0"/>
    <x v="1"/>
    <x v="0"/>
    <x v="0"/>
    <s v="Vitali"/>
    <x v="11"/>
    <n v="371.19"/>
    <x v="2"/>
    <x v="1"/>
    <x v="2"/>
    <x v="2"/>
    <x v="1"/>
    <n v="2"/>
    <n v="2"/>
    <x v="3"/>
    <x v="2"/>
    <n v="1"/>
    <x v="0"/>
    <n v="8"/>
    <x v="0"/>
    <x v="2"/>
    <x v="3"/>
    <x v="72"/>
    <x v="1"/>
    <x v="1"/>
    <x v="1"/>
    <x v="1"/>
    <x v="1"/>
    <x v="1"/>
    <s v="Express"/>
    <n v="1"/>
  </r>
  <r>
    <x v="744"/>
    <x v="21"/>
    <x v="2"/>
    <x v="0"/>
    <x v="0"/>
    <x v="2"/>
    <x v="0"/>
    <s v="Lugo"/>
    <x v="0"/>
    <n v="371.32"/>
    <x v="4"/>
    <x v="1"/>
    <x v="1"/>
    <x v="0"/>
    <x v="2"/>
    <n v="4"/>
    <n v="0.7"/>
    <x v="1"/>
    <x v="0"/>
    <n v="2"/>
    <x v="2"/>
    <n v="1"/>
    <x v="3"/>
    <x v="1"/>
    <x v="0"/>
    <x v="317"/>
    <x v="3"/>
    <x v="11"/>
    <x v="0"/>
    <x v="0"/>
    <x v="0"/>
    <x v="3"/>
    <s v="Standard"/>
    <n v="6"/>
  </r>
  <r>
    <x v="745"/>
    <x v="22"/>
    <x v="2"/>
    <x v="1"/>
    <x v="1"/>
    <x v="0"/>
    <x v="1"/>
    <s v="Strabychovo"/>
    <x v="19"/>
    <n v="371.58"/>
    <x v="5"/>
    <x v="0"/>
    <x v="2"/>
    <x v="1"/>
    <x v="1"/>
    <n v="1"/>
    <n v="2"/>
    <x v="3"/>
    <x v="0"/>
    <n v="0"/>
    <x v="0"/>
    <n v="10"/>
    <x v="3"/>
    <x v="0"/>
    <x v="1"/>
    <x v="162"/>
    <x v="2"/>
    <x v="8"/>
    <x v="5"/>
    <x v="0"/>
    <x v="0"/>
    <x v="0"/>
    <s v="No Preference"/>
    <n v="11"/>
  </r>
  <r>
    <x v="746"/>
    <x v="25"/>
    <x v="2"/>
    <x v="0"/>
    <x v="0"/>
    <x v="1"/>
    <x v="2"/>
    <s v="Stoczek Łukowski"/>
    <x v="18"/>
    <n v="373.01"/>
    <x v="3"/>
    <x v="0"/>
    <x v="1"/>
    <x v="4"/>
    <x v="2"/>
    <n v="5"/>
    <n v="1"/>
    <x v="2"/>
    <x v="2"/>
    <n v="1"/>
    <x v="2"/>
    <n v="4"/>
    <x v="0"/>
    <x v="0"/>
    <x v="2"/>
    <x v="306"/>
    <x v="1"/>
    <x v="10"/>
    <x v="2"/>
    <x v="1"/>
    <x v="0"/>
    <x v="3"/>
    <s v="Express"/>
    <n v="8"/>
  </r>
  <r>
    <x v="747"/>
    <x v="19"/>
    <x v="2"/>
    <x v="1"/>
    <x v="1"/>
    <x v="1"/>
    <x v="0"/>
    <s v="Sula"/>
    <x v="5"/>
    <n v="373.05"/>
    <x v="10"/>
    <x v="0"/>
    <x v="1"/>
    <x v="3"/>
    <x v="2"/>
    <n v="4"/>
    <n v="0.3"/>
    <x v="2"/>
    <x v="0"/>
    <n v="1"/>
    <x v="0"/>
    <n v="10"/>
    <x v="0"/>
    <x v="1"/>
    <x v="1"/>
    <x v="318"/>
    <x v="0"/>
    <x v="0"/>
    <x v="6"/>
    <x v="1"/>
    <x v="0"/>
    <x v="1"/>
    <s v="Standard"/>
    <n v="7"/>
  </r>
  <r>
    <x v="748"/>
    <x v="19"/>
    <x v="2"/>
    <x v="1"/>
    <x v="1"/>
    <x v="1"/>
    <x v="0"/>
    <s v="Jubaoshan"/>
    <x v="4"/>
    <n v="373.49"/>
    <x v="1"/>
    <x v="0"/>
    <x v="0"/>
    <x v="0"/>
    <x v="1"/>
    <n v="1"/>
    <n v="0"/>
    <x v="1"/>
    <x v="1"/>
    <n v="0"/>
    <x v="0"/>
    <n v="10"/>
    <x v="2"/>
    <x v="1"/>
    <x v="1"/>
    <x v="226"/>
    <x v="0"/>
    <x v="5"/>
    <x v="1"/>
    <x v="0"/>
    <x v="0"/>
    <x v="3"/>
    <s v="Standard"/>
    <n v="1"/>
  </r>
  <r>
    <x v="749"/>
    <x v="21"/>
    <x v="2"/>
    <x v="6"/>
    <x v="1"/>
    <x v="0"/>
    <x v="1"/>
    <s v="Gryfów Śląski"/>
    <x v="4"/>
    <n v="374.36"/>
    <x v="8"/>
    <x v="0"/>
    <x v="0"/>
    <x v="1"/>
    <x v="1"/>
    <n v="2"/>
    <n v="0"/>
    <x v="0"/>
    <x v="2"/>
    <n v="1"/>
    <x v="0"/>
    <n v="9"/>
    <x v="3"/>
    <x v="0"/>
    <x v="4"/>
    <x v="185"/>
    <x v="2"/>
    <x v="6"/>
    <x v="6"/>
    <x v="1"/>
    <x v="1"/>
    <x v="0"/>
    <s v="Standard"/>
    <n v="1"/>
  </r>
  <r>
    <x v="750"/>
    <x v="22"/>
    <x v="2"/>
    <x v="1"/>
    <x v="1"/>
    <x v="0"/>
    <x v="0"/>
    <s v="Dashkawka"/>
    <x v="9"/>
    <n v="379.2"/>
    <x v="4"/>
    <x v="1"/>
    <x v="0"/>
    <x v="4"/>
    <x v="1"/>
    <n v="1"/>
    <n v="0"/>
    <x v="1"/>
    <x v="1"/>
    <n v="2"/>
    <x v="2"/>
    <n v="2"/>
    <x v="1"/>
    <x v="0"/>
    <x v="0"/>
    <x v="204"/>
    <x v="0"/>
    <x v="7"/>
    <x v="1"/>
    <x v="0"/>
    <x v="0"/>
    <x v="2"/>
    <s v="No Preference"/>
    <n v="7"/>
  </r>
  <r>
    <x v="751"/>
    <x v="25"/>
    <x v="2"/>
    <x v="1"/>
    <x v="1"/>
    <x v="0"/>
    <x v="0"/>
    <s v="Tewulike"/>
    <x v="11"/>
    <n v="379.21"/>
    <x v="6"/>
    <x v="1"/>
    <x v="2"/>
    <x v="2"/>
    <x v="2"/>
    <n v="5"/>
    <n v="1"/>
    <x v="2"/>
    <x v="2"/>
    <n v="1"/>
    <x v="2"/>
    <n v="1"/>
    <x v="1"/>
    <x v="0"/>
    <x v="2"/>
    <x v="112"/>
    <x v="2"/>
    <x v="8"/>
    <x v="3"/>
    <x v="0"/>
    <x v="0"/>
    <x v="3"/>
    <s v="No Preference"/>
    <n v="1"/>
  </r>
  <r>
    <x v="752"/>
    <x v="22"/>
    <x v="2"/>
    <x v="1"/>
    <x v="0"/>
    <x v="2"/>
    <x v="2"/>
    <s v="Dakingari"/>
    <x v="14"/>
    <n v="383.33"/>
    <x v="1"/>
    <x v="0"/>
    <x v="0"/>
    <x v="3"/>
    <x v="2"/>
    <n v="4"/>
    <n v="2"/>
    <x v="1"/>
    <x v="1"/>
    <n v="1"/>
    <x v="2"/>
    <n v="3"/>
    <x v="3"/>
    <x v="0"/>
    <x v="3"/>
    <x v="165"/>
    <x v="1"/>
    <x v="1"/>
    <x v="4"/>
    <x v="1"/>
    <x v="1"/>
    <x v="1"/>
    <s v="Standard"/>
    <n v="12"/>
  </r>
  <r>
    <x v="753"/>
    <x v="26"/>
    <x v="2"/>
    <x v="0"/>
    <x v="1"/>
    <x v="1"/>
    <x v="2"/>
    <s v="Khilok"/>
    <x v="5"/>
    <n v="385.08"/>
    <x v="4"/>
    <x v="1"/>
    <x v="1"/>
    <x v="1"/>
    <x v="2"/>
    <n v="4"/>
    <n v="1"/>
    <x v="3"/>
    <x v="2"/>
    <n v="1"/>
    <x v="2"/>
    <n v="1"/>
    <x v="2"/>
    <x v="1"/>
    <x v="0"/>
    <x v="99"/>
    <x v="2"/>
    <x v="3"/>
    <x v="1"/>
    <x v="1"/>
    <x v="0"/>
    <x v="3"/>
    <s v="No Preference"/>
    <n v="1"/>
  </r>
  <r>
    <x v="754"/>
    <x v="23"/>
    <x v="2"/>
    <x v="1"/>
    <x v="0"/>
    <x v="3"/>
    <x v="0"/>
    <s v="Rukem"/>
    <x v="16"/>
    <n v="390.51"/>
    <x v="1"/>
    <x v="0"/>
    <x v="0"/>
    <x v="3"/>
    <x v="1"/>
    <n v="2"/>
    <n v="0"/>
    <x v="1"/>
    <x v="1"/>
    <n v="0"/>
    <x v="2"/>
    <n v="2"/>
    <x v="1"/>
    <x v="2"/>
    <x v="1"/>
    <x v="272"/>
    <x v="0"/>
    <x v="5"/>
    <x v="4"/>
    <x v="1"/>
    <x v="1"/>
    <x v="0"/>
    <s v="Express"/>
    <n v="6"/>
  </r>
  <r>
    <x v="755"/>
    <x v="20"/>
    <x v="2"/>
    <x v="1"/>
    <x v="0"/>
    <x v="1"/>
    <x v="0"/>
    <s v="Manchester"/>
    <x v="0"/>
    <n v="392.08"/>
    <x v="1"/>
    <x v="0"/>
    <x v="0"/>
    <x v="1"/>
    <x v="2"/>
    <n v="5"/>
    <n v="1"/>
    <x v="0"/>
    <x v="1"/>
    <n v="2"/>
    <x v="1"/>
    <n v="7"/>
    <x v="1"/>
    <x v="1"/>
    <x v="4"/>
    <x v="22"/>
    <x v="1"/>
    <x v="1"/>
    <x v="0"/>
    <x v="0"/>
    <x v="0"/>
    <x v="2"/>
    <s v="Express"/>
    <n v="6"/>
  </r>
  <r>
    <x v="756"/>
    <x v="24"/>
    <x v="2"/>
    <x v="1"/>
    <x v="0"/>
    <x v="3"/>
    <x v="2"/>
    <s v="Mondorf-les-Bains"/>
    <x v="5"/>
    <n v="393.45"/>
    <x v="0"/>
    <x v="1"/>
    <x v="1"/>
    <x v="3"/>
    <x v="1"/>
    <n v="1"/>
    <n v="0"/>
    <x v="2"/>
    <x v="2"/>
    <n v="2"/>
    <x v="0"/>
    <n v="10"/>
    <x v="0"/>
    <x v="2"/>
    <x v="3"/>
    <x v="243"/>
    <x v="2"/>
    <x v="6"/>
    <x v="0"/>
    <x v="1"/>
    <x v="1"/>
    <x v="2"/>
    <s v="Express"/>
    <n v="12"/>
  </r>
  <r>
    <x v="757"/>
    <x v="18"/>
    <x v="2"/>
    <x v="0"/>
    <x v="0"/>
    <x v="2"/>
    <x v="1"/>
    <s v="Paisha"/>
    <x v="0"/>
    <n v="396.82"/>
    <x v="4"/>
    <x v="1"/>
    <x v="2"/>
    <x v="3"/>
    <x v="2"/>
    <n v="4"/>
    <n v="1"/>
    <x v="0"/>
    <x v="2"/>
    <n v="1"/>
    <x v="0"/>
    <n v="9"/>
    <x v="1"/>
    <x v="2"/>
    <x v="3"/>
    <x v="319"/>
    <x v="1"/>
    <x v="1"/>
    <x v="1"/>
    <x v="0"/>
    <x v="0"/>
    <x v="2"/>
    <s v="No Preference"/>
    <n v="9"/>
  </r>
  <r>
    <x v="758"/>
    <x v="22"/>
    <x v="2"/>
    <x v="1"/>
    <x v="0"/>
    <x v="1"/>
    <x v="0"/>
    <s v="Ḩawallī"/>
    <x v="11"/>
    <n v="398.97"/>
    <x v="10"/>
    <x v="0"/>
    <x v="0"/>
    <x v="1"/>
    <x v="0"/>
    <n v="3"/>
    <n v="1"/>
    <x v="3"/>
    <x v="0"/>
    <n v="2"/>
    <x v="2"/>
    <n v="3"/>
    <x v="1"/>
    <x v="1"/>
    <x v="0"/>
    <x v="258"/>
    <x v="2"/>
    <x v="8"/>
    <x v="6"/>
    <x v="1"/>
    <x v="1"/>
    <x v="3"/>
    <s v="No Preference"/>
    <n v="9"/>
  </r>
  <r>
    <x v="759"/>
    <x v="20"/>
    <x v="2"/>
    <x v="0"/>
    <x v="1"/>
    <x v="1"/>
    <x v="1"/>
    <s v="Yenakiyeve"/>
    <x v="9"/>
    <n v="399.56"/>
    <x v="2"/>
    <x v="1"/>
    <x v="0"/>
    <x v="0"/>
    <x v="1"/>
    <n v="2"/>
    <n v="1"/>
    <x v="2"/>
    <x v="0"/>
    <n v="0"/>
    <x v="2"/>
    <n v="4"/>
    <x v="0"/>
    <x v="2"/>
    <x v="1"/>
    <x v="95"/>
    <x v="2"/>
    <x v="6"/>
    <x v="4"/>
    <x v="0"/>
    <x v="0"/>
    <x v="2"/>
    <s v="No Preference"/>
    <n v="1"/>
  </r>
  <r>
    <x v="760"/>
    <x v="23"/>
    <x v="2"/>
    <x v="1"/>
    <x v="0"/>
    <x v="1"/>
    <x v="1"/>
    <s v="Vitoria-Gasteiz"/>
    <x v="12"/>
    <n v="399.95"/>
    <x v="2"/>
    <x v="1"/>
    <x v="1"/>
    <x v="1"/>
    <x v="1"/>
    <n v="1"/>
    <n v="0"/>
    <x v="2"/>
    <x v="0"/>
    <n v="1"/>
    <x v="2"/>
    <n v="2"/>
    <x v="1"/>
    <x v="0"/>
    <x v="1"/>
    <x v="320"/>
    <x v="0"/>
    <x v="0"/>
    <x v="6"/>
    <x v="0"/>
    <x v="1"/>
    <x v="2"/>
    <s v="Express"/>
    <n v="10"/>
  </r>
  <r>
    <x v="761"/>
    <x v="19"/>
    <x v="2"/>
    <x v="1"/>
    <x v="0"/>
    <x v="2"/>
    <x v="2"/>
    <s v="Cigedang"/>
    <x v="9"/>
    <n v="403.57"/>
    <x v="1"/>
    <x v="0"/>
    <x v="0"/>
    <x v="1"/>
    <x v="1"/>
    <n v="2"/>
    <n v="2"/>
    <x v="3"/>
    <x v="0"/>
    <n v="2"/>
    <x v="2"/>
    <n v="2"/>
    <x v="3"/>
    <x v="0"/>
    <x v="4"/>
    <x v="135"/>
    <x v="2"/>
    <x v="3"/>
    <x v="6"/>
    <x v="1"/>
    <x v="1"/>
    <x v="3"/>
    <s v="Express"/>
    <n v="1"/>
  </r>
  <r>
    <x v="762"/>
    <x v="19"/>
    <x v="2"/>
    <x v="1"/>
    <x v="0"/>
    <x v="0"/>
    <x v="0"/>
    <s v="Mineiros"/>
    <x v="5"/>
    <n v="405.7"/>
    <x v="0"/>
    <x v="1"/>
    <x v="0"/>
    <x v="2"/>
    <x v="0"/>
    <n v="3"/>
    <n v="1"/>
    <x v="2"/>
    <x v="1"/>
    <n v="2"/>
    <x v="0"/>
    <n v="10"/>
    <x v="2"/>
    <x v="1"/>
    <x v="3"/>
    <x v="256"/>
    <x v="3"/>
    <x v="11"/>
    <x v="2"/>
    <x v="0"/>
    <x v="0"/>
    <x v="0"/>
    <s v="Standard"/>
    <n v="14"/>
  </r>
  <r>
    <x v="763"/>
    <x v="21"/>
    <x v="2"/>
    <x v="0"/>
    <x v="1"/>
    <x v="3"/>
    <x v="1"/>
    <s v="Sävedalen"/>
    <x v="18"/>
    <n v="407.88"/>
    <x v="8"/>
    <x v="0"/>
    <x v="1"/>
    <x v="2"/>
    <x v="0"/>
    <n v="3"/>
    <n v="1"/>
    <x v="0"/>
    <x v="1"/>
    <n v="1"/>
    <x v="0"/>
    <n v="10"/>
    <x v="0"/>
    <x v="1"/>
    <x v="1"/>
    <x v="151"/>
    <x v="2"/>
    <x v="3"/>
    <x v="4"/>
    <x v="1"/>
    <x v="1"/>
    <x v="1"/>
    <s v="Standard"/>
    <n v="14"/>
  </r>
  <r>
    <x v="764"/>
    <x v="20"/>
    <x v="2"/>
    <x v="0"/>
    <x v="0"/>
    <x v="2"/>
    <x v="1"/>
    <s v="Dashuipo"/>
    <x v="3"/>
    <n v="407.91"/>
    <x v="4"/>
    <x v="1"/>
    <x v="1"/>
    <x v="1"/>
    <x v="2"/>
    <n v="5"/>
    <n v="0"/>
    <x v="2"/>
    <x v="0"/>
    <n v="0"/>
    <x v="1"/>
    <n v="5"/>
    <x v="2"/>
    <x v="1"/>
    <x v="4"/>
    <x v="132"/>
    <x v="1"/>
    <x v="2"/>
    <x v="4"/>
    <x v="0"/>
    <x v="0"/>
    <x v="2"/>
    <s v="Standard"/>
    <n v="14"/>
  </r>
  <r>
    <x v="765"/>
    <x v="23"/>
    <x v="2"/>
    <x v="0"/>
    <x v="1"/>
    <x v="1"/>
    <x v="0"/>
    <s v="Đạ Tẻh"/>
    <x v="13"/>
    <n v="408.51"/>
    <x v="6"/>
    <x v="1"/>
    <x v="0"/>
    <x v="1"/>
    <x v="1"/>
    <n v="1"/>
    <n v="2"/>
    <x v="3"/>
    <x v="1"/>
    <n v="0"/>
    <x v="1"/>
    <n v="7"/>
    <x v="0"/>
    <x v="0"/>
    <x v="3"/>
    <x v="55"/>
    <x v="0"/>
    <x v="7"/>
    <x v="0"/>
    <x v="0"/>
    <x v="1"/>
    <x v="0"/>
    <s v="Express"/>
    <n v="1"/>
  </r>
  <r>
    <x v="766"/>
    <x v="24"/>
    <x v="2"/>
    <x v="0"/>
    <x v="1"/>
    <x v="0"/>
    <x v="1"/>
    <s v="Kara Suu"/>
    <x v="8"/>
    <n v="410.29"/>
    <x v="2"/>
    <x v="1"/>
    <x v="0"/>
    <x v="1"/>
    <x v="2"/>
    <n v="4"/>
    <n v="1"/>
    <x v="2"/>
    <x v="0"/>
    <n v="2"/>
    <x v="2"/>
    <n v="4"/>
    <x v="1"/>
    <x v="0"/>
    <x v="3"/>
    <x v="172"/>
    <x v="2"/>
    <x v="8"/>
    <x v="4"/>
    <x v="0"/>
    <x v="1"/>
    <x v="1"/>
    <s v="Express"/>
    <n v="1"/>
  </r>
  <r>
    <x v="767"/>
    <x v="23"/>
    <x v="2"/>
    <x v="3"/>
    <x v="0"/>
    <x v="0"/>
    <x v="0"/>
    <s v="Sanxing"/>
    <x v="7"/>
    <n v="411.4"/>
    <x v="10"/>
    <x v="0"/>
    <x v="1"/>
    <x v="2"/>
    <x v="0"/>
    <n v="3"/>
    <n v="0"/>
    <x v="3"/>
    <x v="2"/>
    <n v="2"/>
    <x v="0"/>
    <n v="9"/>
    <x v="3"/>
    <x v="0"/>
    <x v="2"/>
    <x v="5"/>
    <x v="1"/>
    <x v="1"/>
    <x v="4"/>
    <x v="0"/>
    <x v="1"/>
    <x v="3"/>
    <s v="Standard"/>
    <n v="6"/>
  </r>
  <r>
    <x v="768"/>
    <x v="24"/>
    <x v="2"/>
    <x v="0"/>
    <x v="0"/>
    <x v="3"/>
    <x v="0"/>
    <s v="Chenguang"/>
    <x v="18"/>
    <n v="411.81"/>
    <x v="8"/>
    <x v="0"/>
    <x v="2"/>
    <x v="2"/>
    <x v="0"/>
    <n v="3"/>
    <n v="1"/>
    <x v="3"/>
    <x v="2"/>
    <n v="1"/>
    <x v="2"/>
    <n v="1"/>
    <x v="1"/>
    <x v="0"/>
    <x v="1"/>
    <x v="76"/>
    <x v="0"/>
    <x v="5"/>
    <x v="4"/>
    <x v="0"/>
    <x v="0"/>
    <x v="1"/>
    <s v="Standard"/>
    <n v="1"/>
  </r>
  <r>
    <x v="769"/>
    <x v="26"/>
    <x v="2"/>
    <x v="0"/>
    <x v="0"/>
    <x v="2"/>
    <x v="2"/>
    <s v="Xibër-Murrizë"/>
    <x v="12"/>
    <n v="414.8"/>
    <x v="6"/>
    <x v="1"/>
    <x v="2"/>
    <x v="1"/>
    <x v="0"/>
    <n v="3"/>
    <n v="2"/>
    <x v="2"/>
    <x v="1"/>
    <n v="2"/>
    <x v="0"/>
    <n v="9"/>
    <x v="3"/>
    <x v="2"/>
    <x v="2"/>
    <x v="218"/>
    <x v="3"/>
    <x v="4"/>
    <x v="1"/>
    <x v="1"/>
    <x v="0"/>
    <x v="1"/>
    <s v="No Preference"/>
    <n v="7"/>
  </r>
  <r>
    <x v="770"/>
    <x v="24"/>
    <x v="2"/>
    <x v="0"/>
    <x v="1"/>
    <x v="2"/>
    <x v="0"/>
    <s v="Pader Palwo"/>
    <x v="1"/>
    <n v="419.13"/>
    <x v="8"/>
    <x v="0"/>
    <x v="2"/>
    <x v="3"/>
    <x v="2"/>
    <n v="5"/>
    <n v="1"/>
    <x v="0"/>
    <x v="0"/>
    <n v="0"/>
    <x v="2"/>
    <n v="1"/>
    <x v="3"/>
    <x v="0"/>
    <x v="1"/>
    <x v="149"/>
    <x v="1"/>
    <x v="1"/>
    <x v="2"/>
    <x v="1"/>
    <x v="0"/>
    <x v="0"/>
    <s v="Express"/>
    <n v="6"/>
  </r>
  <r>
    <x v="771"/>
    <x v="20"/>
    <x v="2"/>
    <x v="0"/>
    <x v="0"/>
    <x v="0"/>
    <x v="2"/>
    <s v="Esmeralda"/>
    <x v="2"/>
    <n v="422.09"/>
    <x v="10"/>
    <x v="0"/>
    <x v="1"/>
    <x v="0"/>
    <x v="1"/>
    <n v="1"/>
    <n v="1"/>
    <x v="3"/>
    <x v="0"/>
    <n v="0"/>
    <x v="0"/>
    <n v="9"/>
    <x v="0"/>
    <x v="1"/>
    <x v="2"/>
    <x v="42"/>
    <x v="0"/>
    <x v="0"/>
    <x v="0"/>
    <x v="0"/>
    <x v="1"/>
    <x v="2"/>
    <s v="Standard"/>
    <n v="7"/>
  </r>
  <r>
    <x v="772"/>
    <x v="19"/>
    <x v="2"/>
    <x v="1"/>
    <x v="1"/>
    <x v="1"/>
    <x v="2"/>
    <s v="Łeba"/>
    <x v="1"/>
    <n v="422.31"/>
    <x v="5"/>
    <x v="0"/>
    <x v="1"/>
    <x v="3"/>
    <x v="2"/>
    <n v="4"/>
    <n v="1"/>
    <x v="1"/>
    <x v="1"/>
    <n v="0"/>
    <x v="1"/>
    <n v="6"/>
    <x v="3"/>
    <x v="0"/>
    <x v="4"/>
    <x v="56"/>
    <x v="1"/>
    <x v="1"/>
    <x v="5"/>
    <x v="0"/>
    <x v="0"/>
    <x v="3"/>
    <s v="No Preference"/>
    <n v="3"/>
  </r>
  <r>
    <x v="773"/>
    <x v="26"/>
    <x v="2"/>
    <x v="0"/>
    <x v="1"/>
    <x v="2"/>
    <x v="1"/>
    <s v="Zgornje Pirniče"/>
    <x v="2"/>
    <n v="424.27"/>
    <x v="1"/>
    <x v="0"/>
    <x v="0"/>
    <x v="2"/>
    <x v="2"/>
    <n v="4"/>
    <n v="2"/>
    <x v="0"/>
    <x v="0"/>
    <n v="2"/>
    <x v="0"/>
    <n v="8"/>
    <x v="2"/>
    <x v="1"/>
    <x v="1"/>
    <x v="153"/>
    <x v="2"/>
    <x v="8"/>
    <x v="0"/>
    <x v="0"/>
    <x v="0"/>
    <x v="1"/>
    <s v="Standard"/>
    <n v="12"/>
  </r>
  <r>
    <x v="774"/>
    <x v="23"/>
    <x v="2"/>
    <x v="1"/>
    <x v="1"/>
    <x v="2"/>
    <x v="0"/>
    <s v="Luxi"/>
    <x v="7"/>
    <n v="424.39"/>
    <x v="6"/>
    <x v="1"/>
    <x v="2"/>
    <x v="3"/>
    <x v="1"/>
    <n v="1"/>
    <n v="1"/>
    <x v="3"/>
    <x v="2"/>
    <n v="0"/>
    <x v="1"/>
    <n v="7"/>
    <x v="2"/>
    <x v="0"/>
    <x v="3"/>
    <x v="321"/>
    <x v="3"/>
    <x v="11"/>
    <x v="4"/>
    <x v="0"/>
    <x v="1"/>
    <x v="0"/>
    <s v="No Preference"/>
    <n v="13"/>
  </r>
  <r>
    <x v="775"/>
    <x v="24"/>
    <x v="2"/>
    <x v="1"/>
    <x v="0"/>
    <x v="0"/>
    <x v="2"/>
    <s v="Liuzhou"/>
    <x v="5"/>
    <n v="425.69"/>
    <x v="3"/>
    <x v="0"/>
    <x v="1"/>
    <x v="1"/>
    <x v="2"/>
    <n v="5"/>
    <n v="0"/>
    <x v="3"/>
    <x v="1"/>
    <n v="0"/>
    <x v="2"/>
    <n v="4"/>
    <x v="0"/>
    <x v="1"/>
    <x v="3"/>
    <x v="17"/>
    <x v="1"/>
    <x v="2"/>
    <x v="5"/>
    <x v="1"/>
    <x v="0"/>
    <x v="3"/>
    <s v="No Preference"/>
    <n v="4"/>
  </r>
  <r>
    <x v="776"/>
    <x v="20"/>
    <x v="2"/>
    <x v="1"/>
    <x v="1"/>
    <x v="0"/>
    <x v="0"/>
    <s v="Sabugo"/>
    <x v="9"/>
    <n v="426.87"/>
    <x v="5"/>
    <x v="0"/>
    <x v="1"/>
    <x v="0"/>
    <x v="1"/>
    <n v="2"/>
    <n v="2"/>
    <x v="0"/>
    <x v="0"/>
    <n v="0"/>
    <x v="2"/>
    <n v="4"/>
    <x v="0"/>
    <x v="0"/>
    <x v="0"/>
    <x v="318"/>
    <x v="0"/>
    <x v="0"/>
    <x v="6"/>
    <x v="1"/>
    <x v="1"/>
    <x v="0"/>
    <s v="No Preference"/>
    <n v="3"/>
  </r>
  <r>
    <x v="777"/>
    <x v="26"/>
    <x v="2"/>
    <x v="1"/>
    <x v="0"/>
    <x v="2"/>
    <x v="1"/>
    <s v="Aguilares"/>
    <x v="5"/>
    <n v="426.89"/>
    <x v="5"/>
    <x v="0"/>
    <x v="2"/>
    <x v="4"/>
    <x v="1"/>
    <n v="1"/>
    <n v="1"/>
    <x v="3"/>
    <x v="0"/>
    <n v="1"/>
    <x v="2"/>
    <n v="3"/>
    <x v="2"/>
    <x v="0"/>
    <x v="2"/>
    <x v="322"/>
    <x v="2"/>
    <x v="3"/>
    <x v="2"/>
    <x v="0"/>
    <x v="1"/>
    <x v="0"/>
    <s v="Express"/>
    <n v="10"/>
  </r>
  <r>
    <x v="778"/>
    <x v="26"/>
    <x v="2"/>
    <x v="1"/>
    <x v="0"/>
    <x v="1"/>
    <x v="0"/>
    <s v="Qingyun"/>
    <x v="12"/>
    <n v="427.82"/>
    <x v="6"/>
    <x v="1"/>
    <x v="1"/>
    <x v="4"/>
    <x v="2"/>
    <n v="5"/>
    <n v="0"/>
    <x v="1"/>
    <x v="2"/>
    <n v="1"/>
    <x v="2"/>
    <n v="2"/>
    <x v="0"/>
    <x v="2"/>
    <x v="2"/>
    <x v="220"/>
    <x v="0"/>
    <x v="5"/>
    <x v="6"/>
    <x v="0"/>
    <x v="1"/>
    <x v="0"/>
    <s v="No Preference"/>
    <n v="14"/>
  </r>
  <r>
    <x v="779"/>
    <x v="24"/>
    <x v="2"/>
    <x v="4"/>
    <x v="0"/>
    <x v="0"/>
    <x v="2"/>
    <s v="Inderka"/>
    <x v="11"/>
    <n v="427.94"/>
    <x v="0"/>
    <x v="1"/>
    <x v="2"/>
    <x v="4"/>
    <x v="2"/>
    <n v="4"/>
    <n v="1.3"/>
    <x v="3"/>
    <x v="0"/>
    <n v="1"/>
    <x v="2"/>
    <n v="2"/>
    <x v="3"/>
    <x v="0"/>
    <x v="4"/>
    <x v="323"/>
    <x v="0"/>
    <x v="0"/>
    <x v="5"/>
    <x v="1"/>
    <x v="1"/>
    <x v="3"/>
    <s v="No Preference"/>
    <n v="10"/>
  </r>
  <r>
    <x v="780"/>
    <x v="26"/>
    <x v="2"/>
    <x v="0"/>
    <x v="0"/>
    <x v="0"/>
    <x v="0"/>
    <s v="Hägersten"/>
    <x v="4"/>
    <n v="436.57"/>
    <x v="8"/>
    <x v="0"/>
    <x v="2"/>
    <x v="4"/>
    <x v="0"/>
    <n v="3"/>
    <n v="1"/>
    <x v="3"/>
    <x v="0"/>
    <n v="2"/>
    <x v="0"/>
    <n v="10"/>
    <x v="2"/>
    <x v="2"/>
    <x v="0"/>
    <x v="324"/>
    <x v="3"/>
    <x v="11"/>
    <x v="5"/>
    <x v="1"/>
    <x v="1"/>
    <x v="0"/>
    <s v="Standard"/>
    <n v="3"/>
  </r>
  <r>
    <x v="781"/>
    <x v="25"/>
    <x v="2"/>
    <x v="0"/>
    <x v="0"/>
    <x v="2"/>
    <x v="1"/>
    <s v="Dom Pedrito"/>
    <x v="4"/>
    <n v="438.26"/>
    <x v="2"/>
    <x v="1"/>
    <x v="1"/>
    <x v="3"/>
    <x v="2"/>
    <n v="4"/>
    <n v="1"/>
    <x v="0"/>
    <x v="2"/>
    <n v="1"/>
    <x v="2"/>
    <n v="3"/>
    <x v="0"/>
    <x v="0"/>
    <x v="0"/>
    <x v="325"/>
    <x v="1"/>
    <x v="10"/>
    <x v="6"/>
    <x v="0"/>
    <x v="1"/>
    <x v="1"/>
    <s v="Express"/>
    <n v="10"/>
  </r>
  <r>
    <x v="782"/>
    <x v="23"/>
    <x v="2"/>
    <x v="0"/>
    <x v="1"/>
    <x v="3"/>
    <x v="2"/>
    <s v="Adela"/>
    <x v="2"/>
    <n v="439.24"/>
    <x v="9"/>
    <x v="1"/>
    <x v="2"/>
    <x v="3"/>
    <x v="0"/>
    <n v="3"/>
    <n v="1"/>
    <x v="3"/>
    <x v="2"/>
    <n v="2"/>
    <x v="0"/>
    <n v="9"/>
    <x v="0"/>
    <x v="1"/>
    <x v="4"/>
    <x v="251"/>
    <x v="1"/>
    <x v="10"/>
    <x v="5"/>
    <x v="1"/>
    <x v="1"/>
    <x v="0"/>
    <s v="Standard"/>
    <n v="10"/>
  </r>
  <r>
    <x v="783"/>
    <x v="26"/>
    <x v="2"/>
    <x v="0"/>
    <x v="0"/>
    <x v="2"/>
    <x v="0"/>
    <s v="Krajan Kidul Rojopolo"/>
    <x v="0"/>
    <n v="439.91"/>
    <x v="3"/>
    <x v="0"/>
    <x v="0"/>
    <x v="2"/>
    <x v="2"/>
    <n v="4"/>
    <n v="2"/>
    <x v="2"/>
    <x v="2"/>
    <n v="0"/>
    <x v="0"/>
    <n v="9"/>
    <x v="0"/>
    <x v="0"/>
    <x v="4"/>
    <x v="237"/>
    <x v="0"/>
    <x v="0"/>
    <x v="0"/>
    <x v="1"/>
    <x v="1"/>
    <x v="2"/>
    <s v="Express"/>
    <n v="10"/>
  </r>
  <r>
    <x v="784"/>
    <x v="18"/>
    <x v="2"/>
    <x v="1"/>
    <x v="0"/>
    <x v="2"/>
    <x v="2"/>
    <s v="Visaginas"/>
    <x v="12"/>
    <n v="441.15"/>
    <x v="4"/>
    <x v="1"/>
    <x v="0"/>
    <x v="3"/>
    <x v="1"/>
    <n v="1"/>
    <n v="1"/>
    <x v="2"/>
    <x v="2"/>
    <n v="1"/>
    <x v="2"/>
    <n v="1"/>
    <x v="3"/>
    <x v="0"/>
    <x v="0"/>
    <x v="14"/>
    <x v="1"/>
    <x v="1"/>
    <x v="2"/>
    <x v="1"/>
    <x v="1"/>
    <x v="2"/>
    <s v="No Preference"/>
    <n v="8"/>
  </r>
  <r>
    <x v="785"/>
    <x v="24"/>
    <x v="2"/>
    <x v="1"/>
    <x v="0"/>
    <x v="0"/>
    <x v="0"/>
    <s v="Muaralabuh"/>
    <x v="1"/>
    <n v="442.15"/>
    <x v="2"/>
    <x v="1"/>
    <x v="2"/>
    <x v="1"/>
    <x v="0"/>
    <n v="3"/>
    <n v="1"/>
    <x v="3"/>
    <x v="0"/>
    <n v="2"/>
    <x v="2"/>
    <n v="1"/>
    <x v="3"/>
    <x v="0"/>
    <x v="3"/>
    <x v="131"/>
    <x v="3"/>
    <x v="9"/>
    <x v="3"/>
    <x v="1"/>
    <x v="0"/>
    <x v="2"/>
    <s v="No Preference"/>
    <n v="9"/>
  </r>
  <r>
    <x v="786"/>
    <x v="23"/>
    <x v="2"/>
    <x v="6"/>
    <x v="0"/>
    <x v="2"/>
    <x v="0"/>
    <s v="Shazi"/>
    <x v="10"/>
    <n v="442.18"/>
    <x v="3"/>
    <x v="0"/>
    <x v="1"/>
    <x v="0"/>
    <x v="0"/>
    <n v="3"/>
    <n v="1"/>
    <x v="0"/>
    <x v="1"/>
    <n v="2"/>
    <x v="0"/>
    <n v="10"/>
    <x v="1"/>
    <x v="0"/>
    <x v="2"/>
    <x v="13"/>
    <x v="3"/>
    <x v="4"/>
    <x v="6"/>
    <x v="1"/>
    <x v="1"/>
    <x v="3"/>
    <s v="Express"/>
    <n v="12"/>
  </r>
  <r>
    <x v="787"/>
    <x v="24"/>
    <x v="2"/>
    <x v="0"/>
    <x v="1"/>
    <x v="2"/>
    <x v="0"/>
    <s v="Ōkuchi"/>
    <x v="8"/>
    <n v="444.87"/>
    <x v="7"/>
    <x v="1"/>
    <x v="0"/>
    <x v="4"/>
    <x v="2"/>
    <n v="4"/>
    <n v="0"/>
    <x v="1"/>
    <x v="0"/>
    <n v="1"/>
    <x v="0"/>
    <n v="8"/>
    <x v="2"/>
    <x v="2"/>
    <x v="4"/>
    <x v="222"/>
    <x v="2"/>
    <x v="3"/>
    <x v="5"/>
    <x v="1"/>
    <x v="1"/>
    <x v="0"/>
    <s v="No Preference"/>
    <n v="7"/>
  </r>
  <r>
    <x v="788"/>
    <x v="25"/>
    <x v="2"/>
    <x v="0"/>
    <x v="0"/>
    <x v="1"/>
    <x v="0"/>
    <s v="Huquan"/>
    <x v="5"/>
    <n v="446.03"/>
    <x v="6"/>
    <x v="1"/>
    <x v="1"/>
    <x v="1"/>
    <x v="1"/>
    <n v="1"/>
    <n v="2"/>
    <x v="2"/>
    <x v="2"/>
    <n v="2"/>
    <x v="1"/>
    <n v="7"/>
    <x v="3"/>
    <x v="1"/>
    <x v="4"/>
    <x v="326"/>
    <x v="1"/>
    <x v="2"/>
    <x v="3"/>
    <x v="0"/>
    <x v="0"/>
    <x v="2"/>
    <s v="Express"/>
    <n v="12"/>
  </r>
  <r>
    <x v="789"/>
    <x v="18"/>
    <x v="2"/>
    <x v="1"/>
    <x v="0"/>
    <x v="0"/>
    <x v="0"/>
    <s v="São Mateus do Maranhão"/>
    <x v="1"/>
    <n v="446.11"/>
    <x v="6"/>
    <x v="1"/>
    <x v="2"/>
    <x v="3"/>
    <x v="1"/>
    <n v="1"/>
    <n v="1"/>
    <x v="1"/>
    <x v="1"/>
    <n v="0"/>
    <x v="0"/>
    <n v="10"/>
    <x v="0"/>
    <x v="2"/>
    <x v="2"/>
    <x v="183"/>
    <x v="1"/>
    <x v="2"/>
    <x v="6"/>
    <x v="0"/>
    <x v="0"/>
    <x v="0"/>
    <s v="Express"/>
    <n v="11"/>
  </r>
  <r>
    <x v="790"/>
    <x v="25"/>
    <x v="2"/>
    <x v="6"/>
    <x v="0"/>
    <x v="1"/>
    <x v="0"/>
    <s v="Pingshi"/>
    <x v="15"/>
    <n v="446.92"/>
    <x v="3"/>
    <x v="0"/>
    <x v="2"/>
    <x v="2"/>
    <x v="1"/>
    <n v="1"/>
    <n v="1"/>
    <x v="1"/>
    <x v="1"/>
    <n v="2"/>
    <x v="1"/>
    <n v="6"/>
    <x v="3"/>
    <x v="0"/>
    <x v="2"/>
    <x v="64"/>
    <x v="1"/>
    <x v="10"/>
    <x v="5"/>
    <x v="0"/>
    <x v="1"/>
    <x v="1"/>
    <s v="Express"/>
    <n v="10"/>
  </r>
  <r>
    <x v="791"/>
    <x v="24"/>
    <x v="2"/>
    <x v="0"/>
    <x v="1"/>
    <x v="3"/>
    <x v="1"/>
    <s v="Pan-an"/>
    <x v="9"/>
    <n v="454.36"/>
    <x v="10"/>
    <x v="0"/>
    <x v="1"/>
    <x v="0"/>
    <x v="2"/>
    <n v="5"/>
    <n v="1"/>
    <x v="2"/>
    <x v="1"/>
    <n v="1"/>
    <x v="0"/>
    <n v="8"/>
    <x v="0"/>
    <x v="1"/>
    <x v="1"/>
    <x v="36"/>
    <x v="2"/>
    <x v="8"/>
    <x v="4"/>
    <x v="0"/>
    <x v="1"/>
    <x v="1"/>
    <s v="No Preference"/>
    <n v="12"/>
  </r>
  <r>
    <x v="792"/>
    <x v="22"/>
    <x v="2"/>
    <x v="0"/>
    <x v="1"/>
    <x v="1"/>
    <x v="0"/>
    <s v="White Rock"/>
    <x v="1"/>
    <n v="454.39"/>
    <x v="2"/>
    <x v="1"/>
    <x v="1"/>
    <x v="1"/>
    <x v="2"/>
    <n v="4"/>
    <n v="2"/>
    <x v="1"/>
    <x v="0"/>
    <n v="0"/>
    <x v="2"/>
    <n v="3"/>
    <x v="3"/>
    <x v="2"/>
    <x v="4"/>
    <x v="38"/>
    <x v="1"/>
    <x v="10"/>
    <x v="1"/>
    <x v="1"/>
    <x v="0"/>
    <x v="3"/>
    <s v="Standard"/>
    <n v="3"/>
  </r>
  <r>
    <x v="793"/>
    <x v="24"/>
    <x v="2"/>
    <x v="0"/>
    <x v="1"/>
    <x v="3"/>
    <x v="0"/>
    <s v="Kariya"/>
    <x v="0"/>
    <n v="456.83"/>
    <x v="3"/>
    <x v="0"/>
    <x v="0"/>
    <x v="1"/>
    <x v="2"/>
    <n v="5"/>
    <n v="0"/>
    <x v="0"/>
    <x v="0"/>
    <n v="0"/>
    <x v="0"/>
    <n v="9"/>
    <x v="1"/>
    <x v="1"/>
    <x v="3"/>
    <x v="291"/>
    <x v="1"/>
    <x v="2"/>
    <x v="6"/>
    <x v="1"/>
    <x v="1"/>
    <x v="2"/>
    <s v="No Preference"/>
    <n v="13"/>
  </r>
  <r>
    <x v="794"/>
    <x v="22"/>
    <x v="2"/>
    <x v="1"/>
    <x v="1"/>
    <x v="3"/>
    <x v="0"/>
    <s v="Brändö"/>
    <x v="6"/>
    <n v="457.39"/>
    <x v="0"/>
    <x v="1"/>
    <x v="1"/>
    <x v="2"/>
    <x v="1"/>
    <n v="1"/>
    <n v="1"/>
    <x v="3"/>
    <x v="0"/>
    <n v="1"/>
    <x v="1"/>
    <n v="5"/>
    <x v="1"/>
    <x v="2"/>
    <x v="3"/>
    <x v="83"/>
    <x v="2"/>
    <x v="6"/>
    <x v="1"/>
    <x v="0"/>
    <x v="1"/>
    <x v="3"/>
    <s v="Standard"/>
    <n v="9"/>
  </r>
  <r>
    <x v="795"/>
    <x v="19"/>
    <x v="2"/>
    <x v="0"/>
    <x v="0"/>
    <x v="3"/>
    <x v="1"/>
    <s v="Jardin"/>
    <x v="7"/>
    <n v="459.3"/>
    <x v="6"/>
    <x v="1"/>
    <x v="0"/>
    <x v="0"/>
    <x v="2"/>
    <n v="4"/>
    <n v="1"/>
    <x v="0"/>
    <x v="2"/>
    <n v="2"/>
    <x v="1"/>
    <n v="5"/>
    <x v="0"/>
    <x v="2"/>
    <x v="4"/>
    <x v="230"/>
    <x v="2"/>
    <x v="6"/>
    <x v="3"/>
    <x v="1"/>
    <x v="0"/>
    <x v="1"/>
    <s v="No Preference"/>
    <n v="1"/>
  </r>
  <r>
    <x v="796"/>
    <x v="25"/>
    <x v="2"/>
    <x v="1"/>
    <x v="0"/>
    <x v="0"/>
    <x v="1"/>
    <s v="Kamiennik"/>
    <x v="16"/>
    <n v="459.51"/>
    <x v="4"/>
    <x v="1"/>
    <x v="1"/>
    <x v="2"/>
    <x v="1"/>
    <n v="2"/>
    <n v="2"/>
    <x v="3"/>
    <x v="0"/>
    <n v="0"/>
    <x v="1"/>
    <n v="5"/>
    <x v="0"/>
    <x v="1"/>
    <x v="0"/>
    <x v="178"/>
    <x v="3"/>
    <x v="4"/>
    <x v="5"/>
    <x v="0"/>
    <x v="1"/>
    <x v="2"/>
    <s v="No Preference"/>
    <n v="11"/>
  </r>
  <r>
    <x v="797"/>
    <x v="23"/>
    <x v="2"/>
    <x v="1"/>
    <x v="1"/>
    <x v="3"/>
    <x v="0"/>
    <s v="São Roque"/>
    <x v="19"/>
    <n v="461"/>
    <x v="4"/>
    <x v="1"/>
    <x v="0"/>
    <x v="1"/>
    <x v="2"/>
    <n v="4"/>
    <n v="1"/>
    <x v="3"/>
    <x v="0"/>
    <n v="0"/>
    <x v="0"/>
    <n v="8"/>
    <x v="2"/>
    <x v="1"/>
    <x v="1"/>
    <x v="295"/>
    <x v="1"/>
    <x v="10"/>
    <x v="3"/>
    <x v="1"/>
    <x v="0"/>
    <x v="0"/>
    <s v="Standard"/>
    <n v="9"/>
  </r>
  <r>
    <x v="798"/>
    <x v="22"/>
    <x v="2"/>
    <x v="1"/>
    <x v="1"/>
    <x v="3"/>
    <x v="2"/>
    <s v="Pasirmadang"/>
    <x v="1"/>
    <n v="462.48"/>
    <x v="7"/>
    <x v="1"/>
    <x v="0"/>
    <x v="2"/>
    <x v="0"/>
    <n v="3"/>
    <n v="0"/>
    <x v="1"/>
    <x v="1"/>
    <n v="2"/>
    <x v="2"/>
    <n v="2"/>
    <x v="2"/>
    <x v="0"/>
    <x v="0"/>
    <x v="42"/>
    <x v="0"/>
    <x v="0"/>
    <x v="0"/>
    <x v="1"/>
    <x v="1"/>
    <x v="1"/>
    <s v="Express"/>
    <n v="12"/>
  </r>
  <r>
    <x v="799"/>
    <x v="19"/>
    <x v="2"/>
    <x v="1"/>
    <x v="0"/>
    <x v="2"/>
    <x v="0"/>
    <s v="Aramayuan"/>
    <x v="3"/>
    <n v="463.67"/>
    <x v="3"/>
    <x v="0"/>
    <x v="0"/>
    <x v="1"/>
    <x v="2"/>
    <n v="4"/>
    <n v="0.3"/>
    <x v="3"/>
    <x v="0"/>
    <n v="2"/>
    <x v="2"/>
    <n v="4"/>
    <x v="3"/>
    <x v="1"/>
    <x v="2"/>
    <x v="59"/>
    <x v="1"/>
    <x v="10"/>
    <x v="0"/>
    <x v="0"/>
    <x v="1"/>
    <x v="2"/>
    <s v="Standard"/>
    <n v="5"/>
  </r>
  <r>
    <x v="800"/>
    <x v="24"/>
    <x v="2"/>
    <x v="1"/>
    <x v="0"/>
    <x v="0"/>
    <x v="0"/>
    <s v="Pergan"/>
    <x v="17"/>
    <n v="469.9"/>
    <x v="8"/>
    <x v="0"/>
    <x v="2"/>
    <x v="1"/>
    <x v="2"/>
    <n v="5"/>
    <n v="1"/>
    <x v="2"/>
    <x v="0"/>
    <n v="1"/>
    <x v="1"/>
    <n v="7"/>
    <x v="3"/>
    <x v="2"/>
    <x v="1"/>
    <x v="71"/>
    <x v="1"/>
    <x v="2"/>
    <x v="5"/>
    <x v="1"/>
    <x v="1"/>
    <x v="1"/>
    <s v="No Preference"/>
    <n v="7"/>
  </r>
  <r>
    <x v="801"/>
    <x v="18"/>
    <x v="2"/>
    <x v="0"/>
    <x v="1"/>
    <x v="3"/>
    <x v="1"/>
    <s v="Zarasai"/>
    <x v="3"/>
    <n v="473.77"/>
    <x v="6"/>
    <x v="1"/>
    <x v="0"/>
    <x v="3"/>
    <x v="1"/>
    <n v="1"/>
    <n v="2"/>
    <x v="1"/>
    <x v="1"/>
    <n v="2"/>
    <x v="0"/>
    <n v="9"/>
    <x v="3"/>
    <x v="2"/>
    <x v="2"/>
    <x v="231"/>
    <x v="0"/>
    <x v="7"/>
    <x v="6"/>
    <x v="1"/>
    <x v="1"/>
    <x v="0"/>
    <s v="No Preference"/>
    <n v="13"/>
  </r>
  <r>
    <x v="802"/>
    <x v="20"/>
    <x v="2"/>
    <x v="1"/>
    <x v="0"/>
    <x v="0"/>
    <x v="1"/>
    <s v="Wolfsberg"/>
    <x v="18"/>
    <n v="474.03"/>
    <x v="4"/>
    <x v="1"/>
    <x v="1"/>
    <x v="3"/>
    <x v="1"/>
    <n v="1"/>
    <n v="1"/>
    <x v="1"/>
    <x v="2"/>
    <n v="0"/>
    <x v="1"/>
    <n v="6"/>
    <x v="1"/>
    <x v="2"/>
    <x v="4"/>
    <x v="149"/>
    <x v="1"/>
    <x v="1"/>
    <x v="2"/>
    <x v="0"/>
    <x v="0"/>
    <x v="2"/>
    <s v="Standard"/>
    <n v="13"/>
  </r>
  <r>
    <x v="803"/>
    <x v="20"/>
    <x v="2"/>
    <x v="1"/>
    <x v="1"/>
    <x v="0"/>
    <x v="2"/>
    <s v="Bordeaux"/>
    <x v="10"/>
    <n v="474.56"/>
    <x v="9"/>
    <x v="1"/>
    <x v="1"/>
    <x v="2"/>
    <x v="2"/>
    <n v="5"/>
    <n v="2"/>
    <x v="2"/>
    <x v="0"/>
    <n v="1"/>
    <x v="1"/>
    <n v="6"/>
    <x v="1"/>
    <x v="0"/>
    <x v="2"/>
    <x v="187"/>
    <x v="0"/>
    <x v="5"/>
    <x v="3"/>
    <x v="0"/>
    <x v="1"/>
    <x v="1"/>
    <s v="Standard"/>
    <n v="12"/>
  </r>
  <r>
    <x v="804"/>
    <x v="21"/>
    <x v="2"/>
    <x v="0"/>
    <x v="0"/>
    <x v="3"/>
    <x v="1"/>
    <s v="Thị Trấn Cẩm Thủy"/>
    <x v="11"/>
    <n v="476.48"/>
    <x v="9"/>
    <x v="1"/>
    <x v="0"/>
    <x v="4"/>
    <x v="1"/>
    <n v="2"/>
    <n v="1"/>
    <x v="0"/>
    <x v="2"/>
    <n v="2"/>
    <x v="0"/>
    <n v="10"/>
    <x v="1"/>
    <x v="2"/>
    <x v="2"/>
    <x v="327"/>
    <x v="1"/>
    <x v="10"/>
    <x v="2"/>
    <x v="1"/>
    <x v="0"/>
    <x v="3"/>
    <s v="Express"/>
    <n v="3"/>
  </r>
  <r>
    <x v="805"/>
    <x v="23"/>
    <x v="2"/>
    <x v="1"/>
    <x v="0"/>
    <x v="1"/>
    <x v="0"/>
    <s v="Xiaruyue"/>
    <x v="4"/>
    <n v="481.78"/>
    <x v="9"/>
    <x v="1"/>
    <x v="1"/>
    <x v="4"/>
    <x v="1"/>
    <n v="2"/>
    <n v="0"/>
    <x v="1"/>
    <x v="1"/>
    <n v="2"/>
    <x v="2"/>
    <n v="4"/>
    <x v="2"/>
    <x v="1"/>
    <x v="0"/>
    <x v="39"/>
    <x v="0"/>
    <x v="5"/>
    <x v="3"/>
    <x v="0"/>
    <x v="0"/>
    <x v="0"/>
    <s v="Express"/>
    <n v="1"/>
  </r>
  <r>
    <x v="806"/>
    <x v="21"/>
    <x v="2"/>
    <x v="1"/>
    <x v="0"/>
    <x v="3"/>
    <x v="1"/>
    <s v="La Roche-sur-Yon"/>
    <x v="8"/>
    <n v="485.42"/>
    <x v="3"/>
    <x v="0"/>
    <x v="0"/>
    <x v="2"/>
    <x v="1"/>
    <n v="2"/>
    <n v="2"/>
    <x v="3"/>
    <x v="2"/>
    <n v="1"/>
    <x v="1"/>
    <n v="6"/>
    <x v="1"/>
    <x v="2"/>
    <x v="4"/>
    <x v="179"/>
    <x v="2"/>
    <x v="3"/>
    <x v="3"/>
    <x v="0"/>
    <x v="1"/>
    <x v="0"/>
    <s v="No Preference"/>
    <n v="4"/>
  </r>
  <r>
    <x v="807"/>
    <x v="21"/>
    <x v="2"/>
    <x v="1"/>
    <x v="1"/>
    <x v="3"/>
    <x v="2"/>
    <s v="Qingqu"/>
    <x v="4"/>
    <n v="485.76"/>
    <x v="2"/>
    <x v="1"/>
    <x v="1"/>
    <x v="3"/>
    <x v="2"/>
    <n v="4"/>
    <n v="0"/>
    <x v="1"/>
    <x v="2"/>
    <n v="0"/>
    <x v="2"/>
    <n v="4"/>
    <x v="1"/>
    <x v="2"/>
    <x v="0"/>
    <x v="50"/>
    <x v="1"/>
    <x v="2"/>
    <x v="4"/>
    <x v="0"/>
    <x v="0"/>
    <x v="0"/>
    <s v="No Preference"/>
    <n v="4"/>
  </r>
  <r>
    <x v="808"/>
    <x v="20"/>
    <x v="2"/>
    <x v="0"/>
    <x v="0"/>
    <x v="2"/>
    <x v="1"/>
    <s v="Hexiangqiao"/>
    <x v="13"/>
    <n v="489.67"/>
    <x v="3"/>
    <x v="0"/>
    <x v="2"/>
    <x v="4"/>
    <x v="2"/>
    <n v="5"/>
    <n v="1"/>
    <x v="0"/>
    <x v="1"/>
    <n v="1"/>
    <x v="1"/>
    <n v="5"/>
    <x v="0"/>
    <x v="1"/>
    <x v="0"/>
    <x v="186"/>
    <x v="3"/>
    <x v="9"/>
    <x v="2"/>
    <x v="1"/>
    <x v="1"/>
    <x v="0"/>
    <s v="Standard"/>
    <n v="11"/>
  </r>
  <r>
    <x v="809"/>
    <x v="20"/>
    <x v="2"/>
    <x v="1"/>
    <x v="0"/>
    <x v="0"/>
    <x v="2"/>
    <s v="Maguwon"/>
    <x v="1"/>
    <n v="489.81"/>
    <x v="7"/>
    <x v="1"/>
    <x v="2"/>
    <x v="3"/>
    <x v="1"/>
    <n v="2"/>
    <n v="1"/>
    <x v="2"/>
    <x v="1"/>
    <n v="0"/>
    <x v="2"/>
    <n v="1"/>
    <x v="3"/>
    <x v="1"/>
    <x v="3"/>
    <x v="328"/>
    <x v="3"/>
    <x v="9"/>
    <x v="0"/>
    <x v="1"/>
    <x v="1"/>
    <x v="0"/>
    <s v="No Preference"/>
    <n v="3"/>
  </r>
  <r>
    <x v="810"/>
    <x v="20"/>
    <x v="2"/>
    <x v="7"/>
    <x v="0"/>
    <x v="0"/>
    <x v="1"/>
    <s v="Göteborg"/>
    <x v="7"/>
    <n v="490.34"/>
    <x v="8"/>
    <x v="0"/>
    <x v="1"/>
    <x v="4"/>
    <x v="1"/>
    <n v="2"/>
    <n v="2"/>
    <x v="0"/>
    <x v="0"/>
    <n v="2"/>
    <x v="1"/>
    <n v="7"/>
    <x v="1"/>
    <x v="1"/>
    <x v="4"/>
    <x v="187"/>
    <x v="0"/>
    <x v="5"/>
    <x v="3"/>
    <x v="1"/>
    <x v="0"/>
    <x v="2"/>
    <s v="No Preference"/>
    <n v="2"/>
  </r>
  <r>
    <x v="811"/>
    <x v="18"/>
    <x v="2"/>
    <x v="1"/>
    <x v="1"/>
    <x v="1"/>
    <x v="2"/>
    <s v="Ḩabīl al Jabr"/>
    <x v="5"/>
    <n v="491.18"/>
    <x v="10"/>
    <x v="0"/>
    <x v="2"/>
    <x v="0"/>
    <x v="2"/>
    <n v="4"/>
    <n v="1"/>
    <x v="3"/>
    <x v="1"/>
    <n v="0"/>
    <x v="1"/>
    <n v="6"/>
    <x v="3"/>
    <x v="0"/>
    <x v="1"/>
    <x v="72"/>
    <x v="1"/>
    <x v="1"/>
    <x v="1"/>
    <x v="1"/>
    <x v="1"/>
    <x v="3"/>
    <s v="No Preference"/>
    <n v="14"/>
  </r>
  <r>
    <x v="812"/>
    <x v="19"/>
    <x v="2"/>
    <x v="2"/>
    <x v="1"/>
    <x v="0"/>
    <x v="0"/>
    <s v="Sobinka"/>
    <x v="20"/>
    <n v="491.49"/>
    <x v="2"/>
    <x v="1"/>
    <x v="2"/>
    <x v="2"/>
    <x v="1"/>
    <n v="1"/>
    <n v="0"/>
    <x v="2"/>
    <x v="2"/>
    <n v="2"/>
    <x v="1"/>
    <n v="7"/>
    <x v="3"/>
    <x v="2"/>
    <x v="2"/>
    <x v="204"/>
    <x v="0"/>
    <x v="7"/>
    <x v="1"/>
    <x v="1"/>
    <x v="1"/>
    <x v="1"/>
    <s v="Standard"/>
    <n v="1"/>
  </r>
  <r>
    <x v="813"/>
    <x v="19"/>
    <x v="2"/>
    <x v="0"/>
    <x v="1"/>
    <x v="3"/>
    <x v="2"/>
    <s v="Cimara"/>
    <x v="8"/>
    <n v="492.51"/>
    <x v="4"/>
    <x v="1"/>
    <x v="0"/>
    <x v="2"/>
    <x v="2"/>
    <n v="4"/>
    <n v="1"/>
    <x v="2"/>
    <x v="0"/>
    <n v="0"/>
    <x v="2"/>
    <n v="2"/>
    <x v="0"/>
    <x v="2"/>
    <x v="2"/>
    <x v="218"/>
    <x v="3"/>
    <x v="4"/>
    <x v="1"/>
    <x v="0"/>
    <x v="0"/>
    <x v="0"/>
    <s v="Standard"/>
    <n v="4"/>
  </r>
  <r>
    <x v="814"/>
    <x v="20"/>
    <x v="2"/>
    <x v="1"/>
    <x v="0"/>
    <x v="3"/>
    <x v="0"/>
    <s v="Cibeusi"/>
    <x v="13"/>
    <n v="492.74"/>
    <x v="5"/>
    <x v="0"/>
    <x v="2"/>
    <x v="2"/>
    <x v="2"/>
    <n v="5"/>
    <n v="2"/>
    <x v="2"/>
    <x v="1"/>
    <n v="1"/>
    <x v="2"/>
    <n v="3"/>
    <x v="1"/>
    <x v="1"/>
    <x v="4"/>
    <x v="215"/>
    <x v="3"/>
    <x v="11"/>
    <x v="6"/>
    <x v="0"/>
    <x v="1"/>
    <x v="2"/>
    <s v="Express"/>
    <n v="13"/>
  </r>
  <r>
    <x v="815"/>
    <x v="20"/>
    <x v="2"/>
    <x v="0"/>
    <x v="0"/>
    <x v="1"/>
    <x v="2"/>
    <s v="Oguma"/>
    <x v="6"/>
    <n v="494.81"/>
    <x v="6"/>
    <x v="1"/>
    <x v="2"/>
    <x v="1"/>
    <x v="2"/>
    <n v="4"/>
    <n v="1"/>
    <x v="1"/>
    <x v="1"/>
    <n v="1"/>
    <x v="1"/>
    <n v="7"/>
    <x v="0"/>
    <x v="1"/>
    <x v="2"/>
    <x v="55"/>
    <x v="0"/>
    <x v="7"/>
    <x v="0"/>
    <x v="0"/>
    <x v="0"/>
    <x v="2"/>
    <s v="Standard"/>
    <n v="6"/>
  </r>
  <r>
    <x v="816"/>
    <x v="21"/>
    <x v="2"/>
    <x v="0"/>
    <x v="0"/>
    <x v="3"/>
    <x v="0"/>
    <s v="Cipolletti"/>
    <x v="5"/>
    <n v="496.11"/>
    <x v="5"/>
    <x v="0"/>
    <x v="2"/>
    <x v="1"/>
    <x v="0"/>
    <n v="3"/>
    <n v="1"/>
    <x v="3"/>
    <x v="2"/>
    <n v="2"/>
    <x v="0"/>
    <n v="8"/>
    <x v="1"/>
    <x v="0"/>
    <x v="2"/>
    <x v="34"/>
    <x v="1"/>
    <x v="2"/>
    <x v="2"/>
    <x v="0"/>
    <x v="1"/>
    <x v="3"/>
    <s v="Standard"/>
    <n v="12"/>
  </r>
  <r>
    <x v="817"/>
    <x v="27"/>
    <x v="3"/>
    <x v="0"/>
    <x v="1"/>
    <x v="3"/>
    <x v="0"/>
    <s v="Xudat"/>
    <x v="4"/>
    <n v="50.79"/>
    <x v="0"/>
    <x v="0"/>
    <x v="2"/>
    <x v="4"/>
    <x v="1"/>
    <n v="1"/>
    <n v="0"/>
    <x v="1"/>
    <x v="2"/>
    <n v="0"/>
    <x v="2"/>
    <n v="2"/>
    <x v="0"/>
    <x v="2"/>
    <x v="4"/>
    <x v="204"/>
    <x v="0"/>
    <x v="7"/>
    <x v="1"/>
    <x v="0"/>
    <x v="1"/>
    <x v="1"/>
    <s v="Standard"/>
    <n v="3"/>
  </r>
  <r>
    <x v="818"/>
    <x v="28"/>
    <x v="3"/>
    <x v="1"/>
    <x v="0"/>
    <x v="1"/>
    <x v="2"/>
    <s v="Likhoy"/>
    <x v="17"/>
    <n v="51.44"/>
    <x v="5"/>
    <x v="0"/>
    <x v="1"/>
    <x v="2"/>
    <x v="0"/>
    <n v="3"/>
    <n v="2"/>
    <x v="3"/>
    <x v="0"/>
    <n v="0"/>
    <x v="2"/>
    <n v="1"/>
    <x v="1"/>
    <x v="1"/>
    <x v="4"/>
    <x v="73"/>
    <x v="0"/>
    <x v="7"/>
    <x v="5"/>
    <x v="0"/>
    <x v="1"/>
    <x v="1"/>
    <s v="No Preference"/>
    <n v="5"/>
  </r>
  <r>
    <x v="819"/>
    <x v="29"/>
    <x v="3"/>
    <x v="1"/>
    <x v="1"/>
    <x v="2"/>
    <x v="1"/>
    <s v="San Marcos"/>
    <x v="2"/>
    <n v="51.86"/>
    <x v="8"/>
    <x v="0"/>
    <x v="2"/>
    <x v="3"/>
    <x v="2"/>
    <n v="5"/>
    <n v="0.2"/>
    <x v="1"/>
    <x v="0"/>
    <n v="2"/>
    <x v="1"/>
    <n v="6"/>
    <x v="1"/>
    <x v="1"/>
    <x v="3"/>
    <x v="171"/>
    <x v="3"/>
    <x v="9"/>
    <x v="3"/>
    <x v="1"/>
    <x v="0"/>
    <x v="2"/>
    <s v="No Preference"/>
    <n v="6"/>
  </r>
  <r>
    <x v="820"/>
    <x v="30"/>
    <x v="3"/>
    <x v="1"/>
    <x v="1"/>
    <x v="0"/>
    <x v="1"/>
    <s v="Topol’noye"/>
    <x v="12"/>
    <n v="54.46"/>
    <x v="3"/>
    <x v="0"/>
    <x v="0"/>
    <x v="0"/>
    <x v="2"/>
    <n v="5"/>
    <n v="1"/>
    <x v="3"/>
    <x v="0"/>
    <n v="1"/>
    <x v="2"/>
    <n v="1"/>
    <x v="2"/>
    <x v="1"/>
    <x v="4"/>
    <x v="312"/>
    <x v="2"/>
    <x v="3"/>
    <x v="0"/>
    <x v="1"/>
    <x v="1"/>
    <x v="3"/>
    <s v="Standard"/>
    <n v="1"/>
  </r>
  <r>
    <x v="821"/>
    <x v="31"/>
    <x v="3"/>
    <x v="0"/>
    <x v="1"/>
    <x v="0"/>
    <x v="0"/>
    <s v="Văn Giang"/>
    <x v="3"/>
    <n v="57.39"/>
    <x v="10"/>
    <x v="0"/>
    <x v="2"/>
    <x v="1"/>
    <x v="2"/>
    <n v="5"/>
    <n v="0.25"/>
    <x v="0"/>
    <x v="2"/>
    <n v="0"/>
    <x v="0"/>
    <n v="10"/>
    <x v="0"/>
    <x v="2"/>
    <x v="3"/>
    <x v="64"/>
    <x v="1"/>
    <x v="10"/>
    <x v="5"/>
    <x v="1"/>
    <x v="1"/>
    <x v="3"/>
    <s v="Standard"/>
    <n v="3"/>
  </r>
  <r>
    <x v="822"/>
    <x v="30"/>
    <x v="3"/>
    <x v="0"/>
    <x v="1"/>
    <x v="3"/>
    <x v="2"/>
    <s v="Marolambo"/>
    <x v="17"/>
    <n v="58.29"/>
    <x v="1"/>
    <x v="0"/>
    <x v="2"/>
    <x v="1"/>
    <x v="0"/>
    <n v="3"/>
    <n v="2"/>
    <x v="1"/>
    <x v="2"/>
    <n v="1"/>
    <x v="1"/>
    <n v="7"/>
    <x v="2"/>
    <x v="1"/>
    <x v="4"/>
    <x v="329"/>
    <x v="3"/>
    <x v="11"/>
    <x v="1"/>
    <x v="1"/>
    <x v="0"/>
    <x v="3"/>
    <s v="Standard"/>
    <n v="14"/>
  </r>
  <r>
    <x v="823"/>
    <x v="28"/>
    <x v="3"/>
    <x v="1"/>
    <x v="1"/>
    <x v="3"/>
    <x v="2"/>
    <s v="Villavicencio"/>
    <x v="16"/>
    <n v="59.15"/>
    <x v="10"/>
    <x v="0"/>
    <x v="1"/>
    <x v="0"/>
    <x v="1"/>
    <n v="2"/>
    <n v="1"/>
    <x v="0"/>
    <x v="0"/>
    <n v="0"/>
    <x v="2"/>
    <n v="1"/>
    <x v="1"/>
    <x v="2"/>
    <x v="0"/>
    <x v="156"/>
    <x v="0"/>
    <x v="5"/>
    <x v="5"/>
    <x v="1"/>
    <x v="1"/>
    <x v="2"/>
    <s v="Standard"/>
    <n v="8"/>
  </r>
  <r>
    <x v="824"/>
    <x v="32"/>
    <x v="3"/>
    <x v="0"/>
    <x v="1"/>
    <x v="2"/>
    <x v="2"/>
    <s v="Tewulike"/>
    <x v="10"/>
    <n v="61.71"/>
    <x v="1"/>
    <x v="0"/>
    <x v="2"/>
    <x v="1"/>
    <x v="2"/>
    <n v="5"/>
    <n v="1"/>
    <x v="2"/>
    <x v="1"/>
    <n v="2"/>
    <x v="1"/>
    <n v="7"/>
    <x v="2"/>
    <x v="1"/>
    <x v="1"/>
    <x v="185"/>
    <x v="2"/>
    <x v="6"/>
    <x v="6"/>
    <x v="1"/>
    <x v="1"/>
    <x v="3"/>
    <s v="No Preference"/>
    <n v="12"/>
  </r>
  <r>
    <x v="825"/>
    <x v="31"/>
    <x v="3"/>
    <x v="1"/>
    <x v="1"/>
    <x v="3"/>
    <x v="1"/>
    <s v="Tecpán Guatemala"/>
    <x v="9"/>
    <n v="64.489999999999995"/>
    <x v="1"/>
    <x v="0"/>
    <x v="0"/>
    <x v="1"/>
    <x v="1"/>
    <n v="1"/>
    <n v="0"/>
    <x v="0"/>
    <x v="1"/>
    <n v="1"/>
    <x v="0"/>
    <n v="10"/>
    <x v="3"/>
    <x v="1"/>
    <x v="4"/>
    <x v="330"/>
    <x v="2"/>
    <x v="6"/>
    <x v="2"/>
    <x v="1"/>
    <x v="1"/>
    <x v="1"/>
    <s v="Express"/>
    <n v="7"/>
  </r>
  <r>
    <x v="826"/>
    <x v="31"/>
    <x v="3"/>
    <x v="0"/>
    <x v="1"/>
    <x v="0"/>
    <x v="2"/>
    <s v="Limoges"/>
    <x v="6"/>
    <n v="64.5"/>
    <x v="4"/>
    <x v="0"/>
    <x v="1"/>
    <x v="3"/>
    <x v="2"/>
    <n v="4"/>
    <n v="1"/>
    <x v="3"/>
    <x v="2"/>
    <n v="1"/>
    <x v="1"/>
    <n v="7"/>
    <x v="1"/>
    <x v="2"/>
    <x v="3"/>
    <x v="20"/>
    <x v="1"/>
    <x v="10"/>
    <x v="0"/>
    <x v="0"/>
    <x v="1"/>
    <x v="0"/>
    <s v="No Preference"/>
    <n v="13"/>
  </r>
  <r>
    <x v="827"/>
    <x v="27"/>
    <x v="3"/>
    <x v="0"/>
    <x v="0"/>
    <x v="0"/>
    <x v="1"/>
    <s v="Wiwilí"/>
    <x v="8"/>
    <n v="66.86"/>
    <x v="10"/>
    <x v="0"/>
    <x v="2"/>
    <x v="2"/>
    <x v="1"/>
    <n v="1"/>
    <n v="1"/>
    <x v="1"/>
    <x v="1"/>
    <n v="0"/>
    <x v="0"/>
    <n v="10"/>
    <x v="0"/>
    <x v="2"/>
    <x v="4"/>
    <x v="13"/>
    <x v="3"/>
    <x v="4"/>
    <x v="6"/>
    <x v="0"/>
    <x v="0"/>
    <x v="0"/>
    <s v="Express"/>
    <n v="9"/>
  </r>
  <r>
    <x v="828"/>
    <x v="29"/>
    <x v="3"/>
    <x v="0"/>
    <x v="1"/>
    <x v="3"/>
    <x v="2"/>
    <s v="Sinarwangi"/>
    <x v="6"/>
    <n v="67.92"/>
    <x v="10"/>
    <x v="0"/>
    <x v="1"/>
    <x v="2"/>
    <x v="0"/>
    <n v="3"/>
    <n v="0"/>
    <x v="2"/>
    <x v="0"/>
    <n v="1"/>
    <x v="0"/>
    <n v="8"/>
    <x v="2"/>
    <x v="1"/>
    <x v="1"/>
    <x v="300"/>
    <x v="2"/>
    <x v="6"/>
    <x v="5"/>
    <x v="1"/>
    <x v="0"/>
    <x v="3"/>
    <s v="Express"/>
    <n v="10"/>
  </r>
  <r>
    <x v="829"/>
    <x v="29"/>
    <x v="3"/>
    <x v="0"/>
    <x v="0"/>
    <x v="1"/>
    <x v="1"/>
    <s v="Adani"/>
    <x v="10"/>
    <n v="68.59"/>
    <x v="6"/>
    <x v="0"/>
    <x v="2"/>
    <x v="3"/>
    <x v="2"/>
    <n v="4"/>
    <n v="0"/>
    <x v="1"/>
    <x v="2"/>
    <n v="2"/>
    <x v="1"/>
    <n v="5"/>
    <x v="3"/>
    <x v="0"/>
    <x v="2"/>
    <x v="129"/>
    <x v="0"/>
    <x v="5"/>
    <x v="6"/>
    <x v="1"/>
    <x v="0"/>
    <x v="0"/>
    <s v="Standard"/>
    <n v="5"/>
  </r>
  <r>
    <x v="830"/>
    <x v="28"/>
    <x v="3"/>
    <x v="0"/>
    <x v="1"/>
    <x v="0"/>
    <x v="0"/>
    <s v="Zbraslavice"/>
    <x v="7"/>
    <n v="69.41"/>
    <x v="9"/>
    <x v="0"/>
    <x v="2"/>
    <x v="4"/>
    <x v="0"/>
    <n v="3"/>
    <n v="0"/>
    <x v="3"/>
    <x v="2"/>
    <n v="1"/>
    <x v="0"/>
    <n v="9"/>
    <x v="1"/>
    <x v="1"/>
    <x v="1"/>
    <x v="331"/>
    <x v="3"/>
    <x v="4"/>
    <x v="0"/>
    <x v="1"/>
    <x v="1"/>
    <x v="0"/>
    <s v="Standard"/>
    <n v="5"/>
  </r>
  <r>
    <x v="831"/>
    <x v="27"/>
    <x v="3"/>
    <x v="1"/>
    <x v="0"/>
    <x v="3"/>
    <x v="2"/>
    <s v="Paquera"/>
    <x v="15"/>
    <n v="69.78"/>
    <x v="6"/>
    <x v="0"/>
    <x v="2"/>
    <x v="0"/>
    <x v="0"/>
    <n v="3"/>
    <n v="2"/>
    <x v="2"/>
    <x v="1"/>
    <n v="0"/>
    <x v="1"/>
    <n v="6"/>
    <x v="2"/>
    <x v="1"/>
    <x v="1"/>
    <x v="58"/>
    <x v="0"/>
    <x v="0"/>
    <x v="6"/>
    <x v="0"/>
    <x v="1"/>
    <x v="0"/>
    <s v="No Preference"/>
    <n v="9"/>
  </r>
  <r>
    <x v="832"/>
    <x v="29"/>
    <x v="3"/>
    <x v="1"/>
    <x v="0"/>
    <x v="3"/>
    <x v="2"/>
    <s v="Lyon"/>
    <x v="5"/>
    <n v="70.3"/>
    <x v="1"/>
    <x v="0"/>
    <x v="0"/>
    <x v="3"/>
    <x v="2"/>
    <n v="5"/>
    <n v="0"/>
    <x v="0"/>
    <x v="1"/>
    <n v="1"/>
    <x v="0"/>
    <n v="8"/>
    <x v="0"/>
    <x v="2"/>
    <x v="1"/>
    <x v="237"/>
    <x v="0"/>
    <x v="0"/>
    <x v="0"/>
    <x v="0"/>
    <x v="0"/>
    <x v="2"/>
    <s v="Standard"/>
    <n v="3"/>
  </r>
  <r>
    <x v="833"/>
    <x v="28"/>
    <x v="3"/>
    <x v="5"/>
    <x v="0"/>
    <x v="0"/>
    <x v="2"/>
    <s v="Yaguaraparo"/>
    <x v="16"/>
    <n v="70.42"/>
    <x v="7"/>
    <x v="0"/>
    <x v="0"/>
    <x v="0"/>
    <x v="2"/>
    <n v="5"/>
    <n v="1"/>
    <x v="3"/>
    <x v="0"/>
    <n v="2"/>
    <x v="1"/>
    <n v="7"/>
    <x v="2"/>
    <x v="2"/>
    <x v="4"/>
    <x v="88"/>
    <x v="2"/>
    <x v="6"/>
    <x v="1"/>
    <x v="1"/>
    <x v="0"/>
    <x v="2"/>
    <s v="Express"/>
    <n v="14"/>
  </r>
  <r>
    <x v="834"/>
    <x v="30"/>
    <x v="3"/>
    <x v="0"/>
    <x v="1"/>
    <x v="3"/>
    <x v="0"/>
    <s v="Rozhdestveno"/>
    <x v="2"/>
    <n v="71"/>
    <x v="0"/>
    <x v="0"/>
    <x v="0"/>
    <x v="2"/>
    <x v="2"/>
    <n v="5"/>
    <n v="2"/>
    <x v="3"/>
    <x v="0"/>
    <n v="2"/>
    <x v="0"/>
    <n v="9"/>
    <x v="2"/>
    <x v="0"/>
    <x v="1"/>
    <x v="326"/>
    <x v="1"/>
    <x v="2"/>
    <x v="3"/>
    <x v="1"/>
    <x v="1"/>
    <x v="0"/>
    <s v="No Preference"/>
    <n v="13"/>
  </r>
  <r>
    <x v="835"/>
    <x v="32"/>
    <x v="3"/>
    <x v="1"/>
    <x v="1"/>
    <x v="1"/>
    <x v="0"/>
    <s v="Chełmiec"/>
    <x v="9"/>
    <n v="78.709999999999994"/>
    <x v="3"/>
    <x v="0"/>
    <x v="0"/>
    <x v="0"/>
    <x v="0"/>
    <n v="3"/>
    <n v="1"/>
    <x v="0"/>
    <x v="2"/>
    <n v="1"/>
    <x v="0"/>
    <n v="10"/>
    <x v="2"/>
    <x v="0"/>
    <x v="2"/>
    <x v="278"/>
    <x v="0"/>
    <x v="5"/>
    <x v="3"/>
    <x v="0"/>
    <x v="0"/>
    <x v="1"/>
    <s v="No Preference"/>
    <n v="4"/>
  </r>
  <r>
    <x v="836"/>
    <x v="28"/>
    <x v="3"/>
    <x v="4"/>
    <x v="0"/>
    <x v="2"/>
    <x v="1"/>
    <s v="Hengdian"/>
    <x v="8"/>
    <n v="79.099999999999994"/>
    <x v="2"/>
    <x v="0"/>
    <x v="1"/>
    <x v="4"/>
    <x v="0"/>
    <n v="3"/>
    <n v="1"/>
    <x v="0"/>
    <x v="0"/>
    <n v="0"/>
    <x v="0"/>
    <n v="9"/>
    <x v="0"/>
    <x v="1"/>
    <x v="0"/>
    <x v="241"/>
    <x v="0"/>
    <x v="7"/>
    <x v="0"/>
    <x v="0"/>
    <x v="1"/>
    <x v="2"/>
    <s v="Express"/>
    <n v="4"/>
  </r>
  <r>
    <x v="837"/>
    <x v="30"/>
    <x v="3"/>
    <x v="0"/>
    <x v="1"/>
    <x v="2"/>
    <x v="1"/>
    <s v="Buzen"/>
    <x v="10"/>
    <n v="79.430000000000007"/>
    <x v="10"/>
    <x v="0"/>
    <x v="1"/>
    <x v="2"/>
    <x v="2"/>
    <n v="5"/>
    <n v="0"/>
    <x v="1"/>
    <x v="2"/>
    <n v="2"/>
    <x v="1"/>
    <n v="7"/>
    <x v="3"/>
    <x v="0"/>
    <x v="2"/>
    <x v="254"/>
    <x v="3"/>
    <x v="4"/>
    <x v="4"/>
    <x v="1"/>
    <x v="1"/>
    <x v="0"/>
    <s v="No Preference"/>
    <n v="6"/>
  </r>
  <r>
    <x v="838"/>
    <x v="27"/>
    <x v="3"/>
    <x v="0"/>
    <x v="0"/>
    <x v="3"/>
    <x v="1"/>
    <s v="Pasirhuni"/>
    <x v="11"/>
    <n v="81.91"/>
    <x v="2"/>
    <x v="0"/>
    <x v="1"/>
    <x v="3"/>
    <x v="2"/>
    <n v="4"/>
    <n v="1"/>
    <x v="1"/>
    <x v="1"/>
    <n v="0"/>
    <x v="2"/>
    <n v="4"/>
    <x v="3"/>
    <x v="2"/>
    <x v="0"/>
    <x v="145"/>
    <x v="1"/>
    <x v="10"/>
    <x v="3"/>
    <x v="1"/>
    <x v="0"/>
    <x v="2"/>
    <s v="Express"/>
    <n v="2"/>
  </r>
  <r>
    <x v="839"/>
    <x v="30"/>
    <x v="3"/>
    <x v="7"/>
    <x v="1"/>
    <x v="2"/>
    <x v="2"/>
    <s v="Bistrinci"/>
    <x v="9"/>
    <n v="83.33"/>
    <x v="7"/>
    <x v="0"/>
    <x v="1"/>
    <x v="2"/>
    <x v="2"/>
    <n v="5"/>
    <n v="1"/>
    <x v="1"/>
    <x v="1"/>
    <n v="1"/>
    <x v="1"/>
    <n v="6"/>
    <x v="2"/>
    <x v="2"/>
    <x v="0"/>
    <x v="78"/>
    <x v="3"/>
    <x v="11"/>
    <x v="1"/>
    <x v="0"/>
    <x v="0"/>
    <x v="1"/>
    <s v="Express"/>
    <n v="1"/>
  </r>
  <r>
    <x v="840"/>
    <x v="27"/>
    <x v="3"/>
    <x v="0"/>
    <x v="1"/>
    <x v="0"/>
    <x v="2"/>
    <s v="Ţahţā"/>
    <x v="2"/>
    <n v="83.88"/>
    <x v="7"/>
    <x v="0"/>
    <x v="0"/>
    <x v="0"/>
    <x v="1"/>
    <n v="2"/>
    <n v="1"/>
    <x v="1"/>
    <x v="0"/>
    <n v="0"/>
    <x v="1"/>
    <n v="6"/>
    <x v="2"/>
    <x v="2"/>
    <x v="4"/>
    <x v="104"/>
    <x v="3"/>
    <x v="11"/>
    <x v="2"/>
    <x v="0"/>
    <x v="0"/>
    <x v="1"/>
    <s v="Express"/>
    <n v="4"/>
  </r>
  <r>
    <x v="841"/>
    <x v="29"/>
    <x v="3"/>
    <x v="1"/>
    <x v="1"/>
    <x v="1"/>
    <x v="1"/>
    <s v="La Mohammedia"/>
    <x v="11"/>
    <n v="85.61"/>
    <x v="5"/>
    <x v="0"/>
    <x v="0"/>
    <x v="0"/>
    <x v="1"/>
    <n v="2"/>
    <n v="1"/>
    <x v="3"/>
    <x v="0"/>
    <n v="1"/>
    <x v="2"/>
    <n v="3"/>
    <x v="2"/>
    <x v="2"/>
    <x v="4"/>
    <x v="175"/>
    <x v="2"/>
    <x v="6"/>
    <x v="5"/>
    <x v="0"/>
    <x v="0"/>
    <x v="2"/>
    <s v="Standard"/>
    <n v="5"/>
  </r>
  <r>
    <x v="842"/>
    <x v="31"/>
    <x v="3"/>
    <x v="3"/>
    <x v="1"/>
    <x v="1"/>
    <x v="1"/>
    <s v="Dostoyevka"/>
    <x v="7"/>
    <n v="91.24"/>
    <x v="9"/>
    <x v="0"/>
    <x v="1"/>
    <x v="0"/>
    <x v="0"/>
    <n v="3"/>
    <n v="0"/>
    <x v="3"/>
    <x v="2"/>
    <n v="0"/>
    <x v="2"/>
    <n v="4"/>
    <x v="2"/>
    <x v="1"/>
    <x v="1"/>
    <x v="332"/>
    <x v="2"/>
    <x v="6"/>
    <x v="4"/>
    <x v="0"/>
    <x v="1"/>
    <x v="0"/>
    <s v="Standard"/>
    <n v="4"/>
  </r>
  <r>
    <x v="843"/>
    <x v="30"/>
    <x v="3"/>
    <x v="0"/>
    <x v="1"/>
    <x v="2"/>
    <x v="2"/>
    <s v="Jixian"/>
    <x v="15"/>
    <n v="96.18"/>
    <x v="10"/>
    <x v="0"/>
    <x v="2"/>
    <x v="3"/>
    <x v="2"/>
    <n v="4"/>
    <n v="0"/>
    <x v="0"/>
    <x v="2"/>
    <n v="1"/>
    <x v="0"/>
    <n v="9"/>
    <x v="0"/>
    <x v="0"/>
    <x v="1"/>
    <x v="241"/>
    <x v="0"/>
    <x v="7"/>
    <x v="0"/>
    <x v="1"/>
    <x v="1"/>
    <x v="1"/>
    <s v="Express"/>
    <n v="10"/>
  </r>
  <r>
    <x v="844"/>
    <x v="27"/>
    <x v="3"/>
    <x v="1"/>
    <x v="1"/>
    <x v="1"/>
    <x v="2"/>
    <s v="Panyam"/>
    <x v="12"/>
    <n v="96.68"/>
    <x v="2"/>
    <x v="0"/>
    <x v="2"/>
    <x v="4"/>
    <x v="1"/>
    <n v="2"/>
    <n v="2"/>
    <x v="3"/>
    <x v="2"/>
    <n v="2"/>
    <x v="2"/>
    <n v="3"/>
    <x v="3"/>
    <x v="0"/>
    <x v="3"/>
    <x v="181"/>
    <x v="0"/>
    <x v="5"/>
    <x v="2"/>
    <x v="0"/>
    <x v="1"/>
    <x v="1"/>
    <s v="No Preference"/>
    <n v="10"/>
  </r>
  <r>
    <x v="845"/>
    <x v="27"/>
    <x v="3"/>
    <x v="0"/>
    <x v="0"/>
    <x v="1"/>
    <x v="0"/>
    <s v="Harembo"/>
    <x v="17"/>
    <n v="97.97"/>
    <x v="5"/>
    <x v="0"/>
    <x v="1"/>
    <x v="4"/>
    <x v="2"/>
    <n v="5"/>
    <n v="1"/>
    <x v="2"/>
    <x v="2"/>
    <n v="0"/>
    <x v="0"/>
    <n v="10"/>
    <x v="3"/>
    <x v="2"/>
    <x v="3"/>
    <x v="185"/>
    <x v="2"/>
    <x v="6"/>
    <x v="6"/>
    <x v="0"/>
    <x v="1"/>
    <x v="1"/>
    <s v="No Preference"/>
    <n v="1"/>
  </r>
  <r>
    <x v="846"/>
    <x v="27"/>
    <x v="3"/>
    <x v="1"/>
    <x v="0"/>
    <x v="3"/>
    <x v="0"/>
    <s v="Kuala Lumpur"/>
    <x v="9"/>
    <n v="98.02"/>
    <x v="3"/>
    <x v="0"/>
    <x v="1"/>
    <x v="3"/>
    <x v="0"/>
    <n v="3"/>
    <n v="1"/>
    <x v="2"/>
    <x v="0"/>
    <n v="0"/>
    <x v="2"/>
    <n v="3"/>
    <x v="1"/>
    <x v="2"/>
    <x v="0"/>
    <x v="173"/>
    <x v="1"/>
    <x v="2"/>
    <x v="0"/>
    <x v="0"/>
    <x v="1"/>
    <x v="1"/>
    <s v="No Preference"/>
    <n v="10"/>
  </r>
  <r>
    <x v="847"/>
    <x v="27"/>
    <x v="3"/>
    <x v="1"/>
    <x v="1"/>
    <x v="3"/>
    <x v="0"/>
    <s v="Chengguan"/>
    <x v="7"/>
    <n v="101.7"/>
    <x v="4"/>
    <x v="0"/>
    <x v="0"/>
    <x v="3"/>
    <x v="2"/>
    <n v="4"/>
    <n v="2"/>
    <x v="1"/>
    <x v="0"/>
    <n v="2"/>
    <x v="2"/>
    <n v="2"/>
    <x v="3"/>
    <x v="1"/>
    <x v="0"/>
    <x v="2"/>
    <x v="1"/>
    <x v="2"/>
    <x v="1"/>
    <x v="1"/>
    <x v="0"/>
    <x v="0"/>
    <s v="Standard"/>
    <n v="4"/>
  </r>
  <r>
    <x v="848"/>
    <x v="28"/>
    <x v="3"/>
    <x v="1"/>
    <x v="0"/>
    <x v="0"/>
    <x v="0"/>
    <s v="Pukekohe East"/>
    <x v="16"/>
    <n v="102.96"/>
    <x v="10"/>
    <x v="0"/>
    <x v="2"/>
    <x v="2"/>
    <x v="1"/>
    <n v="1"/>
    <n v="1"/>
    <x v="2"/>
    <x v="1"/>
    <n v="0"/>
    <x v="1"/>
    <n v="7"/>
    <x v="2"/>
    <x v="2"/>
    <x v="2"/>
    <x v="257"/>
    <x v="3"/>
    <x v="9"/>
    <x v="6"/>
    <x v="1"/>
    <x v="0"/>
    <x v="0"/>
    <s v="Standard"/>
    <n v="4"/>
  </r>
  <r>
    <x v="849"/>
    <x v="29"/>
    <x v="3"/>
    <x v="1"/>
    <x v="1"/>
    <x v="0"/>
    <x v="1"/>
    <s v="Mount Ayliff"/>
    <x v="13"/>
    <n v="105.29"/>
    <x v="4"/>
    <x v="0"/>
    <x v="1"/>
    <x v="1"/>
    <x v="2"/>
    <n v="5"/>
    <n v="0"/>
    <x v="2"/>
    <x v="1"/>
    <n v="0"/>
    <x v="2"/>
    <n v="1"/>
    <x v="1"/>
    <x v="2"/>
    <x v="1"/>
    <x v="171"/>
    <x v="3"/>
    <x v="9"/>
    <x v="3"/>
    <x v="1"/>
    <x v="0"/>
    <x v="2"/>
    <s v="Express"/>
    <n v="4"/>
  </r>
  <r>
    <x v="850"/>
    <x v="32"/>
    <x v="3"/>
    <x v="0"/>
    <x v="0"/>
    <x v="3"/>
    <x v="0"/>
    <s v="Mount Darwin"/>
    <x v="8"/>
    <n v="109.97"/>
    <x v="8"/>
    <x v="0"/>
    <x v="1"/>
    <x v="0"/>
    <x v="2"/>
    <n v="4"/>
    <n v="1"/>
    <x v="0"/>
    <x v="1"/>
    <n v="1"/>
    <x v="1"/>
    <n v="5"/>
    <x v="3"/>
    <x v="1"/>
    <x v="3"/>
    <x v="5"/>
    <x v="1"/>
    <x v="1"/>
    <x v="4"/>
    <x v="0"/>
    <x v="1"/>
    <x v="0"/>
    <s v="No Preference"/>
    <n v="1"/>
  </r>
  <r>
    <x v="851"/>
    <x v="31"/>
    <x v="3"/>
    <x v="1"/>
    <x v="0"/>
    <x v="0"/>
    <x v="1"/>
    <s v="Peer"/>
    <x v="2"/>
    <n v="112.69"/>
    <x v="2"/>
    <x v="0"/>
    <x v="1"/>
    <x v="2"/>
    <x v="2"/>
    <n v="4"/>
    <n v="0"/>
    <x v="3"/>
    <x v="0"/>
    <n v="0"/>
    <x v="1"/>
    <n v="7"/>
    <x v="0"/>
    <x v="0"/>
    <x v="0"/>
    <x v="72"/>
    <x v="1"/>
    <x v="1"/>
    <x v="1"/>
    <x v="1"/>
    <x v="0"/>
    <x v="2"/>
    <s v="Standard"/>
    <n v="1"/>
  </r>
  <r>
    <x v="852"/>
    <x v="30"/>
    <x v="3"/>
    <x v="1"/>
    <x v="1"/>
    <x v="0"/>
    <x v="0"/>
    <s v="Pameungpeuk"/>
    <x v="4"/>
    <n v="113.88"/>
    <x v="5"/>
    <x v="0"/>
    <x v="0"/>
    <x v="4"/>
    <x v="1"/>
    <n v="2"/>
    <n v="2"/>
    <x v="1"/>
    <x v="0"/>
    <n v="2"/>
    <x v="2"/>
    <n v="4"/>
    <x v="1"/>
    <x v="1"/>
    <x v="2"/>
    <x v="323"/>
    <x v="0"/>
    <x v="0"/>
    <x v="5"/>
    <x v="1"/>
    <x v="1"/>
    <x v="0"/>
    <s v="Express"/>
    <n v="9"/>
  </r>
  <r>
    <x v="853"/>
    <x v="27"/>
    <x v="3"/>
    <x v="5"/>
    <x v="0"/>
    <x v="0"/>
    <x v="2"/>
    <s v="Zhukovo"/>
    <x v="11"/>
    <n v="123.73"/>
    <x v="6"/>
    <x v="0"/>
    <x v="0"/>
    <x v="2"/>
    <x v="2"/>
    <n v="4"/>
    <n v="0"/>
    <x v="3"/>
    <x v="0"/>
    <n v="2"/>
    <x v="1"/>
    <n v="5"/>
    <x v="1"/>
    <x v="0"/>
    <x v="3"/>
    <x v="136"/>
    <x v="2"/>
    <x v="6"/>
    <x v="4"/>
    <x v="1"/>
    <x v="0"/>
    <x v="2"/>
    <s v="No Preference"/>
    <n v="10"/>
  </r>
  <r>
    <x v="854"/>
    <x v="32"/>
    <x v="3"/>
    <x v="0"/>
    <x v="0"/>
    <x v="3"/>
    <x v="1"/>
    <s v="Pancas"/>
    <x v="10"/>
    <n v="124.17"/>
    <x v="0"/>
    <x v="0"/>
    <x v="2"/>
    <x v="4"/>
    <x v="1"/>
    <n v="2"/>
    <n v="2"/>
    <x v="3"/>
    <x v="1"/>
    <n v="2"/>
    <x v="2"/>
    <n v="4"/>
    <x v="1"/>
    <x v="0"/>
    <x v="0"/>
    <x v="3"/>
    <x v="2"/>
    <x v="3"/>
    <x v="2"/>
    <x v="0"/>
    <x v="0"/>
    <x v="1"/>
    <s v="Standard"/>
    <n v="6"/>
  </r>
  <r>
    <x v="855"/>
    <x v="32"/>
    <x v="3"/>
    <x v="0"/>
    <x v="1"/>
    <x v="1"/>
    <x v="1"/>
    <s v="Huangtang"/>
    <x v="7"/>
    <n v="125.8"/>
    <x v="0"/>
    <x v="0"/>
    <x v="1"/>
    <x v="0"/>
    <x v="2"/>
    <n v="4"/>
    <n v="2"/>
    <x v="0"/>
    <x v="2"/>
    <n v="0"/>
    <x v="0"/>
    <n v="8"/>
    <x v="1"/>
    <x v="2"/>
    <x v="2"/>
    <x v="333"/>
    <x v="0"/>
    <x v="7"/>
    <x v="2"/>
    <x v="1"/>
    <x v="0"/>
    <x v="1"/>
    <s v="No Preference"/>
    <n v="1"/>
  </r>
  <r>
    <x v="856"/>
    <x v="32"/>
    <x v="3"/>
    <x v="0"/>
    <x v="0"/>
    <x v="3"/>
    <x v="0"/>
    <s v="Gromadka"/>
    <x v="0"/>
    <n v="125.89"/>
    <x v="4"/>
    <x v="0"/>
    <x v="1"/>
    <x v="3"/>
    <x v="0"/>
    <n v="3"/>
    <n v="2"/>
    <x v="2"/>
    <x v="0"/>
    <n v="1"/>
    <x v="1"/>
    <n v="6"/>
    <x v="0"/>
    <x v="2"/>
    <x v="0"/>
    <x v="252"/>
    <x v="2"/>
    <x v="3"/>
    <x v="5"/>
    <x v="1"/>
    <x v="1"/>
    <x v="0"/>
    <s v="No Preference"/>
    <n v="13"/>
  </r>
  <r>
    <x v="857"/>
    <x v="31"/>
    <x v="3"/>
    <x v="0"/>
    <x v="0"/>
    <x v="2"/>
    <x v="2"/>
    <s v="Yeniköy"/>
    <x v="6"/>
    <n v="129.1"/>
    <x v="0"/>
    <x v="0"/>
    <x v="2"/>
    <x v="4"/>
    <x v="0"/>
    <n v="3"/>
    <n v="2"/>
    <x v="2"/>
    <x v="0"/>
    <n v="0"/>
    <x v="0"/>
    <n v="8"/>
    <x v="1"/>
    <x v="2"/>
    <x v="3"/>
    <x v="272"/>
    <x v="0"/>
    <x v="5"/>
    <x v="4"/>
    <x v="0"/>
    <x v="1"/>
    <x v="1"/>
    <s v="No Preference"/>
    <n v="7"/>
  </r>
  <r>
    <x v="858"/>
    <x v="28"/>
    <x v="3"/>
    <x v="1"/>
    <x v="0"/>
    <x v="1"/>
    <x v="2"/>
    <s v="Soroti"/>
    <x v="6"/>
    <n v="132.66999999999999"/>
    <x v="4"/>
    <x v="0"/>
    <x v="1"/>
    <x v="1"/>
    <x v="2"/>
    <n v="5"/>
    <n v="1"/>
    <x v="2"/>
    <x v="1"/>
    <n v="2"/>
    <x v="2"/>
    <n v="3"/>
    <x v="2"/>
    <x v="0"/>
    <x v="4"/>
    <x v="131"/>
    <x v="3"/>
    <x v="9"/>
    <x v="3"/>
    <x v="0"/>
    <x v="1"/>
    <x v="3"/>
    <s v="Express"/>
    <n v="1"/>
  </r>
  <r>
    <x v="859"/>
    <x v="31"/>
    <x v="3"/>
    <x v="4"/>
    <x v="1"/>
    <x v="2"/>
    <x v="0"/>
    <s v="Rakhiv"/>
    <x v="8"/>
    <n v="133.04"/>
    <x v="0"/>
    <x v="0"/>
    <x v="0"/>
    <x v="2"/>
    <x v="0"/>
    <n v="3"/>
    <n v="2"/>
    <x v="3"/>
    <x v="0"/>
    <n v="2"/>
    <x v="1"/>
    <n v="6"/>
    <x v="3"/>
    <x v="2"/>
    <x v="1"/>
    <x v="59"/>
    <x v="1"/>
    <x v="10"/>
    <x v="0"/>
    <x v="0"/>
    <x v="0"/>
    <x v="3"/>
    <s v="Standard"/>
    <n v="11"/>
  </r>
  <r>
    <x v="860"/>
    <x v="27"/>
    <x v="3"/>
    <x v="0"/>
    <x v="1"/>
    <x v="0"/>
    <x v="0"/>
    <s v="Glendale"/>
    <x v="16"/>
    <n v="135.80000000000001"/>
    <x v="5"/>
    <x v="0"/>
    <x v="1"/>
    <x v="1"/>
    <x v="2"/>
    <n v="5"/>
    <n v="1"/>
    <x v="2"/>
    <x v="2"/>
    <n v="1"/>
    <x v="2"/>
    <n v="2"/>
    <x v="1"/>
    <x v="2"/>
    <x v="0"/>
    <x v="3"/>
    <x v="2"/>
    <x v="3"/>
    <x v="2"/>
    <x v="1"/>
    <x v="0"/>
    <x v="1"/>
    <s v="No Preference"/>
    <n v="9"/>
  </r>
  <r>
    <x v="861"/>
    <x v="31"/>
    <x v="3"/>
    <x v="1"/>
    <x v="0"/>
    <x v="2"/>
    <x v="0"/>
    <s v="Lianghu"/>
    <x v="14"/>
    <n v="138.44"/>
    <x v="8"/>
    <x v="0"/>
    <x v="2"/>
    <x v="4"/>
    <x v="1"/>
    <n v="1"/>
    <n v="1"/>
    <x v="0"/>
    <x v="1"/>
    <n v="1"/>
    <x v="2"/>
    <n v="2"/>
    <x v="3"/>
    <x v="0"/>
    <x v="1"/>
    <x v="192"/>
    <x v="3"/>
    <x v="11"/>
    <x v="6"/>
    <x v="1"/>
    <x v="0"/>
    <x v="0"/>
    <s v="Express"/>
    <n v="1"/>
  </r>
  <r>
    <x v="862"/>
    <x v="27"/>
    <x v="3"/>
    <x v="1"/>
    <x v="1"/>
    <x v="2"/>
    <x v="0"/>
    <s v="Xinquan"/>
    <x v="0"/>
    <n v="142.02000000000001"/>
    <x v="4"/>
    <x v="0"/>
    <x v="1"/>
    <x v="2"/>
    <x v="2"/>
    <n v="5"/>
    <n v="0"/>
    <x v="2"/>
    <x v="1"/>
    <n v="1"/>
    <x v="0"/>
    <n v="9"/>
    <x v="0"/>
    <x v="2"/>
    <x v="1"/>
    <x v="45"/>
    <x v="1"/>
    <x v="10"/>
    <x v="1"/>
    <x v="0"/>
    <x v="1"/>
    <x v="3"/>
    <s v="Standard"/>
    <n v="3"/>
  </r>
  <r>
    <x v="863"/>
    <x v="27"/>
    <x v="3"/>
    <x v="1"/>
    <x v="1"/>
    <x v="3"/>
    <x v="1"/>
    <s v="Liutan"/>
    <x v="1"/>
    <n v="143.52000000000001"/>
    <x v="6"/>
    <x v="0"/>
    <x v="1"/>
    <x v="1"/>
    <x v="2"/>
    <n v="5"/>
    <n v="1"/>
    <x v="1"/>
    <x v="2"/>
    <n v="2"/>
    <x v="2"/>
    <n v="3"/>
    <x v="3"/>
    <x v="1"/>
    <x v="3"/>
    <x v="9"/>
    <x v="0"/>
    <x v="5"/>
    <x v="6"/>
    <x v="0"/>
    <x v="1"/>
    <x v="3"/>
    <s v="Express"/>
    <n v="12"/>
  </r>
  <r>
    <x v="864"/>
    <x v="32"/>
    <x v="3"/>
    <x v="1"/>
    <x v="1"/>
    <x v="3"/>
    <x v="2"/>
    <s v="Torsby"/>
    <x v="5"/>
    <n v="145.02000000000001"/>
    <x v="4"/>
    <x v="0"/>
    <x v="1"/>
    <x v="3"/>
    <x v="1"/>
    <n v="2"/>
    <n v="0"/>
    <x v="3"/>
    <x v="1"/>
    <n v="1"/>
    <x v="2"/>
    <n v="1"/>
    <x v="0"/>
    <x v="2"/>
    <x v="3"/>
    <x v="155"/>
    <x v="1"/>
    <x v="2"/>
    <x v="0"/>
    <x v="0"/>
    <x v="0"/>
    <x v="0"/>
    <s v="Express"/>
    <n v="9"/>
  </r>
  <r>
    <x v="865"/>
    <x v="31"/>
    <x v="3"/>
    <x v="0"/>
    <x v="1"/>
    <x v="0"/>
    <x v="2"/>
    <s v="La Unión"/>
    <x v="5"/>
    <n v="146.07"/>
    <x v="4"/>
    <x v="0"/>
    <x v="1"/>
    <x v="0"/>
    <x v="1"/>
    <n v="2"/>
    <n v="1"/>
    <x v="2"/>
    <x v="1"/>
    <n v="1"/>
    <x v="1"/>
    <n v="6"/>
    <x v="3"/>
    <x v="1"/>
    <x v="3"/>
    <x v="59"/>
    <x v="1"/>
    <x v="10"/>
    <x v="0"/>
    <x v="0"/>
    <x v="0"/>
    <x v="2"/>
    <s v="Standard"/>
    <n v="1"/>
  </r>
  <r>
    <x v="866"/>
    <x v="31"/>
    <x v="3"/>
    <x v="0"/>
    <x v="0"/>
    <x v="0"/>
    <x v="1"/>
    <s v="Jianmin"/>
    <x v="2"/>
    <n v="152.87"/>
    <x v="10"/>
    <x v="0"/>
    <x v="1"/>
    <x v="2"/>
    <x v="2"/>
    <n v="5"/>
    <n v="2"/>
    <x v="3"/>
    <x v="1"/>
    <n v="1"/>
    <x v="0"/>
    <n v="8"/>
    <x v="3"/>
    <x v="1"/>
    <x v="0"/>
    <x v="8"/>
    <x v="1"/>
    <x v="1"/>
    <x v="1"/>
    <x v="1"/>
    <x v="1"/>
    <x v="3"/>
    <s v="Express"/>
    <n v="11"/>
  </r>
  <r>
    <x v="867"/>
    <x v="32"/>
    <x v="3"/>
    <x v="0"/>
    <x v="0"/>
    <x v="1"/>
    <x v="2"/>
    <s v="Pindiga"/>
    <x v="5"/>
    <n v="158.84"/>
    <x v="1"/>
    <x v="0"/>
    <x v="0"/>
    <x v="1"/>
    <x v="1"/>
    <n v="1"/>
    <n v="1"/>
    <x v="0"/>
    <x v="0"/>
    <n v="1"/>
    <x v="0"/>
    <n v="8"/>
    <x v="2"/>
    <x v="2"/>
    <x v="1"/>
    <x v="242"/>
    <x v="1"/>
    <x v="10"/>
    <x v="5"/>
    <x v="0"/>
    <x v="0"/>
    <x v="2"/>
    <s v="Express"/>
    <n v="5"/>
  </r>
  <r>
    <x v="868"/>
    <x v="30"/>
    <x v="3"/>
    <x v="1"/>
    <x v="0"/>
    <x v="1"/>
    <x v="2"/>
    <s v="São Cristóvão"/>
    <x v="9"/>
    <n v="159.44999999999999"/>
    <x v="5"/>
    <x v="0"/>
    <x v="0"/>
    <x v="3"/>
    <x v="1"/>
    <n v="2"/>
    <n v="2"/>
    <x v="1"/>
    <x v="1"/>
    <n v="0"/>
    <x v="1"/>
    <n v="5"/>
    <x v="3"/>
    <x v="0"/>
    <x v="0"/>
    <x v="305"/>
    <x v="1"/>
    <x v="2"/>
    <x v="5"/>
    <x v="0"/>
    <x v="1"/>
    <x v="3"/>
    <s v="Standard"/>
    <n v="14"/>
  </r>
  <r>
    <x v="869"/>
    <x v="31"/>
    <x v="3"/>
    <x v="0"/>
    <x v="0"/>
    <x v="1"/>
    <x v="1"/>
    <s v="El Caño"/>
    <x v="3"/>
    <n v="161.34"/>
    <x v="10"/>
    <x v="0"/>
    <x v="2"/>
    <x v="1"/>
    <x v="0"/>
    <n v="3"/>
    <n v="2"/>
    <x v="3"/>
    <x v="1"/>
    <n v="1"/>
    <x v="0"/>
    <n v="8"/>
    <x v="0"/>
    <x v="1"/>
    <x v="3"/>
    <x v="191"/>
    <x v="2"/>
    <x v="8"/>
    <x v="2"/>
    <x v="0"/>
    <x v="1"/>
    <x v="3"/>
    <s v="No Preference"/>
    <n v="4"/>
  </r>
  <r>
    <x v="870"/>
    <x v="28"/>
    <x v="3"/>
    <x v="1"/>
    <x v="1"/>
    <x v="1"/>
    <x v="1"/>
    <s v="Shanghu"/>
    <x v="13"/>
    <n v="161.38"/>
    <x v="7"/>
    <x v="0"/>
    <x v="2"/>
    <x v="4"/>
    <x v="0"/>
    <n v="3"/>
    <n v="0"/>
    <x v="0"/>
    <x v="1"/>
    <n v="1"/>
    <x v="0"/>
    <n v="10"/>
    <x v="1"/>
    <x v="1"/>
    <x v="0"/>
    <x v="8"/>
    <x v="1"/>
    <x v="1"/>
    <x v="1"/>
    <x v="0"/>
    <x v="0"/>
    <x v="3"/>
    <s v="Standard"/>
    <n v="10"/>
  </r>
  <r>
    <x v="871"/>
    <x v="32"/>
    <x v="3"/>
    <x v="1"/>
    <x v="1"/>
    <x v="2"/>
    <x v="2"/>
    <s v="Marseille"/>
    <x v="5"/>
    <n v="163.13999999999999"/>
    <x v="3"/>
    <x v="0"/>
    <x v="2"/>
    <x v="4"/>
    <x v="2"/>
    <n v="4"/>
    <n v="0"/>
    <x v="2"/>
    <x v="2"/>
    <n v="1"/>
    <x v="2"/>
    <n v="2"/>
    <x v="3"/>
    <x v="2"/>
    <x v="0"/>
    <x v="273"/>
    <x v="1"/>
    <x v="1"/>
    <x v="3"/>
    <x v="0"/>
    <x v="0"/>
    <x v="1"/>
    <s v="No Preference"/>
    <n v="1"/>
  </r>
  <r>
    <x v="872"/>
    <x v="31"/>
    <x v="3"/>
    <x v="0"/>
    <x v="1"/>
    <x v="1"/>
    <x v="2"/>
    <s v="Semenivka"/>
    <x v="5"/>
    <n v="163.4"/>
    <x v="10"/>
    <x v="0"/>
    <x v="1"/>
    <x v="3"/>
    <x v="2"/>
    <n v="5"/>
    <n v="1"/>
    <x v="3"/>
    <x v="2"/>
    <n v="2"/>
    <x v="0"/>
    <n v="10"/>
    <x v="1"/>
    <x v="2"/>
    <x v="1"/>
    <x v="214"/>
    <x v="1"/>
    <x v="10"/>
    <x v="4"/>
    <x v="0"/>
    <x v="1"/>
    <x v="1"/>
    <s v="Standard"/>
    <n v="7"/>
  </r>
  <r>
    <x v="873"/>
    <x v="30"/>
    <x v="3"/>
    <x v="1"/>
    <x v="1"/>
    <x v="1"/>
    <x v="2"/>
    <s v="Mrągowo"/>
    <x v="10"/>
    <n v="163.41"/>
    <x v="5"/>
    <x v="0"/>
    <x v="1"/>
    <x v="4"/>
    <x v="2"/>
    <n v="5"/>
    <n v="2"/>
    <x v="2"/>
    <x v="0"/>
    <n v="1"/>
    <x v="0"/>
    <n v="8"/>
    <x v="1"/>
    <x v="2"/>
    <x v="4"/>
    <x v="317"/>
    <x v="3"/>
    <x v="11"/>
    <x v="0"/>
    <x v="0"/>
    <x v="0"/>
    <x v="2"/>
    <s v="Express"/>
    <n v="4"/>
  </r>
  <r>
    <x v="874"/>
    <x v="29"/>
    <x v="3"/>
    <x v="0"/>
    <x v="0"/>
    <x v="1"/>
    <x v="2"/>
    <s v="Lomintsevskiy"/>
    <x v="16"/>
    <n v="164.44"/>
    <x v="3"/>
    <x v="0"/>
    <x v="1"/>
    <x v="4"/>
    <x v="1"/>
    <n v="1"/>
    <n v="2"/>
    <x v="2"/>
    <x v="2"/>
    <n v="1"/>
    <x v="0"/>
    <n v="10"/>
    <x v="1"/>
    <x v="0"/>
    <x v="4"/>
    <x v="76"/>
    <x v="0"/>
    <x v="5"/>
    <x v="4"/>
    <x v="1"/>
    <x v="1"/>
    <x v="3"/>
    <s v="No Preference"/>
    <n v="5"/>
  </r>
  <r>
    <x v="875"/>
    <x v="29"/>
    <x v="3"/>
    <x v="0"/>
    <x v="0"/>
    <x v="1"/>
    <x v="2"/>
    <s v="Florida"/>
    <x v="12"/>
    <n v="164.79"/>
    <x v="8"/>
    <x v="0"/>
    <x v="1"/>
    <x v="3"/>
    <x v="1"/>
    <n v="2"/>
    <n v="0"/>
    <x v="0"/>
    <x v="2"/>
    <n v="2"/>
    <x v="1"/>
    <n v="5"/>
    <x v="1"/>
    <x v="1"/>
    <x v="3"/>
    <x v="130"/>
    <x v="0"/>
    <x v="7"/>
    <x v="6"/>
    <x v="0"/>
    <x v="0"/>
    <x v="3"/>
    <s v="No Preference"/>
    <n v="1"/>
  </r>
  <r>
    <x v="876"/>
    <x v="27"/>
    <x v="3"/>
    <x v="3"/>
    <x v="0"/>
    <x v="2"/>
    <x v="1"/>
    <s v="Autun"/>
    <x v="1"/>
    <n v="165.01"/>
    <x v="2"/>
    <x v="0"/>
    <x v="2"/>
    <x v="2"/>
    <x v="1"/>
    <n v="2"/>
    <n v="1"/>
    <x v="1"/>
    <x v="2"/>
    <n v="1"/>
    <x v="1"/>
    <n v="5"/>
    <x v="0"/>
    <x v="2"/>
    <x v="2"/>
    <x v="187"/>
    <x v="0"/>
    <x v="5"/>
    <x v="3"/>
    <x v="0"/>
    <x v="1"/>
    <x v="3"/>
    <s v="No Preference"/>
    <n v="10"/>
  </r>
  <r>
    <x v="877"/>
    <x v="27"/>
    <x v="3"/>
    <x v="0"/>
    <x v="0"/>
    <x v="2"/>
    <x v="0"/>
    <s v="Huambo"/>
    <x v="19"/>
    <n v="166.45"/>
    <x v="4"/>
    <x v="0"/>
    <x v="2"/>
    <x v="4"/>
    <x v="1"/>
    <n v="2"/>
    <n v="2"/>
    <x v="2"/>
    <x v="1"/>
    <n v="2"/>
    <x v="2"/>
    <n v="1"/>
    <x v="1"/>
    <x v="0"/>
    <x v="1"/>
    <x v="319"/>
    <x v="1"/>
    <x v="1"/>
    <x v="1"/>
    <x v="0"/>
    <x v="1"/>
    <x v="1"/>
    <s v="Express"/>
    <n v="12"/>
  </r>
  <r>
    <x v="878"/>
    <x v="32"/>
    <x v="3"/>
    <x v="0"/>
    <x v="0"/>
    <x v="2"/>
    <x v="1"/>
    <s v="Vinkkilä"/>
    <x v="10"/>
    <n v="169.77"/>
    <x v="3"/>
    <x v="0"/>
    <x v="1"/>
    <x v="2"/>
    <x v="2"/>
    <n v="4"/>
    <n v="0"/>
    <x v="1"/>
    <x v="1"/>
    <n v="2"/>
    <x v="0"/>
    <n v="9"/>
    <x v="3"/>
    <x v="2"/>
    <x v="4"/>
    <x v="200"/>
    <x v="1"/>
    <x v="2"/>
    <x v="2"/>
    <x v="0"/>
    <x v="0"/>
    <x v="0"/>
    <s v="Standard"/>
    <n v="7"/>
  </r>
  <r>
    <x v="879"/>
    <x v="30"/>
    <x v="3"/>
    <x v="1"/>
    <x v="0"/>
    <x v="3"/>
    <x v="1"/>
    <s v="Payapa"/>
    <x v="11"/>
    <n v="170.77"/>
    <x v="6"/>
    <x v="0"/>
    <x v="0"/>
    <x v="4"/>
    <x v="1"/>
    <n v="2"/>
    <n v="1"/>
    <x v="1"/>
    <x v="2"/>
    <n v="2"/>
    <x v="2"/>
    <n v="1"/>
    <x v="2"/>
    <x v="0"/>
    <x v="3"/>
    <x v="22"/>
    <x v="1"/>
    <x v="1"/>
    <x v="0"/>
    <x v="1"/>
    <x v="1"/>
    <x v="3"/>
    <s v="No Preference"/>
    <n v="4"/>
  </r>
  <r>
    <x v="880"/>
    <x v="32"/>
    <x v="3"/>
    <x v="1"/>
    <x v="0"/>
    <x v="2"/>
    <x v="2"/>
    <s v="Amsterdam Nieuw West"/>
    <x v="8"/>
    <n v="179.19"/>
    <x v="2"/>
    <x v="0"/>
    <x v="1"/>
    <x v="3"/>
    <x v="1"/>
    <n v="1"/>
    <n v="1"/>
    <x v="2"/>
    <x v="0"/>
    <n v="2"/>
    <x v="1"/>
    <n v="7"/>
    <x v="3"/>
    <x v="1"/>
    <x v="2"/>
    <x v="255"/>
    <x v="0"/>
    <x v="0"/>
    <x v="6"/>
    <x v="1"/>
    <x v="1"/>
    <x v="3"/>
    <s v="Express"/>
    <n v="12"/>
  </r>
  <r>
    <x v="881"/>
    <x v="27"/>
    <x v="3"/>
    <x v="1"/>
    <x v="1"/>
    <x v="3"/>
    <x v="1"/>
    <s v="Hekou"/>
    <x v="19"/>
    <n v="180.21"/>
    <x v="5"/>
    <x v="0"/>
    <x v="2"/>
    <x v="4"/>
    <x v="2"/>
    <n v="5"/>
    <n v="0"/>
    <x v="0"/>
    <x v="1"/>
    <n v="1"/>
    <x v="2"/>
    <n v="1"/>
    <x v="0"/>
    <x v="2"/>
    <x v="1"/>
    <x v="193"/>
    <x v="3"/>
    <x v="4"/>
    <x v="4"/>
    <x v="1"/>
    <x v="0"/>
    <x v="2"/>
    <s v="Express"/>
    <n v="14"/>
  </r>
  <r>
    <x v="882"/>
    <x v="32"/>
    <x v="3"/>
    <x v="0"/>
    <x v="1"/>
    <x v="3"/>
    <x v="2"/>
    <s v="Moju"/>
    <x v="8"/>
    <n v="190.25"/>
    <x v="1"/>
    <x v="0"/>
    <x v="2"/>
    <x v="0"/>
    <x v="1"/>
    <n v="2"/>
    <n v="2"/>
    <x v="0"/>
    <x v="1"/>
    <n v="2"/>
    <x v="0"/>
    <n v="9"/>
    <x v="3"/>
    <x v="1"/>
    <x v="2"/>
    <x v="50"/>
    <x v="1"/>
    <x v="2"/>
    <x v="4"/>
    <x v="1"/>
    <x v="1"/>
    <x v="1"/>
    <s v="Express"/>
    <n v="13"/>
  </r>
  <r>
    <x v="883"/>
    <x v="31"/>
    <x v="3"/>
    <x v="0"/>
    <x v="0"/>
    <x v="1"/>
    <x v="0"/>
    <s v="Sancha"/>
    <x v="2"/>
    <n v="192.35"/>
    <x v="7"/>
    <x v="0"/>
    <x v="2"/>
    <x v="3"/>
    <x v="2"/>
    <n v="5"/>
    <n v="2"/>
    <x v="3"/>
    <x v="0"/>
    <n v="2"/>
    <x v="2"/>
    <n v="1"/>
    <x v="1"/>
    <x v="0"/>
    <x v="3"/>
    <x v="280"/>
    <x v="0"/>
    <x v="7"/>
    <x v="3"/>
    <x v="0"/>
    <x v="1"/>
    <x v="3"/>
    <s v="Express"/>
    <n v="11"/>
  </r>
  <r>
    <x v="884"/>
    <x v="32"/>
    <x v="3"/>
    <x v="0"/>
    <x v="1"/>
    <x v="1"/>
    <x v="1"/>
    <s v="Lazarevac"/>
    <x v="18"/>
    <n v="192.51"/>
    <x v="6"/>
    <x v="0"/>
    <x v="2"/>
    <x v="1"/>
    <x v="2"/>
    <n v="5"/>
    <n v="2"/>
    <x v="1"/>
    <x v="1"/>
    <n v="0"/>
    <x v="2"/>
    <n v="2"/>
    <x v="0"/>
    <x v="0"/>
    <x v="3"/>
    <x v="90"/>
    <x v="1"/>
    <x v="1"/>
    <x v="5"/>
    <x v="0"/>
    <x v="1"/>
    <x v="2"/>
    <s v="Standard"/>
    <n v="9"/>
  </r>
  <r>
    <x v="885"/>
    <x v="29"/>
    <x v="3"/>
    <x v="0"/>
    <x v="0"/>
    <x v="0"/>
    <x v="2"/>
    <s v="Ostashkov"/>
    <x v="8"/>
    <n v="197.12"/>
    <x v="2"/>
    <x v="0"/>
    <x v="1"/>
    <x v="0"/>
    <x v="2"/>
    <n v="4"/>
    <n v="0"/>
    <x v="2"/>
    <x v="2"/>
    <n v="1"/>
    <x v="2"/>
    <n v="1"/>
    <x v="0"/>
    <x v="1"/>
    <x v="4"/>
    <x v="305"/>
    <x v="1"/>
    <x v="2"/>
    <x v="5"/>
    <x v="0"/>
    <x v="0"/>
    <x v="0"/>
    <s v="Standard"/>
    <n v="10"/>
  </r>
  <r>
    <x v="886"/>
    <x v="28"/>
    <x v="3"/>
    <x v="1"/>
    <x v="0"/>
    <x v="2"/>
    <x v="2"/>
    <s v="Spasskoye"/>
    <x v="2"/>
    <n v="198.73"/>
    <x v="2"/>
    <x v="0"/>
    <x v="1"/>
    <x v="2"/>
    <x v="2"/>
    <n v="5"/>
    <n v="2"/>
    <x v="3"/>
    <x v="1"/>
    <n v="1"/>
    <x v="1"/>
    <n v="5"/>
    <x v="3"/>
    <x v="2"/>
    <x v="4"/>
    <x v="324"/>
    <x v="3"/>
    <x v="11"/>
    <x v="5"/>
    <x v="0"/>
    <x v="1"/>
    <x v="3"/>
    <s v="Standard"/>
    <n v="4"/>
  </r>
  <r>
    <x v="887"/>
    <x v="27"/>
    <x v="3"/>
    <x v="0"/>
    <x v="1"/>
    <x v="3"/>
    <x v="2"/>
    <s v="Huangtan"/>
    <x v="17"/>
    <n v="199.64"/>
    <x v="7"/>
    <x v="0"/>
    <x v="0"/>
    <x v="4"/>
    <x v="2"/>
    <n v="4"/>
    <n v="1"/>
    <x v="3"/>
    <x v="2"/>
    <n v="1"/>
    <x v="1"/>
    <n v="5"/>
    <x v="1"/>
    <x v="2"/>
    <x v="2"/>
    <x v="276"/>
    <x v="2"/>
    <x v="8"/>
    <x v="3"/>
    <x v="1"/>
    <x v="0"/>
    <x v="1"/>
    <s v="Express"/>
    <n v="8"/>
  </r>
  <r>
    <x v="888"/>
    <x v="32"/>
    <x v="3"/>
    <x v="0"/>
    <x v="1"/>
    <x v="1"/>
    <x v="0"/>
    <s v="Celso Ramos"/>
    <x v="20"/>
    <n v="214.59"/>
    <x v="1"/>
    <x v="0"/>
    <x v="0"/>
    <x v="2"/>
    <x v="1"/>
    <n v="1"/>
    <n v="0"/>
    <x v="0"/>
    <x v="2"/>
    <n v="1"/>
    <x v="0"/>
    <n v="8"/>
    <x v="2"/>
    <x v="1"/>
    <x v="4"/>
    <x v="144"/>
    <x v="3"/>
    <x v="11"/>
    <x v="5"/>
    <x v="0"/>
    <x v="1"/>
    <x v="0"/>
    <s v="Standard"/>
    <n v="9"/>
  </r>
  <r>
    <x v="889"/>
    <x v="32"/>
    <x v="3"/>
    <x v="0"/>
    <x v="0"/>
    <x v="0"/>
    <x v="2"/>
    <s v="Huocheng"/>
    <x v="12"/>
    <n v="222.22"/>
    <x v="7"/>
    <x v="0"/>
    <x v="1"/>
    <x v="3"/>
    <x v="1"/>
    <n v="1"/>
    <n v="2"/>
    <x v="1"/>
    <x v="0"/>
    <n v="1"/>
    <x v="1"/>
    <n v="5"/>
    <x v="1"/>
    <x v="1"/>
    <x v="2"/>
    <x v="314"/>
    <x v="0"/>
    <x v="5"/>
    <x v="1"/>
    <x v="0"/>
    <x v="1"/>
    <x v="0"/>
    <s v="Standard"/>
    <n v="6"/>
  </r>
  <r>
    <x v="890"/>
    <x v="30"/>
    <x v="3"/>
    <x v="5"/>
    <x v="0"/>
    <x v="3"/>
    <x v="1"/>
    <s v="Jesús Menéndez"/>
    <x v="11"/>
    <n v="223.47"/>
    <x v="6"/>
    <x v="0"/>
    <x v="2"/>
    <x v="1"/>
    <x v="1"/>
    <n v="1"/>
    <n v="1"/>
    <x v="3"/>
    <x v="2"/>
    <n v="0"/>
    <x v="2"/>
    <n v="2"/>
    <x v="3"/>
    <x v="1"/>
    <x v="0"/>
    <x v="176"/>
    <x v="2"/>
    <x v="8"/>
    <x v="5"/>
    <x v="0"/>
    <x v="0"/>
    <x v="2"/>
    <s v="Standard"/>
    <n v="8"/>
  </r>
  <r>
    <x v="891"/>
    <x v="30"/>
    <x v="3"/>
    <x v="1"/>
    <x v="0"/>
    <x v="3"/>
    <x v="0"/>
    <s v="Adelaide"/>
    <x v="9"/>
    <n v="223.58"/>
    <x v="7"/>
    <x v="0"/>
    <x v="2"/>
    <x v="0"/>
    <x v="0"/>
    <n v="3"/>
    <n v="0"/>
    <x v="3"/>
    <x v="1"/>
    <n v="0"/>
    <x v="1"/>
    <n v="6"/>
    <x v="3"/>
    <x v="1"/>
    <x v="2"/>
    <x v="307"/>
    <x v="0"/>
    <x v="7"/>
    <x v="4"/>
    <x v="1"/>
    <x v="1"/>
    <x v="3"/>
    <s v="No Preference"/>
    <n v="11"/>
  </r>
  <r>
    <x v="892"/>
    <x v="28"/>
    <x v="3"/>
    <x v="0"/>
    <x v="1"/>
    <x v="3"/>
    <x v="1"/>
    <s v="Postřekov"/>
    <x v="13"/>
    <n v="227.03"/>
    <x v="6"/>
    <x v="0"/>
    <x v="1"/>
    <x v="0"/>
    <x v="2"/>
    <n v="4"/>
    <n v="2"/>
    <x v="2"/>
    <x v="0"/>
    <n v="2"/>
    <x v="1"/>
    <n v="7"/>
    <x v="1"/>
    <x v="1"/>
    <x v="4"/>
    <x v="12"/>
    <x v="0"/>
    <x v="5"/>
    <x v="1"/>
    <x v="0"/>
    <x v="0"/>
    <x v="2"/>
    <s v="No Preference"/>
    <n v="4"/>
  </r>
  <r>
    <x v="893"/>
    <x v="29"/>
    <x v="3"/>
    <x v="2"/>
    <x v="1"/>
    <x v="3"/>
    <x v="0"/>
    <s v="Suvorov"/>
    <x v="19"/>
    <n v="227.47"/>
    <x v="5"/>
    <x v="0"/>
    <x v="0"/>
    <x v="1"/>
    <x v="1"/>
    <n v="2"/>
    <n v="2"/>
    <x v="2"/>
    <x v="1"/>
    <n v="1"/>
    <x v="2"/>
    <n v="4"/>
    <x v="1"/>
    <x v="1"/>
    <x v="4"/>
    <x v="97"/>
    <x v="2"/>
    <x v="6"/>
    <x v="3"/>
    <x v="0"/>
    <x v="1"/>
    <x v="2"/>
    <s v="Express"/>
    <n v="9"/>
  </r>
  <r>
    <x v="894"/>
    <x v="28"/>
    <x v="3"/>
    <x v="0"/>
    <x v="1"/>
    <x v="0"/>
    <x v="1"/>
    <s v="Mi’ersi"/>
    <x v="3"/>
    <n v="228.68"/>
    <x v="10"/>
    <x v="0"/>
    <x v="2"/>
    <x v="1"/>
    <x v="1"/>
    <n v="1"/>
    <n v="2"/>
    <x v="2"/>
    <x v="1"/>
    <n v="1"/>
    <x v="2"/>
    <n v="4"/>
    <x v="3"/>
    <x v="1"/>
    <x v="0"/>
    <x v="230"/>
    <x v="2"/>
    <x v="6"/>
    <x v="3"/>
    <x v="0"/>
    <x v="1"/>
    <x v="1"/>
    <s v="Standard"/>
    <n v="4"/>
  </r>
  <r>
    <x v="895"/>
    <x v="30"/>
    <x v="3"/>
    <x v="3"/>
    <x v="0"/>
    <x v="0"/>
    <x v="2"/>
    <s v="Meijiang"/>
    <x v="13"/>
    <n v="229.3"/>
    <x v="1"/>
    <x v="0"/>
    <x v="1"/>
    <x v="0"/>
    <x v="2"/>
    <n v="5"/>
    <n v="2"/>
    <x v="0"/>
    <x v="2"/>
    <n v="0"/>
    <x v="1"/>
    <n v="6"/>
    <x v="3"/>
    <x v="0"/>
    <x v="4"/>
    <x v="271"/>
    <x v="2"/>
    <x v="3"/>
    <x v="4"/>
    <x v="1"/>
    <x v="1"/>
    <x v="1"/>
    <s v="Express"/>
    <n v="6"/>
  </r>
  <r>
    <x v="896"/>
    <x v="32"/>
    <x v="3"/>
    <x v="1"/>
    <x v="0"/>
    <x v="2"/>
    <x v="1"/>
    <s v="Mojogajeh"/>
    <x v="17"/>
    <n v="235.13"/>
    <x v="2"/>
    <x v="0"/>
    <x v="0"/>
    <x v="4"/>
    <x v="2"/>
    <n v="4"/>
    <n v="1"/>
    <x v="1"/>
    <x v="1"/>
    <n v="2"/>
    <x v="2"/>
    <n v="3"/>
    <x v="3"/>
    <x v="0"/>
    <x v="4"/>
    <x v="323"/>
    <x v="0"/>
    <x v="0"/>
    <x v="5"/>
    <x v="0"/>
    <x v="1"/>
    <x v="1"/>
    <s v="No Preference"/>
    <n v="6"/>
  </r>
  <r>
    <x v="897"/>
    <x v="27"/>
    <x v="3"/>
    <x v="1"/>
    <x v="0"/>
    <x v="0"/>
    <x v="1"/>
    <s v="Napoli"/>
    <x v="14"/>
    <n v="235.49"/>
    <x v="3"/>
    <x v="0"/>
    <x v="1"/>
    <x v="0"/>
    <x v="0"/>
    <n v="3"/>
    <n v="1"/>
    <x v="3"/>
    <x v="2"/>
    <n v="1"/>
    <x v="1"/>
    <n v="6"/>
    <x v="3"/>
    <x v="0"/>
    <x v="1"/>
    <x v="180"/>
    <x v="0"/>
    <x v="7"/>
    <x v="4"/>
    <x v="0"/>
    <x v="1"/>
    <x v="3"/>
    <s v="Express"/>
    <n v="5"/>
  </r>
  <r>
    <x v="898"/>
    <x v="29"/>
    <x v="3"/>
    <x v="0"/>
    <x v="0"/>
    <x v="2"/>
    <x v="0"/>
    <s v="Arnprior"/>
    <x v="0"/>
    <n v="237.57"/>
    <x v="3"/>
    <x v="0"/>
    <x v="0"/>
    <x v="3"/>
    <x v="0"/>
    <n v="3"/>
    <n v="0"/>
    <x v="1"/>
    <x v="2"/>
    <n v="0"/>
    <x v="2"/>
    <n v="3"/>
    <x v="0"/>
    <x v="0"/>
    <x v="1"/>
    <x v="294"/>
    <x v="0"/>
    <x v="5"/>
    <x v="6"/>
    <x v="0"/>
    <x v="0"/>
    <x v="2"/>
    <s v="No Preference"/>
    <n v="11"/>
  </r>
  <r>
    <x v="899"/>
    <x v="29"/>
    <x v="3"/>
    <x v="1"/>
    <x v="1"/>
    <x v="1"/>
    <x v="1"/>
    <s v="Liuzuo"/>
    <x v="12"/>
    <n v="246.63"/>
    <x v="9"/>
    <x v="0"/>
    <x v="1"/>
    <x v="1"/>
    <x v="0"/>
    <n v="3"/>
    <n v="1"/>
    <x v="0"/>
    <x v="2"/>
    <n v="2"/>
    <x v="2"/>
    <n v="3"/>
    <x v="3"/>
    <x v="1"/>
    <x v="3"/>
    <x v="182"/>
    <x v="0"/>
    <x v="5"/>
    <x v="4"/>
    <x v="0"/>
    <x v="1"/>
    <x v="3"/>
    <s v="Express"/>
    <n v="10"/>
  </r>
  <r>
    <x v="900"/>
    <x v="29"/>
    <x v="3"/>
    <x v="0"/>
    <x v="1"/>
    <x v="1"/>
    <x v="0"/>
    <s v="Rawa Mazowiecka"/>
    <x v="18"/>
    <n v="249.6"/>
    <x v="4"/>
    <x v="0"/>
    <x v="2"/>
    <x v="0"/>
    <x v="1"/>
    <n v="1"/>
    <n v="1"/>
    <x v="2"/>
    <x v="2"/>
    <n v="2"/>
    <x v="1"/>
    <n v="7"/>
    <x v="1"/>
    <x v="0"/>
    <x v="0"/>
    <x v="334"/>
    <x v="0"/>
    <x v="7"/>
    <x v="2"/>
    <x v="0"/>
    <x v="1"/>
    <x v="0"/>
    <s v="Standard"/>
    <n v="11"/>
  </r>
  <r>
    <x v="901"/>
    <x v="29"/>
    <x v="3"/>
    <x v="0"/>
    <x v="0"/>
    <x v="2"/>
    <x v="2"/>
    <s v="Colima"/>
    <x v="9"/>
    <n v="250.73"/>
    <x v="8"/>
    <x v="0"/>
    <x v="0"/>
    <x v="3"/>
    <x v="1"/>
    <n v="2"/>
    <n v="1"/>
    <x v="2"/>
    <x v="2"/>
    <n v="1"/>
    <x v="0"/>
    <n v="10"/>
    <x v="3"/>
    <x v="2"/>
    <x v="1"/>
    <x v="39"/>
    <x v="0"/>
    <x v="5"/>
    <x v="3"/>
    <x v="1"/>
    <x v="0"/>
    <x v="1"/>
    <s v="No Preference"/>
    <n v="10"/>
  </r>
  <r>
    <x v="902"/>
    <x v="29"/>
    <x v="3"/>
    <x v="0"/>
    <x v="1"/>
    <x v="2"/>
    <x v="2"/>
    <s v="Tamorot"/>
    <x v="15"/>
    <n v="255.1"/>
    <x v="3"/>
    <x v="0"/>
    <x v="2"/>
    <x v="4"/>
    <x v="1"/>
    <n v="1"/>
    <n v="2"/>
    <x v="3"/>
    <x v="1"/>
    <n v="1"/>
    <x v="2"/>
    <n v="1"/>
    <x v="2"/>
    <x v="2"/>
    <x v="2"/>
    <x v="331"/>
    <x v="3"/>
    <x v="4"/>
    <x v="0"/>
    <x v="0"/>
    <x v="1"/>
    <x v="1"/>
    <s v="No Preference"/>
    <n v="14"/>
  </r>
  <r>
    <x v="903"/>
    <x v="30"/>
    <x v="3"/>
    <x v="0"/>
    <x v="0"/>
    <x v="3"/>
    <x v="0"/>
    <s v="Margasari"/>
    <x v="19"/>
    <n v="256.44"/>
    <x v="9"/>
    <x v="0"/>
    <x v="1"/>
    <x v="0"/>
    <x v="1"/>
    <n v="1"/>
    <n v="2"/>
    <x v="3"/>
    <x v="2"/>
    <n v="1"/>
    <x v="1"/>
    <n v="6"/>
    <x v="0"/>
    <x v="1"/>
    <x v="4"/>
    <x v="22"/>
    <x v="1"/>
    <x v="1"/>
    <x v="0"/>
    <x v="1"/>
    <x v="1"/>
    <x v="0"/>
    <s v="Express"/>
    <n v="3"/>
  </r>
  <r>
    <x v="904"/>
    <x v="31"/>
    <x v="3"/>
    <x v="0"/>
    <x v="1"/>
    <x v="2"/>
    <x v="2"/>
    <s v="Kawangkoan"/>
    <x v="12"/>
    <n v="257.86"/>
    <x v="1"/>
    <x v="0"/>
    <x v="0"/>
    <x v="1"/>
    <x v="1"/>
    <n v="2"/>
    <n v="0"/>
    <x v="0"/>
    <x v="2"/>
    <n v="0"/>
    <x v="2"/>
    <n v="4"/>
    <x v="1"/>
    <x v="1"/>
    <x v="2"/>
    <x v="266"/>
    <x v="1"/>
    <x v="2"/>
    <x v="3"/>
    <x v="0"/>
    <x v="0"/>
    <x v="2"/>
    <s v="Express"/>
    <n v="1"/>
  </r>
  <r>
    <x v="905"/>
    <x v="32"/>
    <x v="3"/>
    <x v="0"/>
    <x v="1"/>
    <x v="3"/>
    <x v="2"/>
    <s v="Belene"/>
    <x v="1"/>
    <n v="258.68"/>
    <x v="8"/>
    <x v="0"/>
    <x v="0"/>
    <x v="0"/>
    <x v="1"/>
    <n v="2"/>
    <n v="1"/>
    <x v="2"/>
    <x v="2"/>
    <n v="0"/>
    <x v="0"/>
    <n v="9"/>
    <x v="3"/>
    <x v="2"/>
    <x v="3"/>
    <x v="238"/>
    <x v="2"/>
    <x v="6"/>
    <x v="1"/>
    <x v="1"/>
    <x v="1"/>
    <x v="3"/>
    <s v="No Preference"/>
    <n v="9"/>
  </r>
  <r>
    <x v="906"/>
    <x v="27"/>
    <x v="3"/>
    <x v="1"/>
    <x v="1"/>
    <x v="2"/>
    <x v="1"/>
    <s v="Montceau-les-Mines"/>
    <x v="16"/>
    <n v="260.14"/>
    <x v="3"/>
    <x v="0"/>
    <x v="0"/>
    <x v="3"/>
    <x v="1"/>
    <n v="2"/>
    <n v="1"/>
    <x v="0"/>
    <x v="2"/>
    <n v="1"/>
    <x v="1"/>
    <n v="7"/>
    <x v="2"/>
    <x v="0"/>
    <x v="4"/>
    <x v="202"/>
    <x v="2"/>
    <x v="8"/>
    <x v="0"/>
    <x v="0"/>
    <x v="0"/>
    <x v="2"/>
    <s v="Standard"/>
    <n v="7"/>
  </r>
  <r>
    <x v="907"/>
    <x v="32"/>
    <x v="3"/>
    <x v="0"/>
    <x v="1"/>
    <x v="0"/>
    <x v="2"/>
    <s v="La Ravoire"/>
    <x v="20"/>
    <n v="262.61"/>
    <x v="10"/>
    <x v="0"/>
    <x v="1"/>
    <x v="1"/>
    <x v="2"/>
    <n v="5"/>
    <n v="1"/>
    <x v="1"/>
    <x v="2"/>
    <n v="0"/>
    <x v="0"/>
    <n v="10"/>
    <x v="0"/>
    <x v="0"/>
    <x v="4"/>
    <x v="335"/>
    <x v="3"/>
    <x v="11"/>
    <x v="3"/>
    <x v="1"/>
    <x v="0"/>
    <x v="0"/>
    <s v="Standard"/>
    <n v="6"/>
  </r>
  <r>
    <x v="908"/>
    <x v="30"/>
    <x v="3"/>
    <x v="0"/>
    <x v="0"/>
    <x v="0"/>
    <x v="2"/>
    <s v="Phong Điền"/>
    <x v="14"/>
    <n v="266.89999999999998"/>
    <x v="7"/>
    <x v="0"/>
    <x v="2"/>
    <x v="0"/>
    <x v="1"/>
    <n v="2"/>
    <n v="2"/>
    <x v="2"/>
    <x v="0"/>
    <n v="1"/>
    <x v="0"/>
    <n v="8"/>
    <x v="0"/>
    <x v="2"/>
    <x v="2"/>
    <x v="233"/>
    <x v="1"/>
    <x v="10"/>
    <x v="4"/>
    <x v="1"/>
    <x v="0"/>
    <x v="0"/>
    <s v="Express"/>
    <n v="13"/>
  </r>
  <r>
    <x v="909"/>
    <x v="30"/>
    <x v="3"/>
    <x v="0"/>
    <x v="1"/>
    <x v="1"/>
    <x v="0"/>
    <s v="Belūsovka"/>
    <x v="17"/>
    <n v="267.85000000000002"/>
    <x v="3"/>
    <x v="0"/>
    <x v="0"/>
    <x v="4"/>
    <x v="1"/>
    <n v="2"/>
    <n v="2"/>
    <x v="1"/>
    <x v="2"/>
    <n v="1"/>
    <x v="1"/>
    <n v="5"/>
    <x v="1"/>
    <x v="0"/>
    <x v="3"/>
    <x v="35"/>
    <x v="0"/>
    <x v="0"/>
    <x v="3"/>
    <x v="1"/>
    <x v="0"/>
    <x v="2"/>
    <s v="Standard"/>
    <n v="7"/>
  </r>
  <r>
    <x v="910"/>
    <x v="30"/>
    <x v="3"/>
    <x v="0"/>
    <x v="1"/>
    <x v="0"/>
    <x v="1"/>
    <s v="Sabon Gari-Nangere"/>
    <x v="19"/>
    <n v="268.8"/>
    <x v="5"/>
    <x v="0"/>
    <x v="1"/>
    <x v="2"/>
    <x v="0"/>
    <n v="3"/>
    <n v="0"/>
    <x v="3"/>
    <x v="1"/>
    <n v="1"/>
    <x v="1"/>
    <n v="7"/>
    <x v="3"/>
    <x v="2"/>
    <x v="0"/>
    <x v="195"/>
    <x v="0"/>
    <x v="5"/>
    <x v="2"/>
    <x v="1"/>
    <x v="1"/>
    <x v="2"/>
    <s v="Standard"/>
    <n v="12"/>
  </r>
  <r>
    <x v="911"/>
    <x v="29"/>
    <x v="3"/>
    <x v="0"/>
    <x v="1"/>
    <x v="3"/>
    <x v="2"/>
    <s v="San José Acatempa"/>
    <x v="17"/>
    <n v="276.08"/>
    <x v="8"/>
    <x v="0"/>
    <x v="2"/>
    <x v="0"/>
    <x v="2"/>
    <n v="5"/>
    <n v="0.3"/>
    <x v="3"/>
    <x v="2"/>
    <n v="2"/>
    <x v="0"/>
    <n v="10"/>
    <x v="2"/>
    <x v="0"/>
    <x v="3"/>
    <x v="184"/>
    <x v="3"/>
    <x v="4"/>
    <x v="4"/>
    <x v="1"/>
    <x v="0"/>
    <x v="2"/>
    <s v="No Preference"/>
    <n v="10"/>
  </r>
  <r>
    <x v="912"/>
    <x v="28"/>
    <x v="3"/>
    <x v="0"/>
    <x v="1"/>
    <x v="2"/>
    <x v="1"/>
    <s v="Jianggang"/>
    <x v="12"/>
    <n v="276.25"/>
    <x v="7"/>
    <x v="0"/>
    <x v="1"/>
    <x v="1"/>
    <x v="1"/>
    <n v="1"/>
    <n v="2"/>
    <x v="3"/>
    <x v="0"/>
    <n v="2"/>
    <x v="2"/>
    <n v="4"/>
    <x v="3"/>
    <x v="0"/>
    <x v="1"/>
    <x v="151"/>
    <x v="2"/>
    <x v="3"/>
    <x v="4"/>
    <x v="0"/>
    <x v="0"/>
    <x v="3"/>
    <s v="Express"/>
    <n v="8"/>
  </r>
  <r>
    <x v="913"/>
    <x v="29"/>
    <x v="3"/>
    <x v="0"/>
    <x v="1"/>
    <x v="3"/>
    <x v="1"/>
    <s v="Porangatu"/>
    <x v="1"/>
    <n v="280.05"/>
    <x v="2"/>
    <x v="0"/>
    <x v="1"/>
    <x v="0"/>
    <x v="1"/>
    <n v="1"/>
    <n v="2"/>
    <x v="1"/>
    <x v="1"/>
    <n v="1"/>
    <x v="2"/>
    <n v="2"/>
    <x v="1"/>
    <x v="0"/>
    <x v="3"/>
    <x v="327"/>
    <x v="1"/>
    <x v="10"/>
    <x v="2"/>
    <x v="0"/>
    <x v="1"/>
    <x v="0"/>
    <s v="No Preference"/>
    <n v="11"/>
  </r>
  <r>
    <x v="914"/>
    <x v="27"/>
    <x v="3"/>
    <x v="1"/>
    <x v="0"/>
    <x v="0"/>
    <x v="2"/>
    <s v="Sigli"/>
    <x v="19"/>
    <n v="288.33999999999997"/>
    <x v="0"/>
    <x v="0"/>
    <x v="2"/>
    <x v="4"/>
    <x v="1"/>
    <n v="2"/>
    <n v="2"/>
    <x v="0"/>
    <x v="1"/>
    <n v="0"/>
    <x v="0"/>
    <n v="8"/>
    <x v="2"/>
    <x v="1"/>
    <x v="1"/>
    <x v="35"/>
    <x v="0"/>
    <x v="0"/>
    <x v="3"/>
    <x v="1"/>
    <x v="1"/>
    <x v="2"/>
    <s v="Express"/>
    <n v="6"/>
  </r>
  <r>
    <x v="915"/>
    <x v="30"/>
    <x v="3"/>
    <x v="1"/>
    <x v="0"/>
    <x v="3"/>
    <x v="2"/>
    <s v="Argenteuil"/>
    <x v="7"/>
    <n v="290.52999999999997"/>
    <x v="10"/>
    <x v="0"/>
    <x v="0"/>
    <x v="3"/>
    <x v="1"/>
    <n v="2"/>
    <n v="1"/>
    <x v="2"/>
    <x v="1"/>
    <n v="0"/>
    <x v="1"/>
    <n v="6"/>
    <x v="1"/>
    <x v="2"/>
    <x v="0"/>
    <x v="21"/>
    <x v="2"/>
    <x v="3"/>
    <x v="4"/>
    <x v="0"/>
    <x v="1"/>
    <x v="1"/>
    <s v="No Preference"/>
    <n v="10"/>
  </r>
  <r>
    <x v="916"/>
    <x v="30"/>
    <x v="3"/>
    <x v="1"/>
    <x v="1"/>
    <x v="0"/>
    <x v="1"/>
    <s v="Estância"/>
    <x v="10"/>
    <n v="290.56"/>
    <x v="10"/>
    <x v="0"/>
    <x v="1"/>
    <x v="4"/>
    <x v="1"/>
    <n v="1"/>
    <n v="2"/>
    <x v="0"/>
    <x v="2"/>
    <n v="1"/>
    <x v="2"/>
    <n v="1"/>
    <x v="3"/>
    <x v="2"/>
    <x v="2"/>
    <x v="336"/>
    <x v="0"/>
    <x v="0"/>
    <x v="1"/>
    <x v="0"/>
    <x v="1"/>
    <x v="0"/>
    <s v="No Preference"/>
    <n v="4"/>
  </r>
  <r>
    <x v="917"/>
    <x v="28"/>
    <x v="3"/>
    <x v="0"/>
    <x v="1"/>
    <x v="3"/>
    <x v="2"/>
    <s v="Benito Juarez"/>
    <x v="10"/>
    <n v="298.73"/>
    <x v="8"/>
    <x v="0"/>
    <x v="0"/>
    <x v="2"/>
    <x v="2"/>
    <n v="5"/>
    <n v="1"/>
    <x v="3"/>
    <x v="0"/>
    <n v="0"/>
    <x v="2"/>
    <n v="2"/>
    <x v="2"/>
    <x v="1"/>
    <x v="0"/>
    <x v="322"/>
    <x v="2"/>
    <x v="3"/>
    <x v="2"/>
    <x v="1"/>
    <x v="0"/>
    <x v="2"/>
    <s v="No Preference"/>
    <n v="4"/>
  </r>
  <r>
    <x v="918"/>
    <x v="30"/>
    <x v="3"/>
    <x v="1"/>
    <x v="0"/>
    <x v="0"/>
    <x v="2"/>
    <s v="Demuk"/>
    <x v="5"/>
    <n v="301.39999999999998"/>
    <x v="8"/>
    <x v="0"/>
    <x v="0"/>
    <x v="4"/>
    <x v="0"/>
    <n v="3"/>
    <n v="0"/>
    <x v="1"/>
    <x v="2"/>
    <n v="0"/>
    <x v="1"/>
    <n v="5"/>
    <x v="3"/>
    <x v="2"/>
    <x v="0"/>
    <x v="286"/>
    <x v="2"/>
    <x v="8"/>
    <x v="2"/>
    <x v="1"/>
    <x v="0"/>
    <x v="1"/>
    <s v="Standard"/>
    <n v="5"/>
  </r>
  <r>
    <x v="919"/>
    <x v="32"/>
    <x v="3"/>
    <x v="7"/>
    <x v="0"/>
    <x v="0"/>
    <x v="1"/>
    <s v="Freiburg im Breisgau"/>
    <x v="1"/>
    <n v="306.48"/>
    <x v="3"/>
    <x v="0"/>
    <x v="2"/>
    <x v="2"/>
    <x v="0"/>
    <n v="3"/>
    <n v="0"/>
    <x v="1"/>
    <x v="1"/>
    <n v="0"/>
    <x v="0"/>
    <n v="9"/>
    <x v="2"/>
    <x v="1"/>
    <x v="3"/>
    <x v="153"/>
    <x v="2"/>
    <x v="8"/>
    <x v="0"/>
    <x v="1"/>
    <x v="0"/>
    <x v="2"/>
    <s v="Standard"/>
    <n v="14"/>
  </r>
  <r>
    <x v="920"/>
    <x v="30"/>
    <x v="3"/>
    <x v="1"/>
    <x v="0"/>
    <x v="1"/>
    <x v="1"/>
    <s v="Hejiang"/>
    <x v="3"/>
    <n v="309.52999999999997"/>
    <x v="9"/>
    <x v="0"/>
    <x v="2"/>
    <x v="1"/>
    <x v="1"/>
    <n v="1"/>
    <n v="1"/>
    <x v="0"/>
    <x v="1"/>
    <n v="2"/>
    <x v="1"/>
    <n v="6"/>
    <x v="3"/>
    <x v="0"/>
    <x v="1"/>
    <x v="93"/>
    <x v="0"/>
    <x v="5"/>
    <x v="0"/>
    <x v="1"/>
    <x v="0"/>
    <x v="1"/>
    <s v="Standard"/>
    <n v="5"/>
  </r>
  <r>
    <x v="921"/>
    <x v="32"/>
    <x v="3"/>
    <x v="1"/>
    <x v="1"/>
    <x v="1"/>
    <x v="0"/>
    <s v="Huangni"/>
    <x v="14"/>
    <n v="323.39"/>
    <x v="2"/>
    <x v="0"/>
    <x v="1"/>
    <x v="1"/>
    <x v="0"/>
    <n v="3"/>
    <n v="2"/>
    <x v="0"/>
    <x v="1"/>
    <n v="0"/>
    <x v="1"/>
    <n v="7"/>
    <x v="1"/>
    <x v="1"/>
    <x v="1"/>
    <x v="248"/>
    <x v="3"/>
    <x v="4"/>
    <x v="6"/>
    <x v="0"/>
    <x v="0"/>
    <x v="2"/>
    <s v="No Preference"/>
    <n v="11"/>
  </r>
  <r>
    <x v="922"/>
    <x v="31"/>
    <x v="3"/>
    <x v="7"/>
    <x v="1"/>
    <x v="2"/>
    <x v="0"/>
    <s v="Dabai"/>
    <x v="5"/>
    <n v="323.39999999999998"/>
    <x v="7"/>
    <x v="0"/>
    <x v="2"/>
    <x v="1"/>
    <x v="0"/>
    <n v="3"/>
    <n v="2"/>
    <x v="2"/>
    <x v="1"/>
    <n v="0"/>
    <x v="0"/>
    <n v="8"/>
    <x v="3"/>
    <x v="0"/>
    <x v="3"/>
    <x v="335"/>
    <x v="3"/>
    <x v="11"/>
    <x v="3"/>
    <x v="0"/>
    <x v="0"/>
    <x v="2"/>
    <s v="Standard"/>
    <n v="10"/>
  </r>
  <r>
    <x v="923"/>
    <x v="29"/>
    <x v="3"/>
    <x v="1"/>
    <x v="1"/>
    <x v="0"/>
    <x v="0"/>
    <s v="Ugra"/>
    <x v="2"/>
    <n v="324.41000000000003"/>
    <x v="4"/>
    <x v="0"/>
    <x v="2"/>
    <x v="0"/>
    <x v="2"/>
    <n v="4"/>
    <n v="1"/>
    <x v="0"/>
    <x v="0"/>
    <n v="0"/>
    <x v="1"/>
    <n v="5"/>
    <x v="0"/>
    <x v="1"/>
    <x v="0"/>
    <x v="337"/>
    <x v="0"/>
    <x v="5"/>
    <x v="4"/>
    <x v="0"/>
    <x v="0"/>
    <x v="2"/>
    <s v="No Preference"/>
    <n v="4"/>
  </r>
  <r>
    <x v="924"/>
    <x v="30"/>
    <x v="3"/>
    <x v="1"/>
    <x v="1"/>
    <x v="2"/>
    <x v="2"/>
    <s v="Oeoh"/>
    <x v="19"/>
    <n v="329.41"/>
    <x v="3"/>
    <x v="0"/>
    <x v="1"/>
    <x v="4"/>
    <x v="0"/>
    <n v="3"/>
    <n v="0"/>
    <x v="1"/>
    <x v="2"/>
    <n v="1"/>
    <x v="2"/>
    <n v="1"/>
    <x v="1"/>
    <x v="2"/>
    <x v="1"/>
    <x v="95"/>
    <x v="2"/>
    <x v="6"/>
    <x v="4"/>
    <x v="0"/>
    <x v="0"/>
    <x v="2"/>
    <s v="No Preference"/>
    <n v="2"/>
  </r>
  <r>
    <x v="925"/>
    <x v="31"/>
    <x v="3"/>
    <x v="1"/>
    <x v="0"/>
    <x v="2"/>
    <x v="0"/>
    <s v="Blokdesa Situgede"/>
    <x v="11"/>
    <n v="331.57"/>
    <x v="7"/>
    <x v="0"/>
    <x v="2"/>
    <x v="3"/>
    <x v="1"/>
    <n v="1"/>
    <n v="0"/>
    <x v="2"/>
    <x v="2"/>
    <n v="1"/>
    <x v="1"/>
    <n v="6"/>
    <x v="0"/>
    <x v="2"/>
    <x v="0"/>
    <x v="338"/>
    <x v="0"/>
    <x v="7"/>
    <x v="4"/>
    <x v="1"/>
    <x v="1"/>
    <x v="3"/>
    <s v="Express"/>
    <n v="14"/>
  </r>
  <r>
    <x v="926"/>
    <x v="28"/>
    <x v="3"/>
    <x v="1"/>
    <x v="0"/>
    <x v="0"/>
    <x v="1"/>
    <s v="Jinqiao"/>
    <x v="20"/>
    <n v="333.15"/>
    <x v="6"/>
    <x v="0"/>
    <x v="2"/>
    <x v="2"/>
    <x v="2"/>
    <n v="5"/>
    <n v="1"/>
    <x v="3"/>
    <x v="1"/>
    <n v="1"/>
    <x v="0"/>
    <n v="8"/>
    <x v="1"/>
    <x v="0"/>
    <x v="4"/>
    <x v="5"/>
    <x v="1"/>
    <x v="1"/>
    <x v="4"/>
    <x v="1"/>
    <x v="1"/>
    <x v="3"/>
    <s v="Standard"/>
    <n v="14"/>
  </r>
  <r>
    <x v="927"/>
    <x v="28"/>
    <x v="3"/>
    <x v="0"/>
    <x v="0"/>
    <x v="2"/>
    <x v="1"/>
    <s v="Bigaa"/>
    <x v="0"/>
    <n v="334.45"/>
    <x v="5"/>
    <x v="0"/>
    <x v="1"/>
    <x v="1"/>
    <x v="2"/>
    <n v="5"/>
    <n v="0"/>
    <x v="1"/>
    <x v="0"/>
    <n v="2"/>
    <x v="0"/>
    <n v="9"/>
    <x v="1"/>
    <x v="1"/>
    <x v="3"/>
    <x v="339"/>
    <x v="1"/>
    <x v="2"/>
    <x v="1"/>
    <x v="0"/>
    <x v="1"/>
    <x v="3"/>
    <s v="No Preference"/>
    <n v="6"/>
  </r>
  <r>
    <x v="928"/>
    <x v="29"/>
    <x v="3"/>
    <x v="1"/>
    <x v="0"/>
    <x v="2"/>
    <x v="0"/>
    <s v="Coro"/>
    <x v="2"/>
    <n v="337.33"/>
    <x v="9"/>
    <x v="0"/>
    <x v="1"/>
    <x v="2"/>
    <x v="2"/>
    <n v="4"/>
    <n v="1"/>
    <x v="0"/>
    <x v="2"/>
    <n v="0"/>
    <x v="1"/>
    <n v="5"/>
    <x v="0"/>
    <x v="2"/>
    <x v="0"/>
    <x v="271"/>
    <x v="2"/>
    <x v="3"/>
    <x v="4"/>
    <x v="1"/>
    <x v="1"/>
    <x v="1"/>
    <s v="Express"/>
    <n v="10"/>
  </r>
  <r>
    <x v="929"/>
    <x v="31"/>
    <x v="3"/>
    <x v="1"/>
    <x v="1"/>
    <x v="3"/>
    <x v="1"/>
    <s v="Zduńska Wola"/>
    <x v="14"/>
    <n v="343.81"/>
    <x v="10"/>
    <x v="0"/>
    <x v="1"/>
    <x v="3"/>
    <x v="2"/>
    <n v="5"/>
    <n v="0"/>
    <x v="3"/>
    <x v="2"/>
    <n v="0"/>
    <x v="1"/>
    <n v="7"/>
    <x v="0"/>
    <x v="2"/>
    <x v="3"/>
    <x v="192"/>
    <x v="3"/>
    <x v="11"/>
    <x v="6"/>
    <x v="1"/>
    <x v="0"/>
    <x v="2"/>
    <s v="Standard"/>
    <n v="3"/>
  </r>
  <r>
    <x v="930"/>
    <x v="27"/>
    <x v="3"/>
    <x v="0"/>
    <x v="1"/>
    <x v="3"/>
    <x v="0"/>
    <s v="Tirana"/>
    <x v="16"/>
    <n v="346.58"/>
    <x v="1"/>
    <x v="0"/>
    <x v="2"/>
    <x v="4"/>
    <x v="1"/>
    <n v="1"/>
    <n v="1"/>
    <x v="3"/>
    <x v="2"/>
    <n v="0"/>
    <x v="0"/>
    <n v="9"/>
    <x v="2"/>
    <x v="1"/>
    <x v="4"/>
    <x v="50"/>
    <x v="1"/>
    <x v="2"/>
    <x v="4"/>
    <x v="1"/>
    <x v="1"/>
    <x v="3"/>
    <s v="Express"/>
    <n v="7"/>
  </r>
  <r>
    <x v="931"/>
    <x v="28"/>
    <x v="3"/>
    <x v="1"/>
    <x v="0"/>
    <x v="2"/>
    <x v="1"/>
    <s v="Saint-Jouan-des-Guérets"/>
    <x v="5"/>
    <n v="347.09"/>
    <x v="3"/>
    <x v="0"/>
    <x v="1"/>
    <x v="4"/>
    <x v="1"/>
    <n v="2"/>
    <n v="0"/>
    <x v="1"/>
    <x v="2"/>
    <n v="2"/>
    <x v="2"/>
    <n v="1"/>
    <x v="3"/>
    <x v="0"/>
    <x v="4"/>
    <x v="284"/>
    <x v="3"/>
    <x v="4"/>
    <x v="5"/>
    <x v="1"/>
    <x v="1"/>
    <x v="1"/>
    <s v="No Preference"/>
    <n v="7"/>
  </r>
  <r>
    <x v="932"/>
    <x v="32"/>
    <x v="3"/>
    <x v="0"/>
    <x v="0"/>
    <x v="1"/>
    <x v="1"/>
    <s v="Betong"/>
    <x v="16"/>
    <n v="348.63"/>
    <x v="8"/>
    <x v="0"/>
    <x v="0"/>
    <x v="4"/>
    <x v="1"/>
    <n v="2"/>
    <n v="0"/>
    <x v="3"/>
    <x v="2"/>
    <n v="0"/>
    <x v="1"/>
    <n v="7"/>
    <x v="3"/>
    <x v="0"/>
    <x v="0"/>
    <x v="182"/>
    <x v="0"/>
    <x v="5"/>
    <x v="4"/>
    <x v="1"/>
    <x v="1"/>
    <x v="1"/>
    <s v="No Preference"/>
    <n v="6"/>
  </r>
  <r>
    <x v="933"/>
    <x v="28"/>
    <x v="3"/>
    <x v="0"/>
    <x v="1"/>
    <x v="2"/>
    <x v="1"/>
    <s v="Yaizu"/>
    <x v="18"/>
    <n v="359.45"/>
    <x v="1"/>
    <x v="0"/>
    <x v="0"/>
    <x v="0"/>
    <x v="1"/>
    <n v="1"/>
    <n v="2"/>
    <x v="2"/>
    <x v="0"/>
    <n v="1"/>
    <x v="0"/>
    <n v="8"/>
    <x v="0"/>
    <x v="2"/>
    <x v="4"/>
    <x v="269"/>
    <x v="0"/>
    <x v="0"/>
    <x v="3"/>
    <x v="1"/>
    <x v="1"/>
    <x v="3"/>
    <s v="Standard"/>
    <n v="11"/>
  </r>
  <r>
    <x v="934"/>
    <x v="30"/>
    <x v="3"/>
    <x v="1"/>
    <x v="0"/>
    <x v="0"/>
    <x v="1"/>
    <s v="Yangping"/>
    <x v="4"/>
    <n v="359.75"/>
    <x v="4"/>
    <x v="1"/>
    <x v="1"/>
    <x v="4"/>
    <x v="1"/>
    <n v="1"/>
    <n v="1"/>
    <x v="3"/>
    <x v="0"/>
    <n v="1"/>
    <x v="1"/>
    <n v="6"/>
    <x v="2"/>
    <x v="1"/>
    <x v="4"/>
    <x v="224"/>
    <x v="3"/>
    <x v="4"/>
    <x v="1"/>
    <x v="1"/>
    <x v="1"/>
    <x v="0"/>
    <s v="Standard"/>
    <n v="3"/>
  </r>
  <r>
    <x v="935"/>
    <x v="28"/>
    <x v="3"/>
    <x v="0"/>
    <x v="1"/>
    <x v="2"/>
    <x v="2"/>
    <s v="Cendagah"/>
    <x v="15"/>
    <n v="361.48"/>
    <x v="2"/>
    <x v="1"/>
    <x v="0"/>
    <x v="2"/>
    <x v="2"/>
    <n v="4"/>
    <n v="1"/>
    <x v="1"/>
    <x v="2"/>
    <n v="2"/>
    <x v="0"/>
    <n v="9"/>
    <x v="1"/>
    <x v="1"/>
    <x v="1"/>
    <x v="128"/>
    <x v="1"/>
    <x v="2"/>
    <x v="0"/>
    <x v="0"/>
    <x v="0"/>
    <x v="0"/>
    <s v="Express"/>
    <n v="13"/>
  </r>
  <r>
    <x v="936"/>
    <x v="32"/>
    <x v="3"/>
    <x v="0"/>
    <x v="1"/>
    <x v="3"/>
    <x v="0"/>
    <s v="Masuda"/>
    <x v="7"/>
    <n v="362.3"/>
    <x v="4"/>
    <x v="1"/>
    <x v="0"/>
    <x v="0"/>
    <x v="1"/>
    <n v="2"/>
    <n v="0.2"/>
    <x v="2"/>
    <x v="0"/>
    <n v="0"/>
    <x v="2"/>
    <n v="4"/>
    <x v="2"/>
    <x v="1"/>
    <x v="4"/>
    <x v="340"/>
    <x v="2"/>
    <x v="8"/>
    <x v="4"/>
    <x v="0"/>
    <x v="0"/>
    <x v="1"/>
    <s v="Standard"/>
    <n v="6"/>
  </r>
  <r>
    <x v="937"/>
    <x v="29"/>
    <x v="3"/>
    <x v="1"/>
    <x v="0"/>
    <x v="3"/>
    <x v="2"/>
    <s v="Oslo"/>
    <x v="17"/>
    <n v="363.91"/>
    <x v="2"/>
    <x v="1"/>
    <x v="0"/>
    <x v="2"/>
    <x v="1"/>
    <n v="1"/>
    <n v="0.3"/>
    <x v="1"/>
    <x v="1"/>
    <n v="0"/>
    <x v="2"/>
    <n v="2"/>
    <x v="2"/>
    <x v="0"/>
    <x v="1"/>
    <x v="308"/>
    <x v="3"/>
    <x v="4"/>
    <x v="0"/>
    <x v="0"/>
    <x v="0"/>
    <x v="1"/>
    <s v="Standard"/>
    <n v="9"/>
  </r>
  <r>
    <x v="938"/>
    <x v="31"/>
    <x v="3"/>
    <x v="0"/>
    <x v="0"/>
    <x v="0"/>
    <x v="2"/>
    <s v="Voznesenskoye"/>
    <x v="13"/>
    <n v="364.98"/>
    <x v="4"/>
    <x v="1"/>
    <x v="1"/>
    <x v="0"/>
    <x v="1"/>
    <n v="1"/>
    <n v="0"/>
    <x v="2"/>
    <x v="1"/>
    <n v="0"/>
    <x v="2"/>
    <n v="1"/>
    <x v="3"/>
    <x v="2"/>
    <x v="1"/>
    <x v="334"/>
    <x v="0"/>
    <x v="7"/>
    <x v="2"/>
    <x v="0"/>
    <x v="1"/>
    <x v="0"/>
    <s v="Standard"/>
    <n v="8"/>
  </r>
  <r>
    <x v="939"/>
    <x v="32"/>
    <x v="3"/>
    <x v="0"/>
    <x v="0"/>
    <x v="3"/>
    <x v="0"/>
    <s v="Antrukan"/>
    <x v="14"/>
    <n v="365.88"/>
    <x v="2"/>
    <x v="1"/>
    <x v="2"/>
    <x v="0"/>
    <x v="2"/>
    <n v="5"/>
    <n v="1"/>
    <x v="0"/>
    <x v="2"/>
    <n v="1"/>
    <x v="2"/>
    <n v="1"/>
    <x v="0"/>
    <x v="1"/>
    <x v="2"/>
    <x v="314"/>
    <x v="0"/>
    <x v="5"/>
    <x v="1"/>
    <x v="1"/>
    <x v="1"/>
    <x v="0"/>
    <s v="Express"/>
    <n v="9"/>
  </r>
  <r>
    <x v="940"/>
    <x v="30"/>
    <x v="3"/>
    <x v="1"/>
    <x v="1"/>
    <x v="0"/>
    <x v="0"/>
    <s v="Ahar"/>
    <x v="5"/>
    <n v="367.7"/>
    <x v="10"/>
    <x v="0"/>
    <x v="2"/>
    <x v="3"/>
    <x v="2"/>
    <n v="5"/>
    <n v="2"/>
    <x v="0"/>
    <x v="2"/>
    <n v="2"/>
    <x v="2"/>
    <n v="3"/>
    <x v="1"/>
    <x v="2"/>
    <x v="3"/>
    <x v="0"/>
    <x v="0"/>
    <x v="0"/>
    <x v="0"/>
    <x v="0"/>
    <x v="0"/>
    <x v="2"/>
    <s v="No Preference"/>
    <n v="3"/>
  </r>
  <r>
    <x v="941"/>
    <x v="31"/>
    <x v="3"/>
    <x v="0"/>
    <x v="1"/>
    <x v="1"/>
    <x v="0"/>
    <s v="Chabařovice"/>
    <x v="19"/>
    <n v="367.99"/>
    <x v="5"/>
    <x v="0"/>
    <x v="0"/>
    <x v="1"/>
    <x v="2"/>
    <n v="5"/>
    <n v="1"/>
    <x v="0"/>
    <x v="0"/>
    <n v="2"/>
    <x v="2"/>
    <n v="2"/>
    <x v="1"/>
    <x v="0"/>
    <x v="0"/>
    <x v="10"/>
    <x v="2"/>
    <x v="6"/>
    <x v="1"/>
    <x v="1"/>
    <x v="1"/>
    <x v="1"/>
    <s v="Express"/>
    <n v="8"/>
  </r>
  <r>
    <x v="942"/>
    <x v="28"/>
    <x v="3"/>
    <x v="0"/>
    <x v="1"/>
    <x v="2"/>
    <x v="0"/>
    <s v="Camp Ithier"/>
    <x v="6"/>
    <n v="368.4"/>
    <x v="7"/>
    <x v="1"/>
    <x v="0"/>
    <x v="1"/>
    <x v="2"/>
    <n v="5"/>
    <n v="1"/>
    <x v="3"/>
    <x v="0"/>
    <n v="0"/>
    <x v="2"/>
    <n v="3"/>
    <x v="1"/>
    <x v="2"/>
    <x v="3"/>
    <x v="17"/>
    <x v="1"/>
    <x v="2"/>
    <x v="5"/>
    <x v="1"/>
    <x v="1"/>
    <x v="2"/>
    <s v="No Preference"/>
    <n v="13"/>
  </r>
  <r>
    <x v="943"/>
    <x v="27"/>
    <x v="3"/>
    <x v="1"/>
    <x v="1"/>
    <x v="3"/>
    <x v="2"/>
    <s v="Paris 09"/>
    <x v="8"/>
    <n v="369.73"/>
    <x v="5"/>
    <x v="0"/>
    <x v="0"/>
    <x v="2"/>
    <x v="1"/>
    <n v="2"/>
    <n v="2"/>
    <x v="0"/>
    <x v="0"/>
    <n v="0"/>
    <x v="2"/>
    <n v="3"/>
    <x v="3"/>
    <x v="1"/>
    <x v="0"/>
    <x v="146"/>
    <x v="3"/>
    <x v="11"/>
    <x v="0"/>
    <x v="0"/>
    <x v="0"/>
    <x v="0"/>
    <s v="No Preference"/>
    <n v="12"/>
  </r>
  <r>
    <x v="944"/>
    <x v="32"/>
    <x v="3"/>
    <x v="1"/>
    <x v="0"/>
    <x v="2"/>
    <x v="1"/>
    <s v="Bayḩān"/>
    <x v="14"/>
    <n v="371.12"/>
    <x v="9"/>
    <x v="1"/>
    <x v="0"/>
    <x v="4"/>
    <x v="1"/>
    <n v="1"/>
    <n v="2"/>
    <x v="3"/>
    <x v="2"/>
    <n v="1"/>
    <x v="1"/>
    <n v="7"/>
    <x v="2"/>
    <x v="0"/>
    <x v="2"/>
    <x v="90"/>
    <x v="1"/>
    <x v="1"/>
    <x v="5"/>
    <x v="1"/>
    <x v="0"/>
    <x v="0"/>
    <s v="No Preference"/>
    <n v="8"/>
  </r>
  <r>
    <x v="945"/>
    <x v="32"/>
    <x v="3"/>
    <x v="1"/>
    <x v="0"/>
    <x v="1"/>
    <x v="2"/>
    <s v="Trondheim"/>
    <x v="0"/>
    <n v="372.26"/>
    <x v="7"/>
    <x v="1"/>
    <x v="1"/>
    <x v="2"/>
    <x v="2"/>
    <n v="5"/>
    <n v="2"/>
    <x v="0"/>
    <x v="1"/>
    <n v="1"/>
    <x v="0"/>
    <n v="8"/>
    <x v="1"/>
    <x v="0"/>
    <x v="2"/>
    <x v="319"/>
    <x v="1"/>
    <x v="1"/>
    <x v="1"/>
    <x v="1"/>
    <x v="0"/>
    <x v="0"/>
    <s v="Express"/>
    <n v="6"/>
  </r>
  <r>
    <x v="946"/>
    <x v="29"/>
    <x v="3"/>
    <x v="1"/>
    <x v="1"/>
    <x v="1"/>
    <x v="2"/>
    <s v="Qingban"/>
    <x v="5"/>
    <n v="375.7"/>
    <x v="1"/>
    <x v="0"/>
    <x v="0"/>
    <x v="3"/>
    <x v="1"/>
    <n v="1"/>
    <n v="2"/>
    <x v="2"/>
    <x v="1"/>
    <n v="2"/>
    <x v="0"/>
    <n v="10"/>
    <x v="0"/>
    <x v="1"/>
    <x v="4"/>
    <x v="209"/>
    <x v="2"/>
    <x v="8"/>
    <x v="5"/>
    <x v="0"/>
    <x v="1"/>
    <x v="0"/>
    <s v="No Preference"/>
    <n v="10"/>
  </r>
  <r>
    <x v="947"/>
    <x v="29"/>
    <x v="3"/>
    <x v="0"/>
    <x v="1"/>
    <x v="2"/>
    <x v="0"/>
    <s v="Kiev"/>
    <x v="19"/>
    <n v="378.14"/>
    <x v="1"/>
    <x v="0"/>
    <x v="2"/>
    <x v="1"/>
    <x v="1"/>
    <n v="2"/>
    <n v="1"/>
    <x v="1"/>
    <x v="1"/>
    <n v="1"/>
    <x v="1"/>
    <n v="6"/>
    <x v="1"/>
    <x v="0"/>
    <x v="2"/>
    <x v="276"/>
    <x v="2"/>
    <x v="8"/>
    <x v="3"/>
    <x v="1"/>
    <x v="1"/>
    <x v="0"/>
    <s v="Standard"/>
    <n v="7"/>
  </r>
  <r>
    <x v="948"/>
    <x v="32"/>
    <x v="3"/>
    <x v="1"/>
    <x v="1"/>
    <x v="2"/>
    <x v="0"/>
    <s v="Fengjiang"/>
    <x v="6"/>
    <n v="378.59"/>
    <x v="3"/>
    <x v="0"/>
    <x v="0"/>
    <x v="1"/>
    <x v="1"/>
    <n v="1"/>
    <n v="0"/>
    <x v="0"/>
    <x v="2"/>
    <n v="0"/>
    <x v="2"/>
    <n v="4"/>
    <x v="1"/>
    <x v="2"/>
    <x v="4"/>
    <x v="10"/>
    <x v="2"/>
    <x v="6"/>
    <x v="1"/>
    <x v="1"/>
    <x v="1"/>
    <x v="0"/>
    <s v="No Preference"/>
    <n v="14"/>
  </r>
  <r>
    <x v="949"/>
    <x v="27"/>
    <x v="3"/>
    <x v="1"/>
    <x v="0"/>
    <x v="1"/>
    <x v="0"/>
    <s v="Pelasgía"/>
    <x v="13"/>
    <n v="378.87"/>
    <x v="5"/>
    <x v="0"/>
    <x v="0"/>
    <x v="4"/>
    <x v="1"/>
    <n v="2"/>
    <n v="2"/>
    <x v="0"/>
    <x v="1"/>
    <n v="2"/>
    <x v="2"/>
    <n v="2"/>
    <x v="0"/>
    <x v="2"/>
    <x v="0"/>
    <x v="128"/>
    <x v="1"/>
    <x v="2"/>
    <x v="0"/>
    <x v="0"/>
    <x v="1"/>
    <x v="1"/>
    <s v="No Preference"/>
    <n v="9"/>
  </r>
  <r>
    <x v="950"/>
    <x v="30"/>
    <x v="3"/>
    <x v="1"/>
    <x v="1"/>
    <x v="1"/>
    <x v="0"/>
    <s v="Pélla"/>
    <x v="4"/>
    <n v="378.87"/>
    <x v="4"/>
    <x v="1"/>
    <x v="0"/>
    <x v="2"/>
    <x v="1"/>
    <n v="2"/>
    <n v="0"/>
    <x v="0"/>
    <x v="1"/>
    <n v="1"/>
    <x v="2"/>
    <n v="2"/>
    <x v="2"/>
    <x v="1"/>
    <x v="2"/>
    <x v="182"/>
    <x v="0"/>
    <x v="5"/>
    <x v="4"/>
    <x v="0"/>
    <x v="1"/>
    <x v="1"/>
    <s v="No Preference"/>
    <n v="5"/>
  </r>
  <r>
    <x v="951"/>
    <x v="31"/>
    <x v="3"/>
    <x v="1"/>
    <x v="1"/>
    <x v="1"/>
    <x v="2"/>
    <s v="Tála"/>
    <x v="8"/>
    <n v="382.24"/>
    <x v="0"/>
    <x v="1"/>
    <x v="1"/>
    <x v="2"/>
    <x v="2"/>
    <n v="5"/>
    <n v="1"/>
    <x v="3"/>
    <x v="1"/>
    <n v="1"/>
    <x v="2"/>
    <n v="4"/>
    <x v="1"/>
    <x v="1"/>
    <x v="2"/>
    <x v="327"/>
    <x v="1"/>
    <x v="10"/>
    <x v="2"/>
    <x v="0"/>
    <x v="0"/>
    <x v="1"/>
    <s v="Standard"/>
    <n v="3"/>
  </r>
  <r>
    <x v="952"/>
    <x v="31"/>
    <x v="3"/>
    <x v="4"/>
    <x v="1"/>
    <x v="1"/>
    <x v="2"/>
    <s v="Rudnogorsk"/>
    <x v="10"/>
    <n v="390.83"/>
    <x v="6"/>
    <x v="1"/>
    <x v="0"/>
    <x v="4"/>
    <x v="2"/>
    <n v="5"/>
    <n v="0"/>
    <x v="1"/>
    <x v="2"/>
    <n v="0"/>
    <x v="1"/>
    <n v="5"/>
    <x v="1"/>
    <x v="2"/>
    <x v="1"/>
    <x v="332"/>
    <x v="2"/>
    <x v="6"/>
    <x v="4"/>
    <x v="1"/>
    <x v="0"/>
    <x v="3"/>
    <s v="No Preference"/>
    <n v="8"/>
  </r>
  <r>
    <x v="953"/>
    <x v="32"/>
    <x v="3"/>
    <x v="0"/>
    <x v="1"/>
    <x v="2"/>
    <x v="0"/>
    <s v="Shreveport"/>
    <x v="0"/>
    <n v="393.48"/>
    <x v="7"/>
    <x v="1"/>
    <x v="1"/>
    <x v="1"/>
    <x v="1"/>
    <n v="2"/>
    <n v="0"/>
    <x v="3"/>
    <x v="1"/>
    <n v="1"/>
    <x v="0"/>
    <n v="10"/>
    <x v="3"/>
    <x v="1"/>
    <x v="4"/>
    <x v="319"/>
    <x v="1"/>
    <x v="1"/>
    <x v="1"/>
    <x v="0"/>
    <x v="0"/>
    <x v="2"/>
    <s v="Standard"/>
    <n v="3"/>
  </r>
  <r>
    <x v="954"/>
    <x v="27"/>
    <x v="3"/>
    <x v="1"/>
    <x v="1"/>
    <x v="2"/>
    <x v="2"/>
    <s v="Donglu"/>
    <x v="6"/>
    <n v="395.18"/>
    <x v="3"/>
    <x v="0"/>
    <x v="1"/>
    <x v="1"/>
    <x v="1"/>
    <n v="2"/>
    <n v="1"/>
    <x v="0"/>
    <x v="0"/>
    <n v="0"/>
    <x v="1"/>
    <n v="5"/>
    <x v="1"/>
    <x v="0"/>
    <x v="4"/>
    <x v="275"/>
    <x v="1"/>
    <x v="10"/>
    <x v="2"/>
    <x v="0"/>
    <x v="0"/>
    <x v="2"/>
    <s v="Standard"/>
    <n v="6"/>
  </r>
  <r>
    <x v="955"/>
    <x v="29"/>
    <x v="3"/>
    <x v="1"/>
    <x v="0"/>
    <x v="2"/>
    <x v="0"/>
    <s v="Veiga"/>
    <x v="5"/>
    <n v="396.76"/>
    <x v="9"/>
    <x v="1"/>
    <x v="0"/>
    <x v="3"/>
    <x v="0"/>
    <n v="3"/>
    <n v="1"/>
    <x v="0"/>
    <x v="1"/>
    <n v="2"/>
    <x v="2"/>
    <n v="4"/>
    <x v="1"/>
    <x v="1"/>
    <x v="1"/>
    <x v="79"/>
    <x v="1"/>
    <x v="10"/>
    <x v="3"/>
    <x v="0"/>
    <x v="0"/>
    <x v="1"/>
    <s v="Express"/>
    <n v="8"/>
  </r>
  <r>
    <x v="956"/>
    <x v="29"/>
    <x v="3"/>
    <x v="1"/>
    <x v="0"/>
    <x v="3"/>
    <x v="0"/>
    <s v="Tipaz"/>
    <x v="17"/>
    <n v="402.82"/>
    <x v="4"/>
    <x v="1"/>
    <x v="0"/>
    <x v="0"/>
    <x v="2"/>
    <n v="5"/>
    <n v="0"/>
    <x v="0"/>
    <x v="2"/>
    <n v="2"/>
    <x v="2"/>
    <n v="2"/>
    <x v="2"/>
    <x v="0"/>
    <x v="0"/>
    <x v="13"/>
    <x v="3"/>
    <x v="4"/>
    <x v="6"/>
    <x v="1"/>
    <x v="1"/>
    <x v="0"/>
    <s v="No Preference"/>
    <n v="13"/>
  </r>
  <r>
    <x v="957"/>
    <x v="32"/>
    <x v="3"/>
    <x v="1"/>
    <x v="1"/>
    <x v="0"/>
    <x v="0"/>
    <s v="General Lavalle"/>
    <x v="12"/>
    <n v="403.03"/>
    <x v="0"/>
    <x v="1"/>
    <x v="2"/>
    <x v="2"/>
    <x v="2"/>
    <n v="5"/>
    <n v="1"/>
    <x v="1"/>
    <x v="2"/>
    <n v="0"/>
    <x v="2"/>
    <n v="1"/>
    <x v="1"/>
    <x v="1"/>
    <x v="4"/>
    <x v="240"/>
    <x v="1"/>
    <x v="1"/>
    <x v="6"/>
    <x v="0"/>
    <x v="0"/>
    <x v="0"/>
    <s v="Standard"/>
    <n v="2"/>
  </r>
  <r>
    <x v="958"/>
    <x v="31"/>
    <x v="3"/>
    <x v="1"/>
    <x v="1"/>
    <x v="0"/>
    <x v="2"/>
    <s v="Ettelbruck"/>
    <x v="7"/>
    <n v="407.29"/>
    <x v="10"/>
    <x v="0"/>
    <x v="1"/>
    <x v="4"/>
    <x v="2"/>
    <n v="5"/>
    <n v="0"/>
    <x v="2"/>
    <x v="0"/>
    <n v="0"/>
    <x v="1"/>
    <n v="5"/>
    <x v="2"/>
    <x v="1"/>
    <x v="4"/>
    <x v="271"/>
    <x v="2"/>
    <x v="3"/>
    <x v="4"/>
    <x v="1"/>
    <x v="1"/>
    <x v="1"/>
    <s v="Express"/>
    <n v="3"/>
  </r>
  <r>
    <x v="959"/>
    <x v="27"/>
    <x v="3"/>
    <x v="1"/>
    <x v="0"/>
    <x v="2"/>
    <x v="2"/>
    <s v="Xingxi"/>
    <x v="18"/>
    <n v="409.98"/>
    <x v="0"/>
    <x v="1"/>
    <x v="2"/>
    <x v="4"/>
    <x v="2"/>
    <n v="4"/>
    <n v="0"/>
    <x v="0"/>
    <x v="0"/>
    <n v="2"/>
    <x v="2"/>
    <n v="1"/>
    <x v="0"/>
    <x v="2"/>
    <x v="2"/>
    <x v="10"/>
    <x v="2"/>
    <x v="6"/>
    <x v="1"/>
    <x v="0"/>
    <x v="1"/>
    <x v="0"/>
    <s v="Express"/>
    <n v="8"/>
  </r>
  <r>
    <x v="960"/>
    <x v="32"/>
    <x v="3"/>
    <x v="0"/>
    <x v="0"/>
    <x v="3"/>
    <x v="2"/>
    <s v="Colombo"/>
    <x v="2"/>
    <n v="411.62"/>
    <x v="1"/>
    <x v="0"/>
    <x v="2"/>
    <x v="1"/>
    <x v="1"/>
    <n v="1"/>
    <n v="0"/>
    <x v="1"/>
    <x v="2"/>
    <n v="2"/>
    <x v="1"/>
    <n v="7"/>
    <x v="0"/>
    <x v="1"/>
    <x v="2"/>
    <x v="46"/>
    <x v="2"/>
    <x v="6"/>
    <x v="2"/>
    <x v="0"/>
    <x v="1"/>
    <x v="0"/>
    <s v="Express"/>
    <n v="12"/>
  </r>
  <r>
    <x v="961"/>
    <x v="29"/>
    <x v="3"/>
    <x v="1"/>
    <x v="0"/>
    <x v="2"/>
    <x v="2"/>
    <s v="Proletarsk"/>
    <x v="13"/>
    <n v="421.5"/>
    <x v="7"/>
    <x v="1"/>
    <x v="0"/>
    <x v="4"/>
    <x v="1"/>
    <n v="1"/>
    <n v="2"/>
    <x v="2"/>
    <x v="2"/>
    <n v="0"/>
    <x v="0"/>
    <n v="8"/>
    <x v="3"/>
    <x v="2"/>
    <x v="2"/>
    <x v="220"/>
    <x v="0"/>
    <x v="5"/>
    <x v="6"/>
    <x v="0"/>
    <x v="0"/>
    <x v="2"/>
    <s v="Express"/>
    <n v="3"/>
  </r>
  <r>
    <x v="962"/>
    <x v="28"/>
    <x v="3"/>
    <x v="1"/>
    <x v="1"/>
    <x v="3"/>
    <x v="2"/>
    <s v="Huancabamba"/>
    <x v="0"/>
    <n v="423.23"/>
    <x v="0"/>
    <x v="1"/>
    <x v="1"/>
    <x v="3"/>
    <x v="0"/>
    <n v="3"/>
    <n v="2"/>
    <x v="3"/>
    <x v="2"/>
    <n v="0"/>
    <x v="1"/>
    <n v="7"/>
    <x v="2"/>
    <x v="1"/>
    <x v="0"/>
    <x v="120"/>
    <x v="2"/>
    <x v="3"/>
    <x v="1"/>
    <x v="1"/>
    <x v="1"/>
    <x v="1"/>
    <s v="Standard"/>
    <n v="6"/>
  </r>
  <r>
    <x v="963"/>
    <x v="32"/>
    <x v="3"/>
    <x v="0"/>
    <x v="1"/>
    <x v="2"/>
    <x v="0"/>
    <s v="Yuanguping"/>
    <x v="9"/>
    <n v="425.18"/>
    <x v="8"/>
    <x v="0"/>
    <x v="2"/>
    <x v="1"/>
    <x v="1"/>
    <n v="1"/>
    <n v="0"/>
    <x v="1"/>
    <x v="1"/>
    <n v="1"/>
    <x v="0"/>
    <n v="8"/>
    <x v="0"/>
    <x v="1"/>
    <x v="2"/>
    <x v="288"/>
    <x v="0"/>
    <x v="0"/>
    <x v="1"/>
    <x v="0"/>
    <x v="1"/>
    <x v="0"/>
    <s v="Standard"/>
    <n v="10"/>
  </r>
  <r>
    <x v="964"/>
    <x v="32"/>
    <x v="3"/>
    <x v="0"/>
    <x v="0"/>
    <x v="0"/>
    <x v="2"/>
    <s v="Hachiōji"/>
    <x v="8"/>
    <n v="427.1"/>
    <x v="9"/>
    <x v="1"/>
    <x v="2"/>
    <x v="2"/>
    <x v="1"/>
    <n v="2"/>
    <n v="1"/>
    <x v="3"/>
    <x v="2"/>
    <n v="0"/>
    <x v="2"/>
    <n v="2"/>
    <x v="0"/>
    <x v="2"/>
    <x v="2"/>
    <x v="217"/>
    <x v="0"/>
    <x v="7"/>
    <x v="5"/>
    <x v="1"/>
    <x v="0"/>
    <x v="1"/>
    <s v="No Preference"/>
    <n v="5"/>
  </r>
  <r>
    <x v="965"/>
    <x v="31"/>
    <x v="3"/>
    <x v="0"/>
    <x v="1"/>
    <x v="1"/>
    <x v="1"/>
    <s v="Acheng"/>
    <x v="7"/>
    <n v="430.75"/>
    <x v="9"/>
    <x v="1"/>
    <x v="2"/>
    <x v="3"/>
    <x v="2"/>
    <n v="4"/>
    <n v="2"/>
    <x v="2"/>
    <x v="1"/>
    <n v="1"/>
    <x v="1"/>
    <n v="5"/>
    <x v="3"/>
    <x v="1"/>
    <x v="1"/>
    <x v="289"/>
    <x v="0"/>
    <x v="5"/>
    <x v="2"/>
    <x v="1"/>
    <x v="1"/>
    <x v="2"/>
    <s v="No Preference"/>
    <n v="6"/>
  </r>
  <r>
    <x v="966"/>
    <x v="27"/>
    <x v="3"/>
    <x v="1"/>
    <x v="1"/>
    <x v="1"/>
    <x v="2"/>
    <s v="Villa Concepción del Tío"/>
    <x v="0"/>
    <n v="432.42"/>
    <x v="5"/>
    <x v="0"/>
    <x v="1"/>
    <x v="0"/>
    <x v="2"/>
    <n v="4"/>
    <n v="0"/>
    <x v="1"/>
    <x v="0"/>
    <n v="0"/>
    <x v="0"/>
    <n v="8"/>
    <x v="3"/>
    <x v="1"/>
    <x v="2"/>
    <x v="74"/>
    <x v="0"/>
    <x v="5"/>
    <x v="0"/>
    <x v="1"/>
    <x v="0"/>
    <x v="2"/>
    <s v="Express"/>
    <n v="13"/>
  </r>
  <r>
    <x v="967"/>
    <x v="27"/>
    <x v="3"/>
    <x v="0"/>
    <x v="0"/>
    <x v="1"/>
    <x v="2"/>
    <s v="Vabalninkas"/>
    <x v="3"/>
    <n v="435.23"/>
    <x v="5"/>
    <x v="0"/>
    <x v="1"/>
    <x v="1"/>
    <x v="2"/>
    <n v="4"/>
    <n v="0"/>
    <x v="0"/>
    <x v="2"/>
    <n v="2"/>
    <x v="2"/>
    <n v="2"/>
    <x v="0"/>
    <x v="0"/>
    <x v="1"/>
    <x v="78"/>
    <x v="3"/>
    <x v="11"/>
    <x v="1"/>
    <x v="1"/>
    <x v="0"/>
    <x v="3"/>
    <s v="Express"/>
    <n v="13"/>
  </r>
  <r>
    <x v="968"/>
    <x v="32"/>
    <x v="3"/>
    <x v="0"/>
    <x v="1"/>
    <x v="2"/>
    <x v="0"/>
    <s v="Youcheng"/>
    <x v="9"/>
    <n v="435.52"/>
    <x v="6"/>
    <x v="1"/>
    <x v="0"/>
    <x v="4"/>
    <x v="0"/>
    <n v="3"/>
    <n v="2"/>
    <x v="3"/>
    <x v="0"/>
    <n v="1"/>
    <x v="2"/>
    <n v="2"/>
    <x v="0"/>
    <x v="2"/>
    <x v="0"/>
    <x v="99"/>
    <x v="2"/>
    <x v="3"/>
    <x v="1"/>
    <x v="0"/>
    <x v="1"/>
    <x v="3"/>
    <s v="No Preference"/>
    <n v="11"/>
  </r>
  <r>
    <x v="969"/>
    <x v="28"/>
    <x v="3"/>
    <x v="0"/>
    <x v="1"/>
    <x v="3"/>
    <x v="1"/>
    <s v="Pegões"/>
    <x v="4"/>
    <n v="436.54"/>
    <x v="0"/>
    <x v="1"/>
    <x v="0"/>
    <x v="3"/>
    <x v="0"/>
    <n v="3"/>
    <n v="0"/>
    <x v="1"/>
    <x v="1"/>
    <n v="1"/>
    <x v="0"/>
    <n v="8"/>
    <x v="2"/>
    <x v="0"/>
    <x v="0"/>
    <x v="341"/>
    <x v="0"/>
    <x v="7"/>
    <x v="6"/>
    <x v="0"/>
    <x v="1"/>
    <x v="0"/>
    <s v="No Preference"/>
    <n v="9"/>
  </r>
  <r>
    <x v="970"/>
    <x v="29"/>
    <x v="3"/>
    <x v="0"/>
    <x v="0"/>
    <x v="2"/>
    <x v="1"/>
    <s v="Zhovkva"/>
    <x v="5"/>
    <n v="437.59"/>
    <x v="2"/>
    <x v="1"/>
    <x v="1"/>
    <x v="2"/>
    <x v="2"/>
    <n v="4"/>
    <n v="0"/>
    <x v="0"/>
    <x v="1"/>
    <n v="0"/>
    <x v="2"/>
    <n v="4"/>
    <x v="1"/>
    <x v="1"/>
    <x v="3"/>
    <x v="321"/>
    <x v="3"/>
    <x v="11"/>
    <x v="4"/>
    <x v="0"/>
    <x v="0"/>
    <x v="3"/>
    <s v="Express"/>
    <n v="9"/>
  </r>
  <r>
    <x v="971"/>
    <x v="32"/>
    <x v="3"/>
    <x v="0"/>
    <x v="0"/>
    <x v="0"/>
    <x v="0"/>
    <s v="Magdalena"/>
    <x v="15"/>
    <n v="437.97"/>
    <x v="9"/>
    <x v="1"/>
    <x v="0"/>
    <x v="0"/>
    <x v="1"/>
    <n v="2"/>
    <n v="0"/>
    <x v="3"/>
    <x v="0"/>
    <n v="0"/>
    <x v="1"/>
    <n v="7"/>
    <x v="0"/>
    <x v="1"/>
    <x v="0"/>
    <x v="61"/>
    <x v="0"/>
    <x v="5"/>
    <x v="1"/>
    <x v="0"/>
    <x v="0"/>
    <x v="2"/>
    <s v="Express"/>
    <n v="12"/>
  </r>
  <r>
    <x v="972"/>
    <x v="28"/>
    <x v="3"/>
    <x v="0"/>
    <x v="1"/>
    <x v="0"/>
    <x v="2"/>
    <s v="Ndewel"/>
    <x v="12"/>
    <n v="439.31"/>
    <x v="8"/>
    <x v="0"/>
    <x v="1"/>
    <x v="3"/>
    <x v="1"/>
    <n v="2"/>
    <n v="1"/>
    <x v="1"/>
    <x v="1"/>
    <n v="0"/>
    <x v="1"/>
    <n v="6"/>
    <x v="0"/>
    <x v="0"/>
    <x v="0"/>
    <x v="194"/>
    <x v="1"/>
    <x v="1"/>
    <x v="0"/>
    <x v="1"/>
    <x v="0"/>
    <x v="0"/>
    <s v="No Preference"/>
    <n v="7"/>
  </r>
  <r>
    <x v="973"/>
    <x v="31"/>
    <x v="3"/>
    <x v="3"/>
    <x v="1"/>
    <x v="3"/>
    <x v="2"/>
    <s v="Karabash"/>
    <x v="7"/>
    <n v="440.62"/>
    <x v="9"/>
    <x v="1"/>
    <x v="2"/>
    <x v="1"/>
    <x v="1"/>
    <n v="2"/>
    <n v="2"/>
    <x v="0"/>
    <x v="1"/>
    <n v="1"/>
    <x v="2"/>
    <n v="3"/>
    <x v="0"/>
    <x v="1"/>
    <x v="0"/>
    <x v="92"/>
    <x v="3"/>
    <x v="11"/>
    <x v="6"/>
    <x v="0"/>
    <x v="0"/>
    <x v="2"/>
    <s v="Express"/>
    <n v="6"/>
  </r>
  <r>
    <x v="974"/>
    <x v="27"/>
    <x v="3"/>
    <x v="1"/>
    <x v="0"/>
    <x v="0"/>
    <x v="1"/>
    <s v="Saint-Brieuc"/>
    <x v="0"/>
    <n v="443.11"/>
    <x v="6"/>
    <x v="1"/>
    <x v="1"/>
    <x v="2"/>
    <x v="1"/>
    <n v="2"/>
    <n v="1"/>
    <x v="0"/>
    <x v="1"/>
    <n v="0"/>
    <x v="0"/>
    <n v="10"/>
    <x v="2"/>
    <x v="1"/>
    <x v="4"/>
    <x v="292"/>
    <x v="3"/>
    <x v="4"/>
    <x v="5"/>
    <x v="0"/>
    <x v="0"/>
    <x v="0"/>
    <s v="No Preference"/>
    <n v="1"/>
  </r>
  <r>
    <x v="975"/>
    <x v="30"/>
    <x v="3"/>
    <x v="0"/>
    <x v="0"/>
    <x v="3"/>
    <x v="2"/>
    <s v="Jiaozuo"/>
    <x v="11"/>
    <n v="445.93"/>
    <x v="1"/>
    <x v="0"/>
    <x v="0"/>
    <x v="4"/>
    <x v="2"/>
    <n v="5"/>
    <n v="2"/>
    <x v="3"/>
    <x v="2"/>
    <n v="2"/>
    <x v="2"/>
    <n v="4"/>
    <x v="1"/>
    <x v="0"/>
    <x v="0"/>
    <x v="25"/>
    <x v="0"/>
    <x v="7"/>
    <x v="3"/>
    <x v="1"/>
    <x v="0"/>
    <x v="2"/>
    <s v="No Preference"/>
    <n v="13"/>
  </r>
  <r>
    <x v="976"/>
    <x v="28"/>
    <x v="3"/>
    <x v="0"/>
    <x v="0"/>
    <x v="1"/>
    <x v="2"/>
    <s v="Bronnitsy"/>
    <x v="3"/>
    <n v="454.38"/>
    <x v="2"/>
    <x v="1"/>
    <x v="0"/>
    <x v="3"/>
    <x v="2"/>
    <n v="4"/>
    <n v="0"/>
    <x v="0"/>
    <x v="2"/>
    <n v="0"/>
    <x v="0"/>
    <n v="10"/>
    <x v="0"/>
    <x v="0"/>
    <x v="2"/>
    <x v="200"/>
    <x v="1"/>
    <x v="2"/>
    <x v="2"/>
    <x v="0"/>
    <x v="1"/>
    <x v="3"/>
    <s v="No Preference"/>
    <n v="7"/>
  </r>
  <r>
    <x v="977"/>
    <x v="31"/>
    <x v="3"/>
    <x v="0"/>
    <x v="0"/>
    <x v="3"/>
    <x v="0"/>
    <s v="Hongshanzui"/>
    <x v="18"/>
    <n v="454.57"/>
    <x v="6"/>
    <x v="1"/>
    <x v="2"/>
    <x v="1"/>
    <x v="2"/>
    <n v="5"/>
    <n v="1"/>
    <x v="2"/>
    <x v="2"/>
    <n v="0"/>
    <x v="2"/>
    <n v="1"/>
    <x v="0"/>
    <x v="0"/>
    <x v="0"/>
    <x v="51"/>
    <x v="0"/>
    <x v="0"/>
    <x v="0"/>
    <x v="0"/>
    <x v="0"/>
    <x v="0"/>
    <s v="Express"/>
    <n v="1"/>
  </r>
  <r>
    <x v="978"/>
    <x v="31"/>
    <x v="3"/>
    <x v="2"/>
    <x v="1"/>
    <x v="2"/>
    <x v="2"/>
    <s v="Campo Maior"/>
    <x v="5"/>
    <n v="457.18"/>
    <x v="4"/>
    <x v="1"/>
    <x v="1"/>
    <x v="0"/>
    <x v="0"/>
    <n v="3"/>
    <n v="2"/>
    <x v="3"/>
    <x v="1"/>
    <n v="2"/>
    <x v="1"/>
    <n v="6"/>
    <x v="0"/>
    <x v="0"/>
    <x v="4"/>
    <x v="8"/>
    <x v="1"/>
    <x v="1"/>
    <x v="1"/>
    <x v="0"/>
    <x v="0"/>
    <x v="0"/>
    <s v="Express"/>
    <n v="10"/>
  </r>
  <r>
    <x v="979"/>
    <x v="30"/>
    <x v="3"/>
    <x v="0"/>
    <x v="0"/>
    <x v="0"/>
    <x v="1"/>
    <s v="Embu Guaçu"/>
    <x v="3"/>
    <n v="460.37"/>
    <x v="2"/>
    <x v="1"/>
    <x v="0"/>
    <x v="4"/>
    <x v="2"/>
    <n v="4"/>
    <n v="2"/>
    <x v="2"/>
    <x v="1"/>
    <n v="2"/>
    <x v="1"/>
    <n v="7"/>
    <x v="1"/>
    <x v="2"/>
    <x v="3"/>
    <x v="85"/>
    <x v="1"/>
    <x v="10"/>
    <x v="2"/>
    <x v="0"/>
    <x v="0"/>
    <x v="0"/>
    <s v="Express"/>
    <n v="12"/>
  </r>
  <r>
    <x v="980"/>
    <x v="27"/>
    <x v="3"/>
    <x v="4"/>
    <x v="1"/>
    <x v="0"/>
    <x v="2"/>
    <s v="Pombas"/>
    <x v="10"/>
    <n v="460.88"/>
    <x v="3"/>
    <x v="0"/>
    <x v="2"/>
    <x v="3"/>
    <x v="2"/>
    <n v="4"/>
    <n v="2"/>
    <x v="0"/>
    <x v="0"/>
    <n v="2"/>
    <x v="2"/>
    <n v="4"/>
    <x v="1"/>
    <x v="1"/>
    <x v="1"/>
    <x v="342"/>
    <x v="0"/>
    <x v="5"/>
    <x v="5"/>
    <x v="0"/>
    <x v="1"/>
    <x v="3"/>
    <s v="Standard"/>
    <n v="2"/>
  </r>
  <r>
    <x v="981"/>
    <x v="31"/>
    <x v="3"/>
    <x v="4"/>
    <x v="0"/>
    <x v="3"/>
    <x v="0"/>
    <s v="Lonpao Dajah"/>
    <x v="8"/>
    <n v="461.16"/>
    <x v="9"/>
    <x v="1"/>
    <x v="2"/>
    <x v="2"/>
    <x v="2"/>
    <n v="4"/>
    <n v="1"/>
    <x v="3"/>
    <x v="0"/>
    <n v="0"/>
    <x v="2"/>
    <n v="3"/>
    <x v="0"/>
    <x v="0"/>
    <x v="4"/>
    <x v="215"/>
    <x v="3"/>
    <x v="11"/>
    <x v="6"/>
    <x v="0"/>
    <x v="0"/>
    <x v="1"/>
    <s v="Express"/>
    <n v="14"/>
  </r>
  <r>
    <x v="982"/>
    <x v="31"/>
    <x v="3"/>
    <x v="0"/>
    <x v="0"/>
    <x v="3"/>
    <x v="1"/>
    <s v="Palampal"/>
    <x v="5"/>
    <n v="462.24"/>
    <x v="5"/>
    <x v="0"/>
    <x v="2"/>
    <x v="0"/>
    <x v="2"/>
    <n v="5"/>
    <n v="0"/>
    <x v="2"/>
    <x v="0"/>
    <n v="2"/>
    <x v="2"/>
    <n v="1"/>
    <x v="3"/>
    <x v="0"/>
    <x v="4"/>
    <x v="288"/>
    <x v="0"/>
    <x v="0"/>
    <x v="1"/>
    <x v="0"/>
    <x v="0"/>
    <x v="0"/>
    <s v="Express"/>
    <n v="13"/>
  </r>
  <r>
    <x v="983"/>
    <x v="32"/>
    <x v="3"/>
    <x v="0"/>
    <x v="0"/>
    <x v="2"/>
    <x v="1"/>
    <s v="Tiang"/>
    <x v="11"/>
    <n v="463.15"/>
    <x v="10"/>
    <x v="0"/>
    <x v="2"/>
    <x v="2"/>
    <x v="1"/>
    <n v="1"/>
    <n v="1"/>
    <x v="0"/>
    <x v="2"/>
    <n v="1"/>
    <x v="0"/>
    <n v="9"/>
    <x v="1"/>
    <x v="0"/>
    <x v="0"/>
    <x v="294"/>
    <x v="0"/>
    <x v="5"/>
    <x v="6"/>
    <x v="0"/>
    <x v="0"/>
    <x v="2"/>
    <s v="Standard"/>
    <n v="9"/>
  </r>
  <r>
    <x v="984"/>
    <x v="28"/>
    <x v="3"/>
    <x v="0"/>
    <x v="1"/>
    <x v="0"/>
    <x v="0"/>
    <s v="Nabīnagar"/>
    <x v="12"/>
    <n v="465.85"/>
    <x v="2"/>
    <x v="1"/>
    <x v="0"/>
    <x v="4"/>
    <x v="0"/>
    <n v="3"/>
    <n v="2"/>
    <x v="0"/>
    <x v="2"/>
    <n v="2"/>
    <x v="0"/>
    <n v="10"/>
    <x v="0"/>
    <x v="2"/>
    <x v="2"/>
    <x v="220"/>
    <x v="0"/>
    <x v="5"/>
    <x v="6"/>
    <x v="0"/>
    <x v="1"/>
    <x v="0"/>
    <s v="Standard"/>
    <n v="7"/>
  </r>
  <r>
    <x v="985"/>
    <x v="29"/>
    <x v="3"/>
    <x v="1"/>
    <x v="1"/>
    <x v="1"/>
    <x v="2"/>
    <s v="White River"/>
    <x v="6"/>
    <n v="467.32"/>
    <x v="0"/>
    <x v="1"/>
    <x v="1"/>
    <x v="0"/>
    <x v="2"/>
    <n v="4"/>
    <n v="2"/>
    <x v="1"/>
    <x v="2"/>
    <n v="2"/>
    <x v="2"/>
    <n v="4"/>
    <x v="2"/>
    <x v="0"/>
    <x v="2"/>
    <x v="331"/>
    <x v="3"/>
    <x v="4"/>
    <x v="0"/>
    <x v="1"/>
    <x v="0"/>
    <x v="2"/>
    <s v="No Preference"/>
    <n v="11"/>
  </r>
  <r>
    <x v="986"/>
    <x v="28"/>
    <x v="3"/>
    <x v="1"/>
    <x v="1"/>
    <x v="2"/>
    <x v="0"/>
    <s v="Banjar Medura"/>
    <x v="0"/>
    <n v="468.6"/>
    <x v="8"/>
    <x v="0"/>
    <x v="2"/>
    <x v="3"/>
    <x v="2"/>
    <n v="4"/>
    <n v="2"/>
    <x v="1"/>
    <x v="2"/>
    <n v="0"/>
    <x v="1"/>
    <n v="6"/>
    <x v="3"/>
    <x v="2"/>
    <x v="2"/>
    <x v="305"/>
    <x v="1"/>
    <x v="2"/>
    <x v="5"/>
    <x v="1"/>
    <x v="0"/>
    <x v="2"/>
    <s v="No Preference"/>
    <n v="2"/>
  </r>
  <r>
    <x v="987"/>
    <x v="27"/>
    <x v="3"/>
    <x v="1"/>
    <x v="1"/>
    <x v="0"/>
    <x v="2"/>
    <s v="Przeworsk"/>
    <x v="5"/>
    <n v="471.31"/>
    <x v="8"/>
    <x v="0"/>
    <x v="2"/>
    <x v="2"/>
    <x v="2"/>
    <n v="5"/>
    <n v="2"/>
    <x v="3"/>
    <x v="1"/>
    <n v="0"/>
    <x v="0"/>
    <n v="8"/>
    <x v="3"/>
    <x v="0"/>
    <x v="4"/>
    <x v="309"/>
    <x v="3"/>
    <x v="9"/>
    <x v="1"/>
    <x v="1"/>
    <x v="0"/>
    <x v="3"/>
    <s v="Express"/>
    <n v="7"/>
  </r>
  <r>
    <x v="988"/>
    <x v="27"/>
    <x v="3"/>
    <x v="5"/>
    <x v="0"/>
    <x v="2"/>
    <x v="2"/>
    <s v="Pedraza"/>
    <x v="8"/>
    <n v="474.42"/>
    <x v="8"/>
    <x v="0"/>
    <x v="1"/>
    <x v="1"/>
    <x v="0"/>
    <n v="3"/>
    <n v="0"/>
    <x v="1"/>
    <x v="0"/>
    <n v="1"/>
    <x v="0"/>
    <n v="9"/>
    <x v="3"/>
    <x v="2"/>
    <x v="0"/>
    <x v="166"/>
    <x v="2"/>
    <x v="8"/>
    <x v="2"/>
    <x v="0"/>
    <x v="1"/>
    <x v="2"/>
    <s v="No Preference"/>
    <n v="5"/>
  </r>
  <r>
    <x v="989"/>
    <x v="27"/>
    <x v="3"/>
    <x v="1"/>
    <x v="1"/>
    <x v="1"/>
    <x v="2"/>
    <s v="Shiree"/>
    <x v="9"/>
    <n v="474.99"/>
    <x v="6"/>
    <x v="1"/>
    <x v="0"/>
    <x v="1"/>
    <x v="2"/>
    <n v="4"/>
    <n v="1"/>
    <x v="0"/>
    <x v="2"/>
    <n v="0"/>
    <x v="0"/>
    <n v="8"/>
    <x v="1"/>
    <x v="2"/>
    <x v="3"/>
    <x v="295"/>
    <x v="1"/>
    <x v="10"/>
    <x v="3"/>
    <x v="0"/>
    <x v="1"/>
    <x v="1"/>
    <s v="Standard"/>
    <n v="5"/>
  </r>
  <r>
    <x v="990"/>
    <x v="28"/>
    <x v="3"/>
    <x v="0"/>
    <x v="1"/>
    <x v="2"/>
    <x v="0"/>
    <s v="Vichuga"/>
    <x v="8"/>
    <n v="476.42"/>
    <x v="4"/>
    <x v="1"/>
    <x v="1"/>
    <x v="2"/>
    <x v="1"/>
    <n v="1"/>
    <n v="1"/>
    <x v="3"/>
    <x v="1"/>
    <n v="0"/>
    <x v="2"/>
    <n v="2"/>
    <x v="1"/>
    <x v="2"/>
    <x v="0"/>
    <x v="15"/>
    <x v="2"/>
    <x v="8"/>
    <x v="4"/>
    <x v="0"/>
    <x v="1"/>
    <x v="2"/>
    <s v="Standard"/>
    <n v="2"/>
  </r>
  <r>
    <x v="991"/>
    <x v="28"/>
    <x v="3"/>
    <x v="0"/>
    <x v="1"/>
    <x v="2"/>
    <x v="2"/>
    <s v="Shostka"/>
    <x v="13"/>
    <n v="481.21"/>
    <x v="10"/>
    <x v="0"/>
    <x v="2"/>
    <x v="2"/>
    <x v="1"/>
    <n v="2"/>
    <n v="1"/>
    <x v="3"/>
    <x v="0"/>
    <n v="0"/>
    <x v="2"/>
    <n v="1"/>
    <x v="3"/>
    <x v="2"/>
    <x v="3"/>
    <x v="179"/>
    <x v="2"/>
    <x v="3"/>
    <x v="3"/>
    <x v="1"/>
    <x v="1"/>
    <x v="0"/>
    <s v="No Preference"/>
    <n v="11"/>
  </r>
  <r>
    <x v="992"/>
    <x v="27"/>
    <x v="3"/>
    <x v="0"/>
    <x v="0"/>
    <x v="3"/>
    <x v="0"/>
    <s v="Shu"/>
    <x v="19"/>
    <n v="486.07"/>
    <x v="7"/>
    <x v="1"/>
    <x v="2"/>
    <x v="4"/>
    <x v="1"/>
    <n v="1"/>
    <n v="0"/>
    <x v="1"/>
    <x v="2"/>
    <n v="2"/>
    <x v="1"/>
    <n v="6"/>
    <x v="3"/>
    <x v="1"/>
    <x v="3"/>
    <x v="219"/>
    <x v="3"/>
    <x v="4"/>
    <x v="1"/>
    <x v="1"/>
    <x v="1"/>
    <x v="1"/>
    <s v="Standard"/>
    <n v="12"/>
  </r>
  <r>
    <x v="993"/>
    <x v="31"/>
    <x v="3"/>
    <x v="0"/>
    <x v="1"/>
    <x v="0"/>
    <x v="1"/>
    <s v="Boro Utara"/>
    <x v="14"/>
    <n v="487.95"/>
    <x v="9"/>
    <x v="1"/>
    <x v="2"/>
    <x v="3"/>
    <x v="0"/>
    <n v="3"/>
    <n v="0"/>
    <x v="3"/>
    <x v="0"/>
    <n v="2"/>
    <x v="2"/>
    <n v="3"/>
    <x v="3"/>
    <x v="1"/>
    <x v="0"/>
    <x v="288"/>
    <x v="0"/>
    <x v="0"/>
    <x v="1"/>
    <x v="1"/>
    <x v="1"/>
    <x v="1"/>
    <s v="No Preference"/>
    <n v="7"/>
  </r>
  <r>
    <x v="994"/>
    <x v="31"/>
    <x v="3"/>
    <x v="0"/>
    <x v="1"/>
    <x v="0"/>
    <x v="2"/>
    <s v="Boundiali"/>
    <x v="9"/>
    <n v="487.96"/>
    <x v="5"/>
    <x v="0"/>
    <x v="2"/>
    <x v="4"/>
    <x v="0"/>
    <n v="3"/>
    <n v="2"/>
    <x v="2"/>
    <x v="1"/>
    <n v="0"/>
    <x v="2"/>
    <n v="2"/>
    <x v="3"/>
    <x v="2"/>
    <x v="2"/>
    <x v="140"/>
    <x v="0"/>
    <x v="0"/>
    <x v="5"/>
    <x v="0"/>
    <x v="0"/>
    <x v="2"/>
    <s v="No Preference"/>
    <n v="12"/>
  </r>
  <r>
    <x v="995"/>
    <x v="31"/>
    <x v="3"/>
    <x v="1"/>
    <x v="0"/>
    <x v="1"/>
    <x v="1"/>
    <s v="Santa Maria do Souto"/>
    <x v="19"/>
    <n v="489.27"/>
    <x v="8"/>
    <x v="0"/>
    <x v="2"/>
    <x v="2"/>
    <x v="2"/>
    <n v="4"/>
    <n v="1"/>
    <x v="3"/>
    <x v="2"/>
    <n v="1"/>
    <x v="2"/>
    <n v="3"/>
    <x v="3"/>
    <x v="1"/>
    <x v="0"/>
    <x v="196"/>
    <x v="3"/>
    <x v="4"/>
    <x v="2"/>
    <x v="1"/>
    <x v="1"/>
    <x v="0"/>
    <s v="Standard"/>
    <n v="3"/>
  </r>
  <r>
    <x v="996"/>
    <x v="27"/>
    <x v="3"/>
    <x v="1"/>
    <x v="1"/>
    <x v="0"/>
    <x v="1"/>
    <s v="Haradok"/>
    <x v="0"/>
    <n v="490.41"/>
    <x v="4"/>
    <x v="1"/>
    <x v="0"/>
    <x v="3"/>
    <x v="2"/>
    <n v="5"/>
    <n v="1"/>
    <x v="1"/>
    <x v="1"/>
    <n v="1"/>
    <x v="0"/>
    <n v="10"/>
    <x v="2"/>
    <x v="1"/>
    <x v="4"/>
    <x v="238"/>
    <x v="2"/>
    <x v="6"/>
    <x v="1"/>
    <x v="0"/>
    <x v="1"/>
    <x v="1"/>
    <s v="Standard"/>
    <n v="5"/>
  </r>
  <r>
    <x v="997"/>
    <x v="31"/>
    <x v="3"/>
    <x v="1"/>
    <x v="1"/>
    <x v="1"/>
    <x v="2"/>
    <s v="Santa Marta"/>
    <x v="6"/>
    <n v="491.51"/>
    <x v="5"/>
    <x v="0"/>
    <x v="2"/>
    <x v="1"/>
    <x v="2"/>
    <n v="5"/>
    <n v="0"/>
    <x v="1"/>
    <x v="1"/>
    <n v="1"/>
    <x v="2"/>
    <n v="1"/>
    <x v="1"/>
    <x v="0"/>
    <x v="2"/>
    <x v="102"/>
    <x v="3"/>
    <x v="9"/>
    <x v="5"/>
    <x v="0"/>
    <x v="1"/>
    <x v="2"/>
    <s v="No Preference"/>
    <n v="7"/>
  </r>
  <r>
    <x v="998"/>
    <x v="32"/>
    <x v="3"/>
    <x v="3"/>
    <x v="0"/>
    <x v="1"/>
    <x v="2"/>
    <s v="Negeriagung"/>
    <x v="4"/>
    <n v="491.92"/>
    <x v="2"/>
    <x v="1"/>
    <x v="1"/>
    <x v="4"/>
    <x v="0"/>
    <n v="3"/>
    <n v="0"/>
    <x v="1"/>
    <x v="1"/>
    <n v="1"/>
    <x v="2"/>
    <n v="1"/>
    <x v="2"/>
    <x v="2"/>
    <x v="3"/>
    <x v="343"/>
    <x v="3"/>
    <x v="9"/>
    <x v="0"/>
    <x v="1"/>
    <x v="1"/>
    <x v="0"/>
    <s v="Standard"/>
    <n v="2"/>
  </r>
  <r>
    <x v="999"/>
    <x v="31"/>
    <x v="3"/>
    <x v="1"/>
    <x v="1"/>
    <x v="0"/>
    <x v="1"/>
    <s v="San Carlos"/>
    <x v="8"/>
    <n v="492.83"/>
    <x v="3"/>
    <x v="0"/>
    <x v="0"/>
    <x v="1"/>
    <x v="1"/>
    <n v="1"/>
    <n v="0"/>
    <x v="3"/>
    <x v="1"/>
    <n v="0"/>
    <x v="2"/>
    <n v="4"/>
    <x v="1"/>
    <x v="1"/>
    <x v="0"/>
    <x v="33"/>
    <x v="0"/>
    <x v="0"/>
    <x v="2"/>
    <x v="0"/>
    <x v="1"/>
    <x v="2"/>
    <s v="No Preference"/>
    <n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AD07BD-F4CE-40B1-B748-840B217C5273}" name="PivotTable2" cacheId="24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3:B12" firstHeaderRow="1" firstDataRow="1" firstDataCol="1"/>
  <pivotFields count="34">
    <pivotField dataField="1" compact="0" outline="0" showAll="0">
      <items count="1001">
        <item x="608"/>
        <item x="499"/>
        <item x="280"/>
        <item x="7"/>
        <item x="122"/>
        <item x="812"/>
        <item x="767"/>
        <item x="792"/>
        <item x="357"/>
        <item x="845"/>
        <item x="537"/>
        <item x="510"/>
        <item x="316"/>
        <item x="740"/>
        <item x="711"/>
        <item x="826"/>
        <item x="678"/>
        <item x="300"/>
        <item x="47"/>
        <item x="234"/>
        <item x="602"/>
        <item x="618"/>
        <item x="80"/>
        <item x="818"/>
        <item x="681"/>
        <item x="509"/>
        <item x="805"/>
        <item x="44"/>
        <item x="591"/>
        <item x="963"/>
        <item x="962"/>
        <item x="631"/>
        <item x="578"/>
        <item x="476"/>
        <item x="745"/>
        <item x="133"/>
        <item x="595"/>
        <item x="418"/>
        <item x="592"/>
        <item x="769"/>
        <item x="363"/>
        <item x="576"/>
        <item x="730"/>
        <item x="78"/>
        <item x="983"/>
        <item x="710"/>
        <item x="597"/>
        <item x="895"/>
        <item x="96"/>
        <item x="833"/>
        <item x="249"/>
        <item x="75"/>
        <item x="158"/>
        <item x="445"/>
        <item x="728"/>
        <item x="197"/>
        <item x="271"/>
        <item x="182"/>
        <item x="303"/>
        <item x="497"/>
        <item x="215"/>
        <item x="26"/>
        <item x="429"/>
        <item x="682"/>
        <item x="422"/>
        <item x="549"/>
        <item x="269"/>
        <item x="466"/>
        <item x="850"/>
        <item x="411"/>
        <item x="842"/>
        <item x="128"/>
        <item x="483"/>
        <item x="624"/>
        <item x="729"/>
        <item x="304"/>
        <item x="676"/>
        <item x="119"/>
        <item x="820"/>
        <item x="309"/>
        <item x="413"/>
        <item x="135"/>
        <item x="960"/>
        <item x="502"/>
        <item x="334"/>
        <item x="87"/>
        <item x="255"/>
        <item x="892"/>
        <item x="658"/>
        <item x="828"/>
        <item x="192"/>
        <item x="438"/>
        <item x="307"/>
        <item x="958"/>
        <item x="819"/>
        <item x="890"/>
        <item x="715"/>
        <item x="614"/>
        <item x="655"/>
        <item x="604"/>
        <item x="186"/>
        <item x="63"/>
        <item x="176"/>
        <item x="920"/>
        <item x="934"/>
        <item x="378"/>
        <item x="915"/>
        <item x="700"/>
        <item x="857"/>
        <item x="83"/>
        <item x="994"/>
        <item x="241"/>
        <item x="766"/>
        <item x="725"/>
        <item x="245"/>
        <item x="29"/>
        <item x="388"/>
        <item x="449"/>
        <item x="359"/>
        <item x="942"/>
        <item x="498"/>
        <item x="332"/>
        <item x="888"/>
        <item x="169"/>
        <item x="853"/>
        <item x="891"/>
        <item x="690"/>
        <item x="151"/>
        <item x="671"/>
        <item x="30"/>
        <item x="706"/>
        <item x="50"/>
        <item x="528"/>
        <item x="6"/>
        <item x="213"/>
        <item x="822"/>
        <item x="976"/>
        <item x="683"/>
        <item x="462"/>
        <item x="718"/>
        <item x="551"/>
        <item x="167"/>
        <item x="973"/>
        <item x="808"/>
        <item x="139"/>
        <item x="416"/>
        <item x="220"/>
        <item x="570"/>
        <item x="580"/>
        <item x="313"/>
        <item x="221"/>
        <item x="556"/>
        <item x="650"/>
        <item x="574"/>
        <item x="506"/>
        <item x="878"/>
        <item x="649"/>
        <item x="222"/>
        <item x="439"/>
        <item x="922"/>
        <item x="273"/>
        <item x="405"/>
        <item x="426"/>
        <item x="335"/>
        <item x="558"/>
        <item x="493"/>
        <item x="846"/>
        <item x="387"/>
        <item x="284"/>
        <item x="77"/>
        <item x="928"/>
        <item x="43"/>
        <item x="952"/>
        <item x="923"/>
        <item x="262"/>
        <item x="485"/>
        <item x="487"/>
        <item x="230"/>
        <item x="959"/>
        <item x="137"/>
        <item x="772"/>
        <item x="938"/>
        <item x="118"/>
        <item x="123"/>
        <item x="795"/>
        <item x="598"/>
        <item x="174"/>
        <item x="980"/>
        <item x="904"/>
        <item x="638"/>
        <item x="987"/>
        <item x="765"/>
        <item x="648"/>
        <item x="51"/>
        <item x="231"/>
        <item x="427"/>
        <item x="540"/>
        <item x="800"/>
        <item x="58"/>
        <item x="899"/>
        <item x="799"/>
        <item x="265"/>
        <item x="430"/>
        <item x="603"/>
        <item x="384"/>
        <item x="579"/>
        <item x="656"/>
        <item x="60"/>
        <item x="854"/>
        <item x="811"/>
        <item x="929"/>
        <item x="184"/>
        <item x="585"/>
        <item x="286"/>
        <item x="474"/>
        <item x="862"/>
        <item x="66"/>
        <item x="693"/>
        <item x="296"/>
        <item x="504"/>
        <item x="927"/>
        <item x="116"/>
        <item x="734"/>
        <item x="550"/>
        <item x="984"/>
        <item x="468"/>
        <item x="420"/>
        <item x="754"/>
        <item x="557"/>
        <item x="868"/>
        <item x="208"/>
        <item x="341"/>
        <item x="634"/>
        <item x="146"/>
        <item x="724"/>
        <item x="900"/>
        <item x="203"/>
        <item x="229"/>
        <item x="545"/>
        <item x="70"/>
        <item x="881"/>
        <item x="612"/>
        <item x="617"/>
        <item x="667"/>
        <item x="793"/>
        <item x="446"/>
        <item x="448"/>
        <item x="312"/>
        <item x="599"/>
        <item x="936"/>
        <item x="403"/>
        <item x="829"/>
        <item x="211"/>
        <item x="409"/>
        <item x="620"/>
        <item x="626"/>
        <item x="243"/>
        <item x="496"/>
        <item x="250"/>
        <item x="534"/>
        <item x="365"/>
        <item x="951"/>
        <item x="329"/>
        <item x="761"/>
        <item x="247"/>
        <item x="232"/>
        <item x="948"/>
        <item x="879"/>
        <item x="210"/>
        <item x="764"/>
        <item x="5"/>
        <item x="98"/>
        <item x="581"/>
        <item x="323"/>
        <item x="659"/>
        <item x="212"/>
        <item x="762"/>
        <item x="1"/>
        <item x="2"/>
        <item x="566"/>
        <item x="547"/>
        <item x="473"/>
        <item x="164"/>
        <item x="356"/>
        <item x="235"/>
        <item x="503"/>
        <item x="702"/>
        <item x="516"/>
        <item x="277"/>
        <item x="674"/>
        <item x="542"/>
        <item x="907"/>
        <item x="606"/>
        <item x="94"/>
        <item x="975"/>
        <item x="957"/>
        <item x="908"/>
        <item x="406"/>
        <item x="586"/>
        <item x="340"/>
        <item x="302"/>
        <item x="543"/>
        <item x="481"/>
        <item x="889"/>
        <item x="798"/>
        <item x="518"/>
        <item x="921"/>
        <item x="452"/>
        <item x="663"/>
        <item x="61"/>
        <item x="939"/>
        <item x="708"/>
        <item x="484"/>
        <item x="866"/>
        <item x="64"/>
        <item x="279"/>
        <item x="623"/>
        <item x="441"/>
        <item x="205"/>
        <item x="666"/>
        <item x="564"/>
        <item x="738"/>
        <item x="478"/>
        <item x="270"/>
        <item x="110"/>
        <item x="84"/>
        <item x="727"/>
        <item x="565"/>
        <item x="885"/>
        <item x="956"/>
        <item x="89"/>
        <item x="640"/>
        <item x="771"/>
        <item x="194"/>
        <item x="268"/>
        <item x="237"/>
        <item x="961"/>
        <item x="459"/>
        <item x="657"/>
        <item x="88"/>
        <item x="872"/>
        <item x="744"/>
        <item x="914"/>
        <item x="613"/>
        <item x="913"/>
        <item x="124"/>
        <item x="414"/>
        <item x="370"/>
        <item x="582"/>
        <item x="605"/>
        <item x="398"/>
        <item x="675"/>
        <item x="188"/>
        <item x="830"/>
        <item x="807"/>
        <item x="856"/>
        <item x="113"/>
        <item x="848"/>
        <item x="456"/>
        <item x="106"/>
        <item x="886"/>
        <item x="48"/>
        <item x="209"/>
        <item x="166"/>
        <item x="263"/>
        <item x="739"/>
        <item x="633"/>
        <item x="615"/>
        <item x="3"/>
        <item x="386"/>
        <item x="443"/>
        <item x="652"/>
        <item x="912"/>
        <item x="596"/>
        <item x="32"/>
        <item x="170"/>
        <item x="821"/>
        <item x="432"/>
        <item x="460"/>
        <item x="71"/>
        <item x="272"/>
        <item x="546"/>
        <item x="641"/>
        <item x="755"/>
        <item x="16"/>
        <item x="809"/>
        <item x="813"/>
        <item x="315"/>
        <item x="749"/>
        <item x="134"/>
        <item x="21"/>
        <item x="267"/>
        <item x="651"/>
        <item x="679"/>
        <item x="56"/>
        <item x="39"/>
        <item x="248"/>
        <item x="394"/>
        <item x="691"/>
        <item x="49"/>
        <item x="219"/>
        <item x="115"/>
        <item x="299"/>
        <item x="238"/>
        <item x="191"/>
        <item x="836"/>
        <item x="52"/>
        <item x="737"/>
        <item x="607"/>
        <item x="697"/>
        <item x="104"/>
        <item x="136"/>
        <item x="736"/>
        <item x="776"/>
        <item x="893"/>
        <item x="467"/>
        <item x="538"/>
        <item x="347"/>
        <item x="293"/>
        <item x="412"/>
        <item x="662"/>
        <item x="831"/>
        <item x="201"/>
        <item x="937"/>
        <item x="159"/>
        <item x="40"/>
        <item x="54"/>
        <item x="978"/>
        <item x="120"/>
        <item x="997"/>
        <item x="505"/>
        <item x="480"/>
        <item x="759"/>
        <item x="22"/>
        <item x="382"/>
        <item x="35"/>
        <item x="362"/>
        <item x="910"/>
        <item x="901"/>
        <item x="514"/>
        <item x="389"/>
        <item x="594"/>
        <item x="507"/>
        <item x="107"/>
        <item x="435"/>
        <item x="477"/>
        <item x="451"/>
        <item x="76"/>
        <item x="535"/>
        <item x="246"/>
        <item x="198"/>
        <item x="732"/>
        <item x="415"/>
        <item x="742"/>
        <item x="944"/>
        <item x="589"/>
        <item x="165"/>
        <item x="463"/>
        <item x="567"/>
        <item x="806"/>
        <item x="621"/>
        <item x="584"/>
        <item x="541"/>
        <item x="689"/>
        <item x="152"/>
        <item x="573"/>
        <item x="784"/>
        <item x="18"/>
        <item x="217"/>
        <item x="635"/>
        <item x="276"/>
        <item x="794"/>
        <item x="196"/>
        <item x="933"/>
        <item x="639"/>
        <item x="101"/>
        <item x="887"/>
        <item x="835"/>
        <item x="909"/>
        <item x="407"/>
        <item x="743"/>
        <item x="156"/>
        <item x="698"/>
        <item x="41"/>
        <item x="719"/>
        <item x="777"/>
        <item x="781"/>
        <item x="373"/>
        <item x="763"/>
        <item x="461"/>
        <item x="257"/>
        <item x="376"/>
        <item x="27"/>
        <item x="716"/>
        <item x="967"/>
        <item x="160"/>
        <item x="970"/>
        <item x="314"/>
        <item x="259"/>
        <item x="897"/>
        <item x="93"/>
        <item x="707"/>
        <item x="779"/>
        <item x="72"/>
        <item x="298"/>
        <item x="814"/>
        <item x="348"/>
        <item x="278"/>
        <item x="804"/>
        <item x="544"/>
        <item x="553"/>
        <item x="308"/>
        <item x="375"/>
        <item x="325"/>
        <item x="38"/>
        <item x="408"/>
        <item x="796"/>
        <item x="97"/>
        <item x="875"/>
        <item x="500"/>
        <item x="533"/>
        <item x="747"/>
        <item x="979"/>
        <item x="23"/>
        <item x="686"/>
        <item x="880"/>
        <item x="336"/>
        <item x="778"/>
        <item x="464"/>
        <item x="768"/>
        <item x="876"/>
        <item x="200"/>
        <item x="688"/>
        <item x="25"/>
        <item x="622"/>
        <item x="28"/>
        <item x="552"/>
        <item x="353"/>
        <item x="161"/>
        <item x="369"/>
        <item x="917"/>
        <item x="11"/>
        <item x="717"/>
        <item x="593"/>
        <item x="442"/>
        <item x="239"/>
        <item x="404"/>
        <item x="141"/>
        <item x="311"/>
        <item x="190"/>
        <item x="855"/>
        <item x="105"/>
        <item x="433"/>
        <item x="673"/>
        <item x="616"/>
        <item x="654"/>
        <item x="109"/>
        <item x="947"/>
        <item x="785"/>
        <item x="358"/>
        <item x="380"/>
        <item x="53"/>
        <item x="536"/>
        <item x="371"/>
        <item x="860"/>
        <item x="301"/>
        <item x="926"/>
        <item x="34"/>
        <item x="810"/>
        <item x="627"/>
        <item x="756"/>
        <item x="479"/>
        <item x="364"/>
        <item x="343"/>
        <item x="632"/>
        <item x="713"/>
        <item x="924"/>
        <item x="326"/>
        <item x="455"/>
        <item x="619"/>
        <item x="349"/>
        <item x="587"/>
        <item x="838"/>
        <item x="964"/>
        <item x="992"/>
        <item x="815"/>
        <item x="444"/>
        <item x="155"/>
        <item x="990"/>
        <item x="696"/>
        <item x="68"/>
        <item x="374"/>
        <item x="379"/>
        <item x="529"/>
        <item x="561"/>
        <item x="475"/>
        <item x="977"/>
        <item x="338"/>
        <item x="770"/>
        <item x="45"/>
        <item x="381"/>
        <item x="788"/>
        <item x="214"/>
        <item x="859"/>
        <item x="297"/>
        <item x="491"/>
        <item x="125"/>
        <item x="554"/>
        <item x="367"/>
        <item x="996"/>
        <item x="103"/>
        <item x="884"/>
        <item x="354"/>
        <item x="385"/>
        <item x="741"/>
        <item x="227"/>
        <item x="457"/>
        <item x="392"/>
        <item x="59"/>
        <item x="306"/>
        <item x="0"/>
        <item x="292"/>
        <item x="925"/>
        <item x="695"/>
        <item x="90"/>
        <item x="9"/>
        <item x="453"/>
        <item x="361"/>
        <item x="450"/>
        <item x="401"/>
        <item x="935"/>
        <item x="940"/>
        <item x="511"/>
        <item x="130"/>
        <item x="965"/>
        <item x="837"/>
        <item x="360"/>
        <item x="786"/>
        <item x="625"/>
        <item x="470"/>
        <item x="943"/>
        <item x="472"/>
        <item x="224"/>
        <item x="495"/>
        <item x="91"/>
        <item x="117"/>
        <item x="178"/>
        <item x="168"/>
        <item x="253"/>
        <item x="825"/>
        <item x="189"/>
        <item x="100"/>
        <item x="154"/>
        <item x="12"/>
        <item x="434"/>
        <item x="801"/>
        <item x="13"/>
        <item x="894"/>
        <item x="906"/>
        <item x="517"/>
        <item x="223"/>
        <item x="521"/>
        <item x="746"/>
        <item x="317"/>
        <item x="333"/>
        <item x="834"/>
        <item x="874"/>
        <item x="86"/>
        <item x="482"/>
        <item x="112"/>
        <item x="628"/>
        <item x="877"/>
        <item x="366"/>
        <item x="559"/>
        <item x="486"/>
        <item x="637"/>
        <item x="790"/>
        <item x="33"/>
        <item x="171"/>
        <item x="672"/>
        <item x="802"/>
        <item x="982"/>
        <item x="157"/>
        <item x="757"/>
        <item x="524"/>
        <item x="82"/>
        <item x="55"/>
        <item x="150"/>
        <item x="752"/>
        <item x="138"/>
        <item x="664"/>
        <item x="720"/>
        <item x="489"/>
        <item x="685"/>
        <item x="290"/>
        <item x="898"/>
        <item x="454"/>
        <item x="665"/>
        <item x="903"/>
        <item x="282"/>
        <item x="423"/>
        <item x="331"/>
        <item x="65"/>
        <item x="179"/>
        <item x="254"/>
        <item x="577"/>
        <item x="789"/>
        <item x="233"/>
        <item x="748"/>
        <item x="149"/>
        <item x="966"/>
        <item x="469"/>
        <item x="905"/>
        <item x="525"/>
        <item x="751"/>
        <item x="863"/>
        <item x="816"/>
        <item x="111"/>
        <item x="37"/>
        <item x="954"/>
        <item x="402"/>
        <item x="46"/>
        <item x="532"/>
        <item x="162"/>
        <item x="661"/>
        <item x="342"/>
        <item x="397"/>
        <item x="609"/>
        <item x="571"/>
        <item x="465"/>
        <item x="144"/>
        <item x="520"/>
        <item x="163"/>
        <item x="844"/>
        <item x="852"/>
        <item x="660"/>
        <item x="774"/>
        <item x="256"/>
        <item x="79"/>
        <item x="285"/>
        <item x="177"/>
        <item x="668"/>
        <item x="261"/>
        <item x="670"/>
        <item x="827"/>
        <item x="218"/>
        <item x="782"/>
        <item x="883"/>
        <item x="522"/>
        <item x="173"/>
        <item x="569"/>
        <item x="31"/>
        <item x="492"/>
        <item x="319"/>
        <item x="73"/>
        <item x="318"/>
        <item x="512"/>
        <item x="24"/>
        <item x="275"/>
        <item x="19"/>
        <item x="841"/>
        <item x="129"/>
        <item x="714"/>
        <item x="490"/>
        <item x="424"/>
        <item x="15"/>
        <item x="611"/>
        <item x="946"/>
        <item x="321"/>
        <item x="712"/>
        <item x="590"/>
        <item x="647"/>
        <item x="703"/>
        <item x="823"/>
        <item x="871"/>
        <item x="531"/>
        <item x="14"/>
        <item x="864"/>
        <item x="345"/>
        <item x="709"/>
        <item x="274"/>
        <item x="344"/>
        <item x="644"/>
        <item x="396"/>
        <item x="539"/>
        <item x="817"/>
        <item x="372"/>
        <item x="471"/>
        <item x="42"/>
        <item x="145"/>
        <item x="653"/>
        <item x="252"/>
        <item x="530"/>
        <item x="57"/>
        <item x="436"/>
        <item x="849"/>
        <item x="723"/>
        <item x="121"/>
        <item x="327"/>
        <item x="916"/>
        <item x="783"/>
        <item x="244"/>
        <item x="902"/>
        <item x="832"/>
        <item x="185"/>
        <item x="861"/>
        <item x="949"/>
        <item x="575"/>
        <item x="153"/>
        <item x="610"/>
        <item x="548"/>
        <item x="824"/>
        <item x="515"/>
        <item x="986"/>
        <item x="294"/>
        <item x="62"/>
        <item x="494"/>
        <item x="780"/>
        <item x="202"/>
        <item x="351"/>
        <item x="85"/>
        <item x="20"/>
        <item x="993"/>
        <item x="873"/>
        <item x="523"/>
        <item x="731"/>
        <item x="258"/>
        <item x="988"/>
        <item x="281"/>
        <item x="950"/>
        <item x="971"/>
        <item x="985"/>
        <item x="645"/>
        <item x="995"/>
        <item x="355"/>
        <item x="339"/>
        <item x="458"/>
        <item x="847"/>
        <item x="400"/>
        <item x="753"/>
        <item x="601"/>
        <item x="225"/>
        <item x="4"/>
        <item x="393"/>
        <item x="132"/>
        <item x="735"/>
        <item x="131"/>
        <item x="207"/>
        <item x="324"/>
        <item x="187"/>
        <item x="955"/>
        <item x="425"/>
        <item x="180"/>
        <item x="932"/>
        <item x="562"/>
        <item x="391"/>
        <item x="337"/>
        <item x="175"/>
        <item x="526"/>
        <item x="417"/>
        <item x="204"/>
        <item x="36"/>
        <item x="563"/>
        <item x="930"/>
        <item x="74"/>
        <item x="501"/>
        <item x="346"/>
        <item x="251"/>
        <item x="328"/>
        <item x="527"/>
        <item x="867"/>
        <item x="583"/>
        <item x="969"/>
        <item x="147"/>
        <item x="911"/>
        <item x="172"/>
        <item x="870"/>
        <item x="998"/>
        <item x="629"/>
        <item x="399"/>
        <item x="680"/>
        <item x="972"/>
        <item x="839"/>
        <item x="851"/>
        <item x="236"/>
        <item x="291"/>
        <item x="722"/>
        <item x="953"/>
        <item x="945"/>
        <item x="600"/>
        <item x="287"/>
        <item x="687"/>
        <item x="726"/>
        <item x="918"/>
        <item x="636"/>
        <item x="99"/>
        <item x="428"/>
        <item x="206"/>
        <item x="677"/>
        <item x="114"/>
        <item x="92"/>
        <item x="669"/>
        <item x="588"/>
        <item x="843"/>
        <item x="869"/>
        <item x="630"/>
        <item x="646"/>
        <item x="733"/>
        <item x="568"/>
        <item x="787"/>
        <item x="216"/>
        <item x="322"/>
        <item x="410"/>
        <item x="701"/>
        <item x="513"/>
        <item x="67"/>
        <item x="383"/>
        <item x="642"/>
        <item x="10"/>
        <item x="931"/>
        <item x="858"/>
        <item x="968"/>
        <item x="330"/>
        <item x="419"/>
        <item x="989"/>
        <item x="390"/>
        <item x="974"/>
        <item x="840"/>
        <item x="941"/>
        <item x="108"/>
        <item x="991"/>
        <item x="350"/>
        <item x="865"/>
        <item x="447"/>
        <item x="643"/>
        <item x="750"/>
        <item x="193"/>
        <item x="999"/>
        <item x="705"/>
        <item x="8"/>
        <item x="148"/>
        <item x="791"/>
        <item x="437"/>
        <item x="310"/>
        <item x="195"/>
        <item x="773"/>
        <item x="142"/>
        <item x="320"/>
        <item x="264"/>
        <item x="69"/>
        <item x="377"/>
        <item x="305"/>
        <item x="431"/>
        <item x="140"/>
        <item x="699"/>
        <item x="803"/>
        <item x="896"/>
        <item x="352"/>
        <item x="226"/>
        <item x="519"/>
        <item x="240"/>
        <item x="440"/>
        <item x="395"/>
        <item x="560"/>
        <item x="797"/>
        <item x="266"/>
        <item x="199"/>
        <item x="127"/>
        <item x="421"/>
        <item x="295"/>
        <item x="289"/>
        <item x="694"/>
        <item x="508"/>
        <item x="17"/>
        <item x="368"/>
        <item x="488"/>
        <item x="126"/>
        <item x="721"/>
        <item x="758"/>
        <item x="882"/>
        <item x="692"/>
        <item x="704"/>
        <item x="242"/>
        <item x="981"/>
        <item x="81"/>
        <item x="775"/>
        <item x="555"/>
        <item x="260"/>
        <item x="95"/>
        <item x="572"/>
        <item x="228"/>
        <item x="181"/>
        <item x="919"/>
        <item x="288"/>
        <item x="143"/>
        <item x="684"/>
        <item x="183"/>
        <item x="283"/>
        <item x="760"/>
        <item x="102"/>
        <item t="default"/>
      </items>
    </pivotField>
    <pivotField compact="0" numFmtId="1" outline="0" showAll="0"/>
    <pivotField compact="0" outline="0" showAll="0"/>
    <pivotField axis="axisRow" compact="0" outline="0" showAll="0" sortType="descending">
      <items count="9">
        <item x="3"/>
        <item x="5"/>
        <item x="1"/>
        <item x="2"/>
        <item x="6"/>
        <item x="0"/>
        <item x="7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64" outline="0" showAll="0"/>
    <pivotField compact="0" numFmtId="1" outline="0" showAll="0"/>
    <pivotField compact="0" outline="0" showAll="0"/>
    <pivotField compact="0" outline="0" showAll="0"/>
    <pivotField compact="0" numFmtId="1" outline="0" showAll="0"/>
    <pivotField compact="0" outline="0" showAll="0"/>
    <pivotField compact="0" numFmtId="1" outline="0" showAll="0"/>
    <pivotField compact="0" numFmtId="2" outline="0" showAll="0"/>
    <pivotField compact="0" outline="0" showAll="0"/>
    <pivotField compact="0" outline="0" showAll="0"/>
    <pivotField compact="0" numFmtId="1" outline="0" showAll="0"/>
    <pivotField compact="0" outline="0" showAll="0"/>
    <pivotField compact="0" numFmtId="1" outline="0" showAll="0"/>
    <pivotField compact="0" outline="0" showAll="0"/>
    <pivotField compact="0" outline="0" showAll="0"/>
    <pivotField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" outline="0" showAll="0"/>
  </pivotFields>
  <rowFields count="1">
    <field x="3"/>
  </rowFields>
  <rowItems count="9">
    <i>
      <x v="2"/>
    </i>
    <i>
      <x v="5"/>
    </i>
    <i>
      <x v="1"/>
    </i>
    <i>
      <x/>
    </i>
    <i>
      <x v="3"/>
    </i>
    <i>
      <x v="6"/>
    </i>
    <i>
      <x v="7"/>
    </i>
    <i>
      <x v="4"/>
    </i>
    <i t="grand">
      <x/>
    </i>
  </rowItems>
  <colItems count="1">
    <i/>
  </colItems>
  <dataFields count="1">
    <dataField name="Count of Customer_ID" fld="0" subtotal="count" showDataAs="percentOfTotal" baseField="0" baseItem="0" numFmtId="10"/>
  </dataFields>
  <chartFormats count="4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3" count="1" selected="0">
            <x v="7"/>
          </reference>
        </references>
      </pivotArea>
    </chartFormat>
    <chartFormat chart="0" format="8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1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0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" format="11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1" format="12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" format="13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" format="14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1" format="15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  <chartFormat chart="1" format="16">
      <pivotArea type="data" outline="0" fieldPosition="0">
        <references count="2">
          <reference field="4294967294" count="1" selected="0">
            <x v="0"/>
          </reference>
          <reference field="3" count="1" selected="0">
            <x v="7"/>
          </reference>
        </references>
      </pivotArea>
    </chartFormat>
    <chartFormat chart="1" format="17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2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9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2" format="20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2" format="2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2" format="22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2" format="23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2" format="24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  <chartFormat chart="2" format="25">
      <pivotArea type="data" outline="0" fieldPosition="0">
        <references count="2">
          <reference field="4294967294" count="1" selected="0">
            <x v="0"/>
          </reference>
          <reference field="3" count="1" selected="0">
            <x v="7"/>
          </reference>
        </references>
      </pivotArea>
    </chartFormat>
    <chartFormat chart="2" format="26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3" format="2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8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3" format="29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3" format="30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3" format="3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3" format="32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3" format="33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  <chartFormat chart="3" format="34">
      <pivotArea type="data" outline="0" fieldPosition="0">
        <references count="2">
          <reference field="4294967294" count="1" selected="0">
            <x v="0"/>
          </reference>
          <reference field="3" count="1" selected="0">
            <x v="7"/>
          </reference>
        </references>
      </pivotArea>
    </chartFormat>
    <chartFormat chart="3" format="35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4" format="3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37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4" format="38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4" format="39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4" format="40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4" format="4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4" format="42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  <chartFormat chart="4" format="43">
      <pivotArea type="data" outline="0" fieldPosition="0">
        <references count="2">
          <reference field="4294967294" count="1" selected="0">
            <x v="0"/>
          </reference>
          <reference field="3" count="1" selected="0">
            <x v="7"/>
          </reference>
        </references>
      </pivotArea>
    </chartFormat>
    <chartFormat chart="4" format="44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A3D5CD-F6D2-4E6A-A8BA-2755D8E83E73}" name="PivotTable1" cacheId="247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compact="0" compactData="0" multipleFieldFilters="0" chartFormat="17">
  <location ref="A3:B7" firstHeaderRow="1" firstDataRow="1" firstDataCol="1"/>
  <pivotFields count="34">
    <pivotField dataField="1" compact="0" outline="0" showAll="0">
      <items count="1001">
        <item x="608"/>
        <item x="499"/>
        <item x="280"/>
        <item x="7"/>
        <item x="122"/>
        <item x="812"/>
        <item x="767"/>
        <item x="792"/>
        <item x="357"/>
        <item x="845"/>
        <item x="537"/>
        <item x="510"/>
        <item x="316"/>
        <item x="740"/>
        <item x="711"/>
        <item x="826"/>
        <item x="678"/>
        <item x="300"/>
        <item x="47"/>
        <item x="234"/>
        <item x="602"/>
        <item x="618"/>
        <item x="80"/>
        <item x="818"/>
        <item x="681"/>
        <item x="509"/>
        <item x="805"/>
        <item x="44"/>
        <item x="591"/>
        <item x="963"/>
        <item x="962"/>
        <item x="631"/>
        <item x="578"/>
        <item x="476"/>
        <item x="745"/>
        <item x="133"/>
        <item x="595"/>
        <item x="418"/>
        <item x="592"/>
        <item x="769"/>
        <item x="363"/>
        <item x="576"/>
        <item x="730"/>
        <item x="78"/>
        <item x="983"/>
        <item x="710"/>
        <item x="597"/>
        <item x="895"/>
        <item x="96"/>
        <item x="833"/>
        <item x="249"/>
        <item x="75"/>
        <item x="158"/>
        <item x="445"/>
        <item x="728"/>
        <item x="197"/>
        <item x="271"/>
        <item x="182"/>
        <item x="303"/>
        <item x="497"/>
        <item x="215"/>
        <item x="26"/>
        <item x="429"/>
        <item x="682"/>
        <item x="422"/>
        <item x="549"/>
        <item x="269"/>
        <item x="466"/>
        <item x="850"/>
        <item x="411"/>
        <item x="842"/>
        <item x="128"/>
        <item x="483"/>
        <item x="624"/>
        <item x="729"/>
        <item x="304"/>
        <item x="676"/>
        <item x="119"/>
        <item x="820"/>
        <item x="309"/>
        <item x="413"/>
        <item x="135"/>
        <item x="960"/>
        <item x="502"/>
        <item x="334"/>
        <item x="87"/>
        <item x="255"/>
        <item x="892"/>
        <item x="658"/>
        <item x="828"/>
        <item x="192"/>
        <item x="438"/>
        <item x="307"/>
        <item x="958"/>
        <item x="819"/>
        <item x="890"/>
        <item x="715"/>
        <item x="614"/>
        <item x="655"/>
        <item x="604"/>
        <item x="186"/>
        <item x="63"/>
        <item x="176"/>
        <item x="920"/>
        <item x="934"/>
        <item x="378"/>
        <item x="915"/>
        <item x="700"/>
        <item x="857"/>
        <item x="83"/>
        <item x="994"/>
        <item x="241"/>
        <item x="766"/>
        <item x="725"/>
        <item x="245"/>
        <item x="29"/>
        <item x="388"/>
        <item x="449"/>
        <item x="359"/>
        <item x="942"/>
        <item x="498"/>
        <item x="332"/>
        <item x="888"/>
        <item x="169"/>
        <item x="853"/>
        <item x="891"/>
        <item x="690"/>
        <item x="151"/>
        <item x="671"/>
        <item x="30"/>
        <item x="706"/>
        <item x="50"/>
        <item x="528"/>
        <item x="6"/>
        <item x="213"/>
        <item x="822"/>
        <item x="976"/>
        <item x="683"/>
        <item x="462"/>
        <item x="718"/>
        <item x="551"/>
        <item x="167"/>
        <item x="973"/>
        <item x="808"/>
        <item x="139"/>
        <item x="416"/>
        <item x="220"/>
        <item x="570"/>
        <item x="580"/>
        <item x="313"/>
        <item x="221"/>
        <item x="556"/>
        <item x="650"/>
        <item x="574"/>
        <item x="506"/>
        <item x="878"/>
        <item x="649"/>
        <item x="222"/>
        <item x="439"/>
        <item x="922"/>
        <item x="273"/>
        <item x="405"/>
        <item x="426"/>
        <item x="335"/>
        <item x="558"/>
        <item x="493"/>
        <item x="846"/>
        <item x="387"/>
        <item x="284"/>
        <item x="77"/>
        <item x="928"/>
        <item x="43"/>
        <item x="952"/>
        <item x="923"/>
        <item x="262"/>
        <item x="485"/>
        <item x="487"/>
        <item x="230"/>
        <item x="959"/>
        <item x="137"/>
        <item x="772"/>
        <item x="938"/>
        <item x="118"/>
        <item x="123"/>
        <item x="795"/>
        <item x="598"/>
        <item x="174"/>
        <item x="980"/>
        <item x="904"/>
        <item x="638"/>
        <item x="987"/>
        <item x="765"/>
        <item x="648"/>
        <item x="51"/>
        <item x="231"/>
        <item x="427"/>
        <item x="540"/>
        <item x="800"/>
        <item x="58"/>
        <item x="899"/>
        <item x="799"/>
        <item x="265"/>
        <item x="430"/>
        <item x="603"/>
        <item x="384"/>
        <item x="579"/>
        <item x="656"/>
        <item x="60"/>
        <item x="854"/>
        <item x="811"/>
        <item x="929"/>
        <item x="184"/>
        <item x="585"/>
        <item x="286"/>
        <item x="474"/>
        <item x="862"/>
        <item x="66"/>
        <item x="693"/>
        <item x="296"/>
        <item x="504"/>
        <item x="927"/>
        <item x="116"/>
        <item x="734"/>
        <item x="550"/>
        <item x="984"/>
        <item x="468"/>
        <item x="420"/>
        <item x="754"/>
        <item x="557"/>
        <item x="868"/>
        <item x="208"/>
        <item x="341"/>
        <item x="634"/>
        <item x="146"/>
        <item x="724"/>
        <item x="900"/>
        <item x="203"/>
        <item x="229"/>
        <item x="545"/>
        <item x="70"/>
        <item x="881"/>
        <item x="612"/>
        <item x="617"/>
        <item x="667"/>
        <item x="793"/>
        <item x="446"/>
        <item x="448"/>
        <item x="312"/>
        <item x="599"/>
        <item x="936"/>
        <item x="403"/>
        <item x="829"/>
        <item x="211"/>
        <item x="409"/>
        <item x="620"/>
        <item x="626"/>
        <item x="243"/>
        <item x="496"/>
        <item x="250"/>
        <item x="534"/>
        <item x="365"/>
        <item x="951"/>
        <item x="329"/>
        <item x="761"/>
        <item x="247"/>
        <item x="232"/>
        <item x="948"/>
        <item x="879"/>
        <item x="210"/>
        <item x="764"/>
        <item x="5"/>
        <item x="98"/>
        <item x="581"/>
        <item x="323"/>
        <item x="659"/>
        <item x="212"/>
        <item x="762"/>
        <item x="1"/>
        <item x="2"/>
        <item x="566"/>
        <item x="547"/>
        <item x="473"/>
        <item x="164"/>
        <item x="356"/>
        <item x="235"/>
        <item x="503"/>
        <item x="702"/>
        <item x="516"/>
        <item x="277"/>
        <item x="674"/>
        <item x="542"/>
        <item x="907"/>
        <item x="606"/>
        <item x="94"/>
        <item x="975"/>
        <item x="957"/>
        <item x="908"/>
        <item x="406"/>
        <item x="586"/>
        <item x="340"/>
        <item x="302"/>
        <item x="543"/>
        <item x="481"/>
        <item x="889"/>
        <item x="798"/>
        <item x="518"/>
        <item x="921"/>
        <item x="452"/>
        <item x="663"/>
        <item x="61"/>
        <item x="939"/>
        <item x="708"/>
        <item x="484"/>
        <item x="866"/>
        <item x="64"/>
        <item x="279"/>
        <item x="623"/>
        <item x="441"/>
        <item x="205"/>
        <item x="666"/>
        <item x="564"/>
        <item x="738"/>
        <item x="478"/>
        <item x="270"/>
        <item x="110"/>
        <item x="84"/>
        <item x="727"/>
        <item x="565"/>
        <item x="885"/>
        <item x="956"/>
        <item x="89"/>
        <item x="640"/>
        <item x="771"/>
        <item x="194"/>
        <item x="268"/>
        <item x="237"/>
        <item x="961"/>
        <item x="459"/>
        <item x="657"/>
        <item x="88"/>
        <item x="872"/>
        <item x="744"/>
        <item x="914"/>
        <item x="613"/>
        <item x="913"/>
        <item x="124"/>
        <item x="414"/>
        <item x="370"/>
        <item x="582"/>
        <item x="605"/>
        <item x="398"/>
        <item x="675"/>
        <item x="188"/>
        <item x="830"/>
        <item x="807"/>
        <item x="856"/>
        <item x="113"/>
        <item x="848"/>
        <item x="456"/>
        <item x="106"/>
        <item x="886"/>
        <item x="48"/>
        <item x="209"/>
        <item x="166"/>
        <item x="263"/>
        <item x="739"/>
        <item x="633"/>
        <item x="615"/>
        <item x="3"/>
        <item x="386"/>
        <item x="443"/>
        <item x="652"/>
        <item x="912"/>
        <item x="596"/>
        <item x="32"/>
        <item x="170"/>
        <item x="821"/>
        <item x="432"/>
        <item x="460"/>
        <item x="71"/>
        <item x="272"/>
        <item x="546"/>
        <item x="641"/>
        <item x="755"/>
        <item x="16"/>
        <item x="809"/>
        <item x="813"/>
        <item x="315"/>
        <item x="749"/>
        <item x="134"/>
        <item x="21"/>
        <item x="267"/>
        <item x="651"/>
        <item x="679"/>
        <item x="56"/>
        <item x="39"/>
        <item x="248"/>
        <item x="394"/>
        <item x="691"/>
        <item x="49"/>
        <item x="219"/>
        <item x="115"/>
        <item x="299"/>
        <item x="238"/>
        <item x="191"/>
        <item x="836"/>
        <item x="52"/>
        <item x="737"/>
        <item x="607"/>
        <item x="697"/>
        <item x="104"/>
        <item x="136"/>
        <item x="736"/>
        <item x="776"/>
        <item x="893"/>
        <item x="467"/>
        <item x="538"/>
        <item x="347"/>
        <item x="293"/>
        <item x="412"/>
        <item x="662"/>
        <item x="831"/>
        <item x="201"/>
        <item x="937"/>
        <item x="159"/>
        <item x="40"/>
        <item x="54"/>
        <item x="978"/>
        <item x="120"/>
        <item x="997"/>
        <item x="505"/>
        <item x="480"/>
        <item x="759"/>
        <item x="22"/>
        <item x="382"/>
        <item x="35"/>
        <item x="362"/>
        <item x="910"/>
        <item x="901"/>
        <item x="514"/>
        <item x="389"/>
        <item x="594"/>
        <item x="507"/>
        <item x="107"/>
        <item x="435"/>
        <item x="477"/>
        <item x="451"/>
        <item x="76"/>
        <item x="535"/>
        <item x="246"/>
        <item x="198"/>
        <item x="732"/>
        <item x="415"/>
        <item x="742"/>
        <item x="944"/>
        <item x="589"/>
        <item x="165"/>
        <item x="463"/>
        <item x="567"/>
        <item x="806"/>
        <item x="621"/>
        <item x="584"/>
        <item x="541"/>
        <item x="689"/>
        <item x="152"/>
        <item x="573"/>
        <item x="784"/>
        <item x="18"/>
        <item x="217"/>
        <item x="635"/>
        <item x="276"/>
        <item x="794"/>
        <item x="196"/>
        <item x="933"/>
        <item x="639"/>
        <item x="101"/>
        <item x="887"/>
        <item x="835"/>
        <item x="909"/>
        <item x="407"/>
        <item x="743"/>
        <item x="156"/>
        <item x="698"/>
        <item x="41"/>
        <item x="719"/>
        <item x="777"/>
        <item x="781"/>
        <item x="373"/>
        <item x="763"/>
        <item x="461"/>
        <item x="257"/>
        <item x="376"/>
        <item x="27"/>
        <item x="716"/>
        <item x="967"/>
        <item x="160"/>
        <item x="970"/>
        <item x="314"/>
        <item x="259"/>
        <item x="897"/>
        <item x="93"/>
        <item x="707"/>
        <item x="779"/>
        <item x="72"/>
        <item x="298"/>
        <item x="814"/>
        <item x="348"/>
        <item x="278"/>
        <item x="804"/>
        <item x="544"/>
        <item x="553"/>
        <item x="308"/>
        <item x="375"/>
        <item x="325"/>
        <item x="38"/>
        <item x="408"/>
        <item x="796"/>
        <item x="97"/>
        <item x="875"/>
        <item x="500"/>
        <item x="533"/>
        <item x="747"/>
        <item x="979"/>
        <item x="23"/>
        <item x="686"/>
        <item x="880"/>
        <item x="336"/>
        <item x="778"/>
        <item x="464"/>
        <item x="768"/>
        <item x="876"/>
        <item x="200"/>
        <item x="688"/>
        <item x="25"/>
        <item x="622"/>
        <item x="28"/>
        <item x="552"/>
        <item x="353"/>
        <item x="161"/>
        <item x="369"/>
        <item x="917"/>
        <item x="11"/>
        <item x="717"/>
        <item x="593"/>
        <item x="442"/>
        <item x="239"/>
        <item x="404"/>
        <item x="141"/>
        <item x="311"/>
        <item x="190"/>
        <item x="855"/>
        <item x="105"/>
        <item x="433"/>
        <item x="673"/>
        <item x="616"/>
        <item x="654"/>
        <item x="109"/>
        <item x="947"/>
        <item x="785"/>
        <item x="358"/>
        <item x="380"/>
        <item x="53"/>
        <item x="536"/>
        <item x="371"/>
        <item x="860"/>
        <item x="301"/>
        <item x="926"/>
        <item x="34"/>
        <item x="810"/>
        <item x="627"/>
        <item x="756"/>
        <item x="479"/>
        <item x="364"/>
        <item x="343"/>
        <item x="632"/>
        <item x="713"/>
        <item x="924"/>
        <item x="326"/>
        <item x="455"/>
        <item x="619"/>
        <item x="349"/>
        <item x="587"/>
        <item x="838"/>
        <item x="964"/>
        <item x="992"/>
        <item x="815"/>
        <item x="444"/>
        <item x="155"/>
        <item x="990"/>
        <item x="696"/>
        <item x="68"/>
        <item x="374"/>
        <item x="379"/>
        <item x="529"/>
        <item x="561"/>
        <item x="475"/>
        <item x="977"/>
        <item x="338"/>
        <item x="770"/>
        <item x="45"/>
        <item x="381"/>
        <item x="788"/>
        <item x="214"/>
        <item x="859"/>
        <item x="297"/>
        <item x="491"/>
        <item x="125"/>
        <item x="554"/>
        <item x="367"/>
        <item x="996"/>
        <item x="103"/>
        <item x="884"/>
        <item x="354"/>
        <item x="385"/>
        <item x="741"/>
        <item x="227"/>
        <item x="457"/>
        <item x="392"/>
        <item x="59"/>
        <item x="306"/>
        <item x="0"/>
        <item x="292"/>
        <item x="925"/>
        <item x="695"/>
        <item x="90"/>
        <item x="9"/>
        <item x="453"/>
        <item x="361"/>
        <item x="450"/>
        <item x="401"/>
        <item x="935"/>
        <item x="940"/>
        <item x="511"/>
        <item x="130"/>
        <item x="965"/>
        <item x="837"/>
        <item x="360"/>
        <item x="786"/>
        <item x="625"/>
        <item x="470"/>
        <item x="943"/>
        <item x="472"/>
        <item x="224"/>
        <item x="495"/>
        <item x="91"/>
        <item x="117"/>
        <item x="178"/>
        <item x="168"/>
        <item x="253"/>
        <item x="825"/>
        <item x="189"/>
        <item x="100"/>
        <item x="154"/>
        <item x="12"/>
        <item x="434"/>
        <item x="801"/>
        <item x="13"/>
        <item x="894"/>
        <item x="906"/>
        <item x="517"/>
        <item x="223"/>
        <item x="521"/>
        <item x="746"/>
        <item x="317"/>
        <item x="333"/>
        <item x="834"/>
        <item x="874"/>
        <item x="86"/>
        <item x="482"/>
        <item x="112"/>
        <item x="628"/>
        <item x="877"/>
        <item x="366"/>
        <item x="559"/>
        <item x="486"/>
        <item x="637"/>
        <item x="790"/>
        <item x="33"/>
        <item x="171"/>
        <item x="672"/>
        <item x="802"/>
        <item x="982"/>
        <item x="157"/>
        <item x="757"/>
        <item x="524"/>
        <item x="82"/>
        <item x="55"/>
        <item x="150"/>
        <item x="752"/>
        <item x="138"/>
        <item x="664"/>
        <item x="720"/>
        <item x="489"/>
        <item x="685"/>
        <item x="290"/>
        <item x="898"/>
        <item x="454"/>
        <item x="665"/>
        <item x="903"/>
        <item x="282"/>
        <item x="423"/>
        <item x="331"/>
        <item x="65"/>
        <item x="179"/>
        <item x="254"/>
        <item x="577"/>
        <item x="789"/>
        <item x="233"/>
        <item x="748"/>
        <item x="149"/>
        <item x="966"/>
        <item x="469"/>
        <item x="905"/>
        <item x="525"/>
        <item x="751"/>
        <item x="863"/>
        <item x="816"/>
        <item x="111"/>
        <item x="37"/>
        <item x="954"/>
        <item x="402"/>
        <item x="46"/>
        <item x="532"/>
        <item x="162"/>
        <item x="661"/>
        <item x="342"/>
        <item x="397"/>
        <item x="609"/>
        <item x="571"/>
        <item x="465"/>
        <item x="144"/>
        <item x="520"/>
        <item x="163"/>
        <item x="844"/>
        <item x="852"/>
        <item x="660"/>
        <item x="774"/>
        <item x="256"/>
        <item x="79"/>
        <item x="285"/>
        <item x="177"/>
        <item x="668"/>
        <item x="261"/>
        <item x="670"/>
        <item x="827"/>
        <item x="218"/>
        <item x="782"/>
        <item x="883"/>
        <item x="522"/>
        <item x="173"/>
        <item x="569"/>
        <item x="31"/>
        <item x="492"/>
        <item x="319"/>
        <item x="73"/>
        <item x="318"/>
        <item x="512"/>
        <item x="24"/>
        <item x="275"/>
        <item x="19"/>
        <item x="841"/>
        <item x="129"/>
        <item x="714"/>
        <item x="490"/>
        <item x="424"/>
        <item x="15"/>
        <item x="611"/>
        <item x="946"/>
        <item x="321"/>
        <item x="712"/>
        <item x="590"/>
        <item x="647"/>
        <item x="703"/>
        <item x="823"/>
        <item x="871"/>
        <item x="531"/>
        <item x="14"/>
        <item x="864"/>
        <item x="345"/>
        <item x="709"/>
        <item x="274"/>
        <item x="344"/>
        <item x="644"/>
        <item x="396"/>
        <item x="539"/>
        <item x="817"/>
        <item x="372"/>
        <item x="471"/>
        <item x="42"/>
        <item x="145"/>
        <item x="653"/>
        <item x="252"/>
        <item x="530"/>
        <item x="57"/>
        <item x="436"/>
        <item x="849"/>
        <item x="723"/>
        <item x="121"/>
        <item x="327"/>
        <item x="916"/>
        <item x="783"/>
        <item x="244"/>
        <item x="902"/>
        <item x="832"/>
        <item x="185"/>
        <item x="861"/>
        <item x="949"/>
        <item x="575"/>
        <item x="153"/>
        <item x="610"/>
        <item x="548"/>
        <item x="824"/>
        <item x="515"/>
        <item x="986"/>
        <item x="294"/>
        <item x="62"/>
        <item x="494"/>
        <item x="780"/>
        <item x="202"/>
        <item x="351"/>
        <item x="85"/>
        <item x="20"/>
        <item x="993"/>
        <item x="873"/>
        <item x="523"/>
        <item x="731"/>
        <item x="258"/>
        <item x="988"/>
        <item x="281"/>
        <item x="950"/>
        <item x="971"/>
        <item x="985"/>
        <item x="645"/>
        <item x="995"/>
        <item x="355"/>
        <item x="339"/>
        <item x="458"/>
        <item x="847"/>
        <item x="400"/>
        <item x="753"/>
        <item x="601"/>
        <item x="225"/>
        <item x="4"/>
        <item x="393"/>
        <item x="132"/>
        <item x="735"/>
        <item x="131"/>
        <item x="207"/>
        <item x="324"/>
        <item x="187"/>
        <item x="955"/>
        <item x="425"/>
        <item x="180"/>
        <item x="932"/>
        <item x="562"/>
        <item x="391"/>
        <item x="337"/>
        <item x="175"/>
        <item x="526"/>
        <item x="417"/>
        <item x="204"/>
        <item x="36"/>
        <item x="563"/>
        <item x="930"/>
        <item x="74"/>
        <item x="501"/>
        <item x="346"/>
        <item x="251"/>
        <item x="328"/>
        <item x="527"/>
        <item x="867"/>
        <item x="583"/>
        <item x="969"/>
        <item x="147"/>
        <item x="911"/>
        <item x="172"/>
        <item x="870"/>
        <item x="998"/>
        <item x="629"/>
        <item x="399"/>
        <item x="680"/>
        <item x="972"/>
        <item x="839"/>
        <item x="851"/>
        <item x="236"/>
        <item x="291"/>
        <item x="722"/>
        <item x="953"/>
        <item x="945"/>
        <item x="600"/>
        <item x="287"/>
        <item x="687"/>
        <item x="726"/>
        <item x="918"/>
        <item x="636"/>
        <item x="99"/>
        <item x="428"/>
        <item x="206"/>
        <item x="677"/>
        <item x="114"/>
        <item x="92"/>
        <item x="669"/>
        <item x="588"/>
        <item x="843"/>
        <item x="869"/>
        <item x="630"/>
        <item x="646"/>
        <item x="733"/>
        <item x="568"/>
        <item x="787"/>
        <item x="216"/>
        <item x="322"/>
        <item x="410"/>
        <item x="701"/>
        <item x="513"/>
        <item x="67"/>
        <item x="383"/>
        <item x="642"/>
        <item x="10"/>
        <item x="931"/>
        <item x="858"/>
        <item x="968"/>
        <item x="330"/>
        <item x="419"/>
        <item x="989"/>
        <item x="390"/>
        <item x="974"/>
        <item x="840"/>
        <item x="941"/>
        <item x="108"/>
        <item x="991"/>
        <item x="350"/>
        <item x="865"/>
        <item x="447"/>
        <item x="643"/>
        <item x="750"/>
        <item x="193"/>
        <item x="999"/>
        <item x="705"/>
        <item x="8"/>
        <item x="148"/>
        <item x="791"/>
        <item x="437"/>
        <item x="310"/>
        <item x="195"/>
        <item x="773"/>
        <item x="142"/>
        <item x="320"/>
        <item x="264"/>
        <item x="69"/>
        <item x="377"/>
        <item x="305"/>
        <item x="431"/>
        <item x="140"/>
        <item x="699"/>
        <item x="803"/>
        <item x="896"/>
        <item x="352"/>
        <item x="226"/>
        <item x="519"/>
        <item x="240"/>
        <item x="440"/>
        <item x="395"/>
        <item x="560"/>
        <item x="797"/>
        <item x="266"/>
        <item x="199"/>
        <item x="127"/>
        <item x="421"/>
        <item x="295"/>
        <item x="289"/>
        <item x="694"/>
        <item x="508"/>
        <item x="17"/>
        <item x="368"/>
        <item x="488"/>
        <item x="126"/>
        <item x="721"/>
        <item x="758"/>
        <item x="882"/>
        <item x="692"/>
        <item x="704"/>
        <item x="242"/>
        <item x="981"/>
        <item x="81"/>
        <item x="775"/>
        <item x="555"/>
        <item x="260"/>
        <item x="95"/>
        <item x="572"/>
        <item x="228"/>
        <item x="181"/>
        <item x="919"/>
        <item x="288"/>
        <item x="143"/>
        <item x="684"/>
        <item x="183"/>
        <item x="283"/>
        <item x="760"/>
        <item x="102"/>
        <item t="default"/>
      </items>
    </pivotField>
    <pivotField compact="0" numFmtId="1" outline="0" showAll="0"/>
    <pivotField axis="axisRow" compact="0" outline="0" showAll="0" sortType="descending" defaultSubtotal="0">
      <items count="4">
        <item x="3"/>
        <item x="2"/>
        <item x="1"/>
        <item x="0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64" outline="0" showAll="0"/>
    <pivotField compact="0" numFmtId="1" outline="0" showAll="0"/>
    <pivotField compact="0" outline="0" showAll="0"/>
    <pivotField compact="0" outline="0" showAll="0"/>
    <pivotField compact="0" numFmtId="1" outline="0" showAll="0"/>
    <pivotField compact="0" outline="0" showAll="0"/>
    <pivotField compact="0" numFmtId="1" outline="0" showAll="0"/>
    <pivotField compact="0" numFmtId="2" outline="0" showAll="0"/>
    <pivotField compact="0" outline="0" showAll="0"/>
    <pivotField compact="0" outline="0" showAll="0"/>
    <pivotField compact="0" numFmtId="1" outline="0" showAll="0"/>
    <pivotField compact="0" outline="0" showAll="0"/>
    <pivotField compact="0" numFmtId="1" outline="0" showAll="0"/>
    <pivotField compact="0" outline="0" showAll="0"/>
    <pivotField compact="0" outline="0" showAll="0"/>
    <pivotField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" outline="0" showAll="0"/>
  </pivotFields>
  <rowFields count="1">
    <field x="2"/>
  </rowFields>
  <rowItems count="4">
    <i>
      <x/>
    </i>
    <i>
      <x v="1"/>
    </i>
    <i>
      <x v="2"/>
    </i>
    <i>
      <x v="3"/>
    </i>
  </rowItems>
  <colItems count="1">
    <i/>
  </colItems>
  <dataFields count="1">
    <dataField name="Count of Customer_ID" fld="0" subtotal="count" showDataAs="percentOfTotal" baseField="0" baseItem="0" numFmtId="10"/>
  </dataFields>
  <chartFormats count="49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4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4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4" format="5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5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7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5" format="8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5" format="9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5" format="10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7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7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7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7" format="5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7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8" format="9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8" format="10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2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2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2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3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6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3" format="7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3" format="8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3" format="9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4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4" format="12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4" format="13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4" format="14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5" format="1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16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5" format="17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5" format="18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5" format="19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6" format="2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2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6" format="22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6" format="23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6" format="24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D7FDF59-1835-4F41-83D1-241FFC2E9024}" name="PivotTable2" cacheId="24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3:B6" firstHeaderRow="1" firstDataRow="1" firstDataCol="1"/>
  <pivotFields count="34">
    <pivotField dataField="1" compact="0" outline="0" showAll="0">
      <items count="1001">
        <item x="608"/>
        <item x="499"/>
        <item x="280"/>
        <item x="7"/>
        <item x="122"/>
        <item x="812"/>
        <item x="767"/>
        <item x="792"/>
        <item x="357"/>
        <item x="845"/>
        <item x="537"/>
        <item x="510"/>
        <item x="316"/>
        <item x="740"/>
        <item x="711"/>
        <item x="826"/>
        <item x="678"/>
        <item x="300"/>
        <item x="47"/>
        <item x="234"/>
        <item x="602"/>
        <item x="618"/>
        <item x="80"/>
        <item x="818"/>
        <item x="681"/>
        <item x="509"/>
        <item x="805"/>
        <item x="44"/>
        <item x="591"/>
        <item x="963"/>
        <item x="962"/>
        <item x="631"/>
        <item x="578"/>
        <item x="476"/>
        <item x="745"/>
        <item x="133"/>
        <item x="595"/>
        <item x="418"/>
        <item x="592"/>
        <item x="769"/>
        <item x="363"/>
        <item x="576"/>
        <item x="730"/>
        <item x="78"/>
        <item x="983"/>
        <item x="710"/>
        <item x="597"/>
        <item x="895"/>
        <item x="96"/>
        <item x="833"/>
        <item x="249"/>
        <item x="75"/>
        <item x="158"/>
        <item x="445"/>
        <item x="728"/>
        <item x="197"/>
        <item x="271"/>
        <item x="182"/>
        <item x="303"/>
        <item x="497"/>
        <item x="215"/>
        <item x="26"/>
        <item x="429"/>
        <item x="682"/>
        <item x="422"/>
        <item x="549"/>
        <item x="269"/>
        <item x="466"/>
        <item x="850"/>
        <item x="411"/>
        <item x="842"/>
        <item x="128"/>
        <item x="483"/>
        <item x="624"/>
        <item x="729"/>
        <item x="304"/>
        <item x="676"/>
        <item x="119"/>
        <item x="820"/>
        <item x="309"/>
        <item x="413"/>
        <item x="135"/>
        <item x="960"/>
        <item x="502"/>
        <item x="334"/>
        <item x="87"/>
        <item x="255"/>
        <item x="892"/>
        <item x="658"/>
        <item x="828"/>
        <item x="192"/>
        <item x="438"/>
        <item x="307"/>
        <item x="958"/>
        <item x="819"/>
        <item x="890"/>
        <item x="715"/>
        <item x="614"/>
        <item x="655"/>
        <item x="604"/>
        <item x="186"/>
        <item x="63"/>
        <item x="176"/>
        <item x="920"/>
        <item x="934"/>
        <item x="378"/>
        <item x="915"/>
        <item x="700"/>
        <item x="857"/>
        <item x="83"/>
        <item x="994"/>
        <item x="241"/>
        <item x="766"/>
        <item x="725"/>
        <item x="245"/>
        <item x="29"/>
        <item x="388"/>
        <item x="449"/>
        <item x="359"/>
        <item x="942"/>
        <item x="498"/>
        <item x="332"/>
        <item x="888"/>
        <item x="169"/>
        <item x="853"/>
        <item x="891"/>
        <item x="690"/>
        <item x="151"/>
        <item x="671"/>
        <item x="30"/>
        <item x="706"/>
        <item x="50"/>
        <item x="528"/>
        <item x="6"/>
        <item x="213"/>
        <item x="822"/>
        <item x="976"/>
        <item x="683"/>
        <item x="462"/>
        <item x="718"/>
        <item x="551"/>
        <item x="167"/>
        <item x="973"/>
        <item x="808"/>
        <item x="139"/>
        <item x="416"/>
        <item x="220"/>
        <item x="570"/>
        <item x="580"/>
        <item x="313"/>
        <item x="221"/>
        <item x="556"/>
        <item x="650"/>
        <item x="574"/>
        <item x="506"/>
        <item x="878"/>
        <item x="649"/>
        <item x="222"/>
        <item x="439"/>
        <item x="922"/>
        <item x="273"/>
        <item x="405"/>
        <item x="426"/>
        <item x="335"/>
        <item x="558"/>
        <item x="493"/>
        <item x="846"/>
        <item x="387"/>
        <item x="284"/>
        <item x="77"/>
        <item x="928"/>
        <item x="43"/>
        <item x="952"/>
        <item x="923"/>
        <item x="262"/>
        <item x="485"/>
        <item x="487"/>
        <item x="230"/>
        <item x="959"/>
        <item x="137"/>
        <item x="772"/>
        <item x="938"/>
        <item x="118"/>
        <item x="123"/>
        <item x="795"/>
        <item x="598"/>
        <item x="174"/>
        <item x="980"/>
        <item x="904"/>
        <item x="638"/>
        <item x="987"/>
        <item x="765"/>
        <item x="648"/>
        <item x="51"/>
        <item x="231"/>
        <item x="427"/>
        <item x="540"/>
        <item x="800"/>
        <item x="58"/>
        <item x="899"/>
        <item x="799"/>
        <item x="265"/>
        <item x="430"/>
        <item x="603"/>
        <item x="384"/>
        <item x="579"/>
        <item x="656"/>
        <item x="60"/>
        <item x="854"/>
        <item x="811"/>
        <item x="929"/>
        <item x="184"/>
        <item x="585"/>
        <item x="286"/>
        <item x="474"/>
        <item x="862"/>
        <item x="66"/>
        <item x="693"/>
        <item x="296"/>
        <item x="504"/>
        <item x="927"/>
        <item x="116"/>
        <item x="734"/>
        <item x="550"/>
        <item x="984"/>
        <item x="468"/>
        <item x="420"/>
        <item x="754"/>
        <item x="557"/>
        <item x="868"/>
        <item x="208"/>
        <item x="341"/>
        <item x="634"/>
        <item x="146"/>
        <item x="724"/>
        <item x="900"/>
        <item x="203"/>
        <item x="229"/>
        <item x="545"/>
        <item x="70"/>
        <item x="881"/>
        <item x="612"/>
        <item x="617"/>
        <item x="667"/>
        <item x="793"/>
        <item x="446"/>
        <item x="448"/>
        <item x="312"/>
        <item x="599"/>
        <item x="936"/>
        <item x="403"/>
        <item x="829"/>
        <item x="211"/>
        <item x="409"/>
        <item x="620"/>
        <item x="626"/>
        <item x="243"/>
        <item x="496"/>
        <item x="250"/>
        <item x="534"/>
        <item x="365"/>
        <item x="951"/>
        <item x="329"/>
        <item x="761"/>
        <item x="247"/>
        <item x="232"/>
        <item x="948"/>
        <item x="879"/>
        <item x="210"/>
        <item x="764"/>
        <item x="5"/>
        <item x="98"/>
        <item x="581"/>
        <item x="323"/>
        <item x="659"/>
        <item x="212"/>
        <item x="762"/>
        <item x="1"/>
        <item x="2"/>
        <item x="566"/>
        <item x="547"/>
        <item x="473"/>
        <item x="164"/>
        <item x="356"/>
        <item x="235"/>
        <item x="503"/>
        <item x="702"/>
        <item x="516"/>
        <item x="277"/>
        <item x="674"/>
        <item x="542"/>
        <item x="907"/>
        <item x="606"/>
        <item x="94"/>
        <item x="975"/>
        <item x="957"/>
        <item x="908"/>
        <item x="406"/>
        <item x="586"/>
        <item x="340"/>
        <item x="302"/>
        <item x="543"/>
        <item x="481"/>
        <item x="889"/>
        <item x="798"/>
        <item x="518"/>
        <item x="921"/>
        <item x="452"/>
        <item x="663"/>
        <item x="61"/>
        <item x="939"/>
        <item x="708"/>
        <item x="484"/>
        <item x="866"/>
        <item x="64"/>
        <item x="279"/>
        <item x="623"/>
        <item x="441"/>
        <item x="205"/>
        <item x="666"/>
        <item x="564"/>
        <item x="738"/>
        <item x="478"/>
        <item x="270"/>
        <item x="110"/>
        <item x="84"/>
        <item x="727"/>
        <item x="565"/>
        <item x="885"/>
        <item x="956"/>
        <item x="89"/>
        <item x="640"/>
        <item x="771"/>
        <item x="194"/>
        <item x="268"/>
        <item x="237"/>
        <item x="961"/>
        <item x="459"/>
        <item x="657"/>
        <item x="88"/>
        <item x="872"/>
        <item x="744"/>
        <item x="914"/>
        <item x="613"/>
        <item x="913"/>
        <item x="124"/>
        <item x="414"/>
        <item x="370"/>
        <item x="582"/>
        <item x="605"/>
        <item x="398"/>
        <item x="675"/>
        <item x="188"/>
        <item x="830"/>
        <item x="807"/>
        <item x="856"/>
        <item x="113"/>
        <item x="848"/>
        <item x="456"/>
        <item x="106"/>
        <item x="886"/>
        <item x="48"/>
        <item x="209"/>
        <item x="166"/>
        <item x="263"/>
        <item x="739"/>
        <item x="633"/>
        <item x="615"/>
        <item x="3"/>
        <item x="386"/>
        <item x="443"/>
        <item x="652"/>
        <item x="912"/>
        <item x="596"/>
        <item x="32"/>
        <item x="170"/>
        <item x="821"/>
        <item x="432"/>
        <item x="460"/>
        <item x="71"/>
        <item x="272"/>
        <item x="546"/>
        <item x="641"/>
        <item x="755"/>
        <item x="16"/>
        <item x="809"/>
        <item x="813"/>
        <item x="315"/>
        <item x="749"/>
        <item x="134"/>
        <item x="21"/>
        <item x="267"/>
        <item x="651"/>
        <item x="679"/>
        <item x="56"/>
        <item x="39"/>
        <item x="248"/>
        <item x="394"/>
        <item x="691"/>
        <item x="49"/>
        <item x="219"/>
        <item x="115"/>
        <item x="299"/>
        <item x="238"/>
        <item x="191"/>
        <item x="836"/>
        <item x="52"/>
        <item x="737"/>
        <item x="607"/>
        <item x="697"/>
        <item x="104"/>
        <item x="136"/>
        <item x="736"/>
        <item x="776"/>
        <item x="893"/>
        <item x="467"/>
        <item x="538"/>
        <item x="347"/>
        <item x="293"/>
        <item x="412"/>
        <item x="662"/>
        <item x="831"/>
        <item x="201"/>
        <item x="937"/>
        <item x="159"/>
        <item x="40"/>
        <item x="54"/>
        <item x="978"/>
        <item x="120"/>
        <item x="997"/>
        <item x="505"/>
        <item x="480"/>
        <item x="759"/>
        <item x="22"/>
        <item x="382"/>
        <item x="35"/>
        <item x="362"/>
        <item x="910"/>
        <item x="901"/>
        <item x="514"/>
        <item x="389"/>
        <item x="594"/>
        <item x="507"/>
        <item x="107"/>
        <item x="435"/>
        <item x="477"/>
        <item x="451"/>
        <item x="76"/>
        <item x="535"/>
        <item x="246"/>
        <item x="198"/>
        <item x="732"/>
        <item x="415"/>
        <item x="742"/>
        <item x="944"/>
        <item x="589"/>
        <item x="165"/>
        <item x="463"/>
        <item x="567"/>
        <item x="806"/>
        <item x="621"/>
        <item x="584"/>
        <item x="541"/>
        <item x="689"/>
        <item x="152"/>
        <item x="573"/>
        <item x="784"/>
        <item x="18"/>
        <item x="217"/>
        <item x="635"/>
        <item x="276"/>
        <item x="794"/>
        <item x="196"/>
        <item x="933"/>
        <item x="639"/>
        <item x="101"/>
        <item x="887"/>
        <item x="835"/>
        <item x="909"/>
        <item x="407"/>
        <item x="743"/>
        <item x="156"/>
        <item x="698"/>
        <item x="41"/>
        <item x="719"/>
        <item x="777"/>
        <item x="781"/>
        <item x="373"/>
        <item x="763"/>
        <item x="461"/>
        <item x="257"/>
        <item x="376"/>
        <item x="27"/>
        <item x="716"/>
        <item x="967"/>
        <item x="160"/>
        <item x="970"/>
        <item x="314"/>
        <item x="259"/>
        <item x="897"/>
        <item x="93"/>
        <item x="707"/>
        <item x="779"/>
        <item x="72"/>
        <item x="298"/>
        <item x="814"/>
        <item x="348"/>
        <item x="278"/>
        <item x="804"/>
        <item x="544"/>
        <item x="553"/>
        <item x="308"/>
        <item x="375"/>
        <item x="325"/>
        <item x="38"/>
        <item x="408"/>
        <item x="796"/>
        <item x="97"/>
        <item x="875"/>
        <item x="500"/>
        <item x="533"/>
        <item x="747"/>
        <item x="979"/>
        <item x="23"/>
        <item x="686"/>
        <item x="880"/>
        <item x="336"/>
        <item x="778"/>
        <item x="464"/>
        <item x="768"/>
        <item x="876"/>
        <item x="200"/>
        <item x="688"/>
        <item x="25"/>
        <item x="622"/>
        <item x="28"/>
        <item x="552"/>
        <item x="353"/>
        <item x="161"/>
        <item x="369"/>
        <item x="917"/>
        <item x="11"/>
        <item x="717"/>
        <item x="593"/>
        <item x="442"/>
        <item x="239"/>
        <item x="404"/>
        <item x="141"/>
        <item x="311"/>
        <item x="190"/>
        <item x="855"/>
        <item x="105"/>
        <item x="433"/>
        <item x="673"/>
        <item x="616"/>
        <item x="654"/>
        <item x="109"/>
        <item x="947"/>
        <item x="785"/>
        <item x="358"/>
        <item x="380"/>
        <item x="53"/>
        <item x="536"/>
        <item x="371"/>
        <item x="860"/>
        <item x="301"/>
        <item x="926"/>
        <item x="34"/>
        <item x="810"/>
        <item x="627"/>
        <item x="756"/>
        <item x="479"/>
        <item x="364"/>
        <item x="343"/>
        <item x="632"/>
        <item x="713"/>
        <item x="924"/>
        <item x="326"/>
        <item x="455"/>
        <item x="619"/>
        <item x="349"/>
        <item x="587"/>
        <item x="838"/>
        <item x="964"/>
        <item x="992"/>
        <item x="815"/>
        <item x="444"/>
        <item x="155"/>
        <item x="990"/>
        <item x="696"/>
        <item x="68"/>
        <item x="374"/>
        <item x="379"/>
        <item x="529"/>
        <item x="561"/>
        <item x="475"/>
        <item x="977"/>
        <item x="338"/>
        <item x="770"/>
        <item x="45"/>
        <item x="381"/>
        <item x="788"/>
        <item x="214"/>
        <item x="859"/>
        <item x="297"/>
        <item x="491"/>
        <item x="125"/>
        <item x="554"/>
        <item x="367"/>
        <item x="996"/>
        <item x="103"/>
        <item x="884"/>
        <item x="354"/>
        <item x="385"/>
        <item x="741"/>
        <item x="227"/>
        <item x="457"/>
        <item x="392"/>
        <item x="59"/>
        <item x="306"/>
        <item x="0"/>
        <item x="292"/>
        <item x="925"/>
        <item x="695"/>
        <item x="90"/>
        <item x="9"/>
        <item x="453"/>
        <item x="361"/>
        <item x="450"/>
        <item x="401"/>
        <item x="935"/>
        <item x="940"/>
        <item x="511"/>
        <item x="130"/>
        <item x="965"/>
        <item x="837"/>
        <item x="360"/>
        <item x="786"/>
        <item x="625"/>
        <item x="470"/>
        <item x="943"/>
        <item x="472"/>
        <item x="224"/>
        <item x="495"/>
        <item x="91"/>
        <item x="117"/>
        <item x="178"/>
        <item x="168"/>
        <item x="253"/>
        <item x="825"/>
        <item x="189"/>
        <item x="100"/>
        <item x="154"/>
        <item x="12"/>
        <item x="434"/>
        <item x="801"/>
        <item x="13"/>
        <item x="894"/>
        <item x="906"/>
        <item x="517"/>
        <item x="223"/>
        <item x="521"/>
        <item x="746"/>
        <item x="317"/>
        <item x="333"/>
        <item x="834"/>
        <item x="874"/>
        <item x="86"/>
        <item x="482"/>
        <item x="112"/>
        <item x="628"/>
        <item x="877"/>
        <item x="366"/>
        <item x="559"/>
        <item x="486"/>
        <item x="637"/>
        <item x="790"/>
        <item x="33"/>
        <item x="171"/>
        <item x="672"/>
        <item x="802"/>
        <item x="982"/>
        <item x="157"/>
        <item x="757"/>
        <item x="524"/>
        <item x="82"/>
        <item x="55"/>
        <item x="150"/>
        <item x="752"/>
        <item x="138"/>
        <item x="664"/>
        <item x="720"/>
        <item x="489"/>
        <item x="685"/>
        <item x="290"/>
        <item x="898"/>
        <item x="454"/>
        <item x="665"/>
        <item x="903"/>
        <item x="282"/>
        <item x="423"/>
        <item x="331"/>
        <item x="65"/>
        <item x="179"/>
        <item x="254"/>
        <item x="577"/>
        <item x="789"/>
        <item x="233"/>
        <item x="748"/>
        <item x="149"/>
        <item x="966"/>
        <item x="469"/>
        <item x="905"/>
        <item x="525"/>
        <item x="751"/>
        <item x="863"/>
        <item x="816"/>
        <item x="111"/>
        <item x="37"/>
        <item x="954"/>
        <item x="402"/>
        <item x="46"/>
        <item x="532"/>
        <item x="162"/>
        <item x="661"/>
        <item x="342"/>
        <item x="397"/>
        <item x="609"/>
        <item x="571"/>
        <item x="465"/>
        <item x="144"/>
        <item x="520"/>
        <item x="163"/>
        <item x="844"/>
        <item x="852"/>
        <item x="660"/>
        <item x="774"/>
        <item x="256"/>
        <item x="79"/>
        <item x="285"/>
        <item x="177"/>
        <item x="668"/>
        <item x="261"/>
        <item x="670"/>
        <item x="827"/>
        <item x="218"/>
        <item x="782"/>
        <item x="883"/>
        <item x="522"/>
        <item x="173"/>
        <item x="569"/>
        <item x="31"/>
        <item x="492"/>
        <item x="319"/>
        <item x="73"/>
        <item x="318"/>
        <item x="512"/>
        <item x="24"/>
        <item x="275"/>
        <item x="19"/>
        <item x="841"/>
        <item x="129"/>
        <item x="714"/>
        <item x="490"/>
        <item x="424"/>
        <item x="15"/>
        <item x="611"/>
        <item x="946"/>
        <item x="321"/>
        <item x="712"/>
        <item x="590"/>
        <item x="647"/>
        <item x="703"/>
        <item x="823"/>
        <item x="871"/>
        <item x="531"/>
        <item x="14"/>
        <item x="864"/>
        <item x="345"/>
        <item x="709"/>
        <item x="274"/>
        <item x="344"/>
        <item x="644"/>
        <item x="396"/>
        <item x="539"/>
        <item x="817"/>
        <item x="372"/>
        <item x="471"/>
        <item x="42"/>
        <item x="145"/>
        <item x="653"/>
        <item x="252"/>
        <item x="530"/>
        <item x="57"/>
        <item x="436"/>
        <item x="849"/>
        <item x="723"/>
        <item x="121"/>
        <item x="327"/>
        <item x="916"/>
        <item x="783"/>
        <item x="244"/>
        <item x="902"/>
        <item x="832"/>
        <item x="185"/>
        <item x="861"/>
        <item x="949"/>
        <item x="575"/>
        <item x="153"/>
        <item x="610"/>
        <item x="548"/>
        <item x="824"/>
        <item x="515"/>
        <item x="986"/>
        <item x="294"/>
        <item x="62"/>
        <item x="494"/>
        <item x="780"/>
        <item x="202"/>
        <item x="351"/>
        <item x="85"/>
        <item x="20"/>
        <item x="993"/>
        <item x="873"/>
        <item x="523"/>
        <item x="731"/>
        <item x="258"/>
        <item x="988"/>
        <item x="281"/>
        <item x="950"/>
        <item x="971"/>
        <item x="985"/>
        <item x="645"/>
        <item x="995"/>
        <item x="355"/>
        <item x="339"/>
        <item x="458"/>
        <item x="847"/>
        <item x="400"/>
        <item x="753"/>
        <item x="601"/>
        <item x="225"/>
        <item x="4"/>
        <item x="393"/>
        <item x="132"/>
        <item x="735"/>
        <item x="131"/>
        <item x="207"/>
        <item x="324"/>
        <item x="187"/>
        <item x="955"/>
        <item x="425"/>
        <item x="180"/>
        <item x="932"/>
        <item x="562"/>
        <item x="391"/>
        <item x="337"/>
        <item x="175"/>
        <item x="526"/>
        <item x="417"/>
        <item x="204"/>
        <item x="36"/>
        <item x="563"/>
        <item x="930"/>
        <item x="74"/>
        <item x="501"/>
        <item x="346"/>
        <item x="251"/>
        <item x="328"/>
        <item x="527"/>
        <item x="867"/>
        <item x="583"/>
        <item x="969"/>
        <item x="147"/>
        <item x="911"/>
        <item x="172"/>
        <item x="870"/>
        <item x="998"/>
        <item x="629"/>
        <item x="399"/>
        <item x="680"/>
        <item x="972"/>
        <item x="839"/>
        <item x="851"/>
        <item x="236"/>
        <item x="291"/>
        <item x="722"/>
        <item x="953"/>
        <item x="945"/>
        <item x="600"/>
        <item x="287"/>
        <item x="687"/>
        <item x="726"/>
        <item x="918"/>
        <item x="636"/>
        <item x="99"/>
        <item x="428"/>
        <item x="206"/>
        <item x="677"/>
        <item x="114"/>
        <item x="92"/>
        <item x="669"/>
        <item x="588"/>
        <item x="843"/>
        <item x="869"/>
        <item x="630"/>
        <item x="646"/>
        <item x="733"/>
        <item x="568"/>
        <item x="787"/>
        <item x="216"/>
        <item x="322"/>
        <item x="410"/>
        <item x="701"/>
        <item x="513"/>
        <item x="67"/>
        <item x="383"/>
        <item x="642"/>
        <item x="10"/>
        <item x="931"/>
        <item x="858"/>
        <item x="968"/>
        <item x="330"/>
        <item x="419"/>
        <item x="989"/>
        <item x="390"/>
        <item x="974"/>
        <item x="840"/>
        <item x="941"/>
        <item x="108"/>
        <item x="991"/>
        <item x="350"/>
        <item x="865"/>
        <item x="447"/>
        <item x="643"/>
        <item x="750"/>
        <item x="193"/>
        <item x="999"/>
        <item x="705"/>
        <item x="8"/>
        <item x="148"/>
        <item x="791"/>
        <item x="437"/>
        <item x="310"/>
        <item x="195"/>
        <item x="773"/>
        <item x="142"/>
        <item x="320"/>
        <item x="264"/>
        <item x="69"/>
        <item x="377"/>
        <item x="305"/>
        <item x="431"/>
        <item x="140"/>
        <item x="699"/>
        <item x="803"/>
        <item x="896"/>
        <item x="352"/>
        <item x="226"/>
        <item x="519"/>
        <item x="240"/>
        <item x="440"/>
        <item x="395"/>
        <item x="560"/>
        <item x="797"/>
        <item x="266"/>
        <item x="199"/>
        <item x="127"/>
        <item x="421"/>
        <item x="295"/>
        <item x="289"/>
        <item x="694"/>
        <item x="508"/>
        <item x="17"/>
        <item x="368"/>
        <item x="488"/>
        <item x="126"/>
        <item x="721"/>
        <item x="758"/>
        <item x="882"/>
        <item x="692"/>
        <item x="704"/>
        <item x="242"/>
        <item x="981"/>
        <item x="81"/>
        <item x="775"/>
        <item x="555"/>
        <item x="260"/>
        <item x="95"/>
        <item x="572"/>
        <item x="228"/>
        <item x="181"/>
        <item x="919"/>
        <item x="288"/>
        <item x="143"/>
        <item x="684"/>
        <item x="183"/>
        <item x="283"/>
        <item x="760"/>
        <item x="102"/>
        <item t="default"/>
      </items>
    </pivotField>
    <pivotField compact="0" numFmtId="1" outline="0" showAll="0"/>
    <pivotField compact="0" outline="0" showAll="0"/>
    <pivotField compact="0" outline="0" showAll="0"/>
    <pivotField axis="axisRow" compact="0" outline="0" showAll="0" sortType="descending">
      <items count="3"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compact="0" outline="0" showAll="0"/>
    <pivotField compact="0" numFmtId="164" outline="0" showAll="0"/>
    <pivotField compact="0" numFmtId="1" outline="0" showAll="0"/>
    <pivotField compact="0" outline="0" showAll="0"/>
    <pivotField compact="0" outline="0" showAll="0"/>
    <pivotField compact="0" numFmtId="1" outline="0" showAll="0"/>
    <pivotField compact="0" outline="0" showAll="0"/>
    <pivotField compact="0" numFmtId="1" outline="0" showAll="0"/>
    <pivotField compact="0" numFmtId="2" outline="0" showAll="0"/>
    <pivotField compact="0" outline="0" showAll="0"/>
    <pivotField compact="0" outline="0" showAll="0"/>
    <pivotField compact="0" numFmtId="1" outline="0" showAll="0"/>
    <pivotField compact="0" outline="0" showAll="0"/>
    <pivotField compact="0" numFmtId="1" outline="0" showAll="0"/>
    <pivotField compact="0" outline="0" showAll="0"/>
    <pivotField compact="0" outline="0" showAll="0"/>
    <pivotField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" outline="0" showAll="0"/>
  </pivotFields>
  <rowFields count="1">
    <field x="4"/>
  </rowFields>
  <rowItems count="3">
    <i>
      <x/>
    </i>
    <i>
      <x v="1"/>
    </i>
    <i t="grand">
      <x/>
    </i>
  </rowItems>
  <colItems count="1">
    <i/>
  </colItems>
  <dataFields count="1">
    <dataField name="Count of Customer_ID" fld="0" subtotal="count" showDataAs="percentOfTotal" baseField="0" baseItem="0" numFmtId="10"/>
  </dataFields>
  <chartFormats count="1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3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0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3" format="1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4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3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4" format="14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F41E21-0E50-42A4-8F3B-CAD24EC446FB}" name="PivotTable3" cacheId="24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3:B7" firstHeaderRow="1" firstDataRow="1" firstDataCol="1"/>
  <pivotFields count="34">
    <pivotField dataField="1" compact="0" outline="0" showAll="0">
      <items count="1001">
        <item x="608"/>
        <item x="499"/>
        <item x="280"/>
        <item x="7"/>
        <item x="122"/>
        <item x="812"/>
        <item x="767"/>
        <item x="792"/>
        <item x="357"/>
        <item x="845"/>
        <item x="537"/>
        <item x="510"/>
        <item x="316"/>
        <item x="740"/>
        <item x="711"/>
        <item x="826"/>
        <item x="678"/>
        <item x="300"/>
        <item x="47"/>
        <item x="234"/>
        <item x="602"/>
        <item x="618"/>
        <item x="80"/>
        <item x="818"/>
        <item x="681"/>
        <item x="509"/>
        <item x="805"/>
        <item x="44"/>
        <item x="591"/>
        <item x="963"/>
        <item x="962"/>
        <item x="631"/>
        <item x="578"/>
        <item x="476"/>
        <item x="745"/>
        <item x="133"/>
        <item x="595"/>
        <item x="418"/>
        <item x="592"/>
        <item x="769"/>
        <item x="363"/>
        <item x="576"/>
        <item x="730"/>
        <item x="78"/>
        <item x="983"/>
        <item x="710"/>
        <item x="597"/>
        <item x="895"/>
        <item x="96"/>
        <item x="833"/>
        <item x="249"/>
        <item x="75"/>
        <item x="158"/>
        <item x="445"/>
        <item x="728"/>
        <item x="197"/>
        <item x="271"/>
        <item x="182"/>
        <item x="303"/>
        <item x="497"/>
        <item x="215"/>
        <item x="26"/>
        <item x="429"/>
        <item x="682"/>
        <item x="422"/>
        <item x="549"/>
        <item x="269"/>
        <item x="466"/>
        <item x="850"/>
        <item x="411"/>
        <item x="842"/>
        <item x="128"/>
        <item x="483"/>
        <item x="624"/>
        <item x="729"/>
        <item x="304"/>
        <item x="676"/>
        <item x="119"/>
        <item x="820"/>
        <item x="309"/>
        <item x="413"/>
        <item x="135"/>
        <item x="960"/>
        <item x="502"/>
        <item x="334"/>
        <item x="87"/>
        <item x="255"/>
        <item x="892"/>
        <item x="658"/>
        <item x="828"/>
        <item x="192"/>
        <item x="438"/>
        <item x="307"/>
        <item x="958"/>
        <item x="819"/>
        <item x="890"/>
        <item x="715"/>
        <item x="614"/>
        <item x="655"/>
        <item x="604"/>
        <item x="186"/>
        <item x="63"/>
        <item x="176"/>
        <item x="920"/>
        <item x="934"/>
        <item x="378"/>
        <item x="915"/>
        <item x="700"/>
        <item x="857"/>
        <item x="83"/>
        <item x="994"/>
        <item x="241"/>
        <item x="766"/>
        <item x="725"/>
        <item x="245"/>
        <item x="29"/>
        <item x="388"/>
        <item x="449"/>
        <item x="359"/>
        <item x="942"/>
        <item x="498"/>
        <item x="332"/>
        <item x="888"/>
        <item x="169"/>
        <item x="853"/>
        <item x="891"/>
        <item x="690"/>
        <item x="151"/>
        <item x="671"/>
        <item x="30"/>
        <item x="706"/>
        <item x="50"/>
        <item x="528"/>
        <item x="6"/>
        <item x="213"/>
        <item x="822"/>
        <item x="976"/>
        <item x="683"/>
        <item x="462"/>
        <item x="718"/>
        <item x="551"/>
        <item x="167"/>
        <item x="973"/>
        <item x="808"/>
        <item x="139"/>
        <item x="416"/>
        <item x="220"/>
        <item x="570"/>
        <item x="580"/>
        <item x="313"/>
        <item x="221"/>
        <item x="556"/>
        <item x="650"/>
        <item x="574"/>
        <item x="506"/>
        <item x="878"/>
        <item x="649"/>
        <item x="222"/>
        <item x="439"/>
        <item x="922"/>
        <item x="273"/>
        <item x="405"/>
        <item x="426"/>
        <item x="335"/>
        <item x="558"/>
        <item x="493"/>
        <item x="846"/>
        <item x="387"/>
        <item x="284"/>
        <item x="77"/>
        <item x="928"/>
        <item x="43"/>
        <item x="952"/>
        <item x="923"/>
        <item x="262"/>
        <item x="485"/>
        <item x="487"/>
        <item x="230"/>
        <item x="959"/>
        <item x="137"/>
        <item x="772"/>
        <item x="938"/>
        <item x="118"/>
        <item x="123"/>
        <item x="795"/>
        <item x="598"/>
        <item x="174"/>
        <item x="980"/>
        <item x="904"/>
        <item x="638"/>
        <item x="987"/>
        <item x="765"/>
        <item x="648"/>
        <item x="51"/>
        <item x="231"/>
        <item x="427"/>
        <item x="540"/>
        <item x="800"/>
        <item x="58"/>
        <item x="899"/>
        <item x="799"/>
        <item x="265"/>
        <item x="430"/>
        <item x="603"/>
        <item x="384"/>
        <item x="579"/>
        <item x="656"/>
        <item x="60"/>
        <item x="854"/>
        <item x="811"/>
        <item x="929"/>
        <item x="184"/>
        <item x="585"/>
        <item x="286"/>
        <item x="474"/>
        <item x="862"/>
        <item x="66"/>
        <item x="693"/>
        <item x="296"/>
        <item x="504"/>
        <item x="927"/>
        <item x="116"/>
        <item x="734"/>
        <item x="550"/>
        <item x="984"/>
        <item x="468"/>
        <item x="420"/>
        <item x="754"/>
        <item x="557"/>
        <item x="868"/>
        <item x="208"/>
        <item x="341"/>
        <item x="634"/>
        <item x="146"/>
        <item x="724"/>
        <item x="900"/>
        <item x="203"/>
        <item x="229"/>
        <item x="545"/>
        <item x="70"/>
        <item x="881"/>
        <item x="612"/>
        <item x="617"/>
        <item x="667"/>
        <item x="793"/>
        <item x="446"/>
        <item x="448"/>
        <item x="312"/>
        <item x="599"/>
        <item x="936"/>
        <item x="403"/>
        <item x="829"/>
        <item x="211"/>
        <item x="409"/>
        <item x="620"/>
        <item x="626"/>
        <item x="243"/>
        <item x="496"/>
        <item x="250"/>
        <item x="534"/>
        <item x="365"/>
        <item x="951"/>
        <item x="329"/>
        <item x="761"/>
        <item x="247"/>
        <item x="232"/>
        <item x="948"/>
        <item x="879"/>
        <item x="210"/>
        <item x="764"/>
        <item x="5"/>
        <item x="98"/>
        <item x="581"/>
        <item x="323"/>
        <item x="659"/>
        <item x="212"/>
        <item x="762"/>
        <item x="1"/>
        <item x="2"/>
        <item x="566"/>
        <item x="547"/>
        <item x="473"/>
        <item x="164"/>
        <item x="356"/>
        <item x="235"/>
        <item x="503"/>
        <item x="702"/>
        <item x="516"/>
        <item x="277"/>
        <item x="674"/>
        <item x="542"/>
        <item x="907"/>
        <item x="606"/>
        <item x="94"/>
        <item x="975"/>
        <item x="957"/>
        <item x="908"/>
        <item x="406"/>
        <item x="586"/>
        <item x="340"/>
        <item x="302"/>
        <item x="543"/>
        <item x="481"/>
        <item x="889"/>
        <item x="798"/>
        <item x="518"/>
        <item x="921"/>
        <item x="452"/>
        <item x="663"/>
        <item x="61"/>
        <item x="939"/>
        <item x="708"/>
        <item x="484"/>
        <item x="866"/>
        <item x="64"/>
        <item x="279"/>
        <item x="623"/>
        <item x="441"/>
        <item x="205"/>
        <item x="666"/>
        <item x="564"/>
        <item x="738"/>
        <item x="478"/>
        <item x="270"/>
        <item x="110"/>
        <item x="84"/>
        <item x="727"/>
        <item x="565"/>
        <item x="885"/>
        <item x="956"/>
        <item x="89"/>
        <item x="640"/>
        <item x="771"/>
        <item x="194"/>
        <item x="268"/>
        <item x="237"/>
        <item x="961"/>
        <item x="459"/>
        <item x="657"/>
        <item x="88"/>
        <item x="872"/>
        <item x="744"/>
        <item x="914"/>
        <item x="613"/>
        <item x="913"/>
        <item x="124"/>
        <item x="414"/>
        <item x="370"/>
        <item x="582"/>
        <item x="605"/>
        <item x="398"/>
        <item x="675"/>
        <item x="188"/>
        <item x="830"/>
        <item x="807"/>
        <item x="856"/>
        <item x="113"/>
        <item x="848"/>
        <item x="456"/>
        <item x="106"/>
        <item x="886"/>
        <item x="48"/>
        <item x="209"/>
        <item x="166"/>
        <item x="263"/>
        <item x="739"/>
        <item x="633"/>
        <item x="615"/>
        <item x="3"/>
        <item x="386"/>
        <item x="443"/>
        <item x="652"/>
        <item x="912"/>
        <item x="596"/>
        <item x="32"/>
        <item x="170"/>
        <item x="821"/>
        <item x="432"/>
        <item x="460"/>
        <item x="71"/>
        <item x="272"/>
        <item x="546"/>
        <item x="641"/>
        <item x="755"/>
        <item x="16"/>
        <item x="809"/>
        <item x="813"/>
        <item x="315"/>
        <item x="749"/>
        <item x="134"/>
        <item x="21"/>
        <item x="267"/>
        <item x="651"/>
        <item x="679"/>
        <item x="56"/>
        <item x="39"/>
        <item x="248"/>
        <item x="394"/>
        <item x="691"/>
        <item x="49"/>
        <item x="219"/>
        <item x="115"/>
        <item x="299"/>
        <item x="238"/>
        <item x="191"/>
        <item x="836"/>
        <item x="52"/>
        <item x="737"/>
        <item x="607"/>
        <item x="697"/>
        <item x="104"/>
        <item x="136"/>
        <item x="736"/>
        <item x="776"/>
        <item x="893"/>
        <item x="467"/>
        <item x="538"/>
        <item x="347"/>
        <item x="293"/>
        <item x="412"/>
        <item x="662"/>
        <item x="831"/>
        <item x="201"/>
        <item x="937"/>
        <item x="159"/>
        <item x="40"/>
        <item x="54"/>
        <item x="978"/>
        <item x="120"/>
        <item x="997"/>
        <item x="505"/>
        <item x="480"/>
        <item x="759"/>
        <item x="22"/>
        <item x="382"/>
        <item x="35"/>
        <item x="362"/>
        <item x="910"/>
        <item x="901"/>
        <item x="514"/>
        <item x="389"/>
        <item x="594"/>
        <item x="507"/>
        <item x="107"/>
        <item x="435"/>
        <item x="477"/>
        <item x="451"/>
        <item x="76"/>
        <item x="535"/>
        <item x="246"/>
        <item x="198"/>
        <item x="732"/>
        <item x="415"/>
        <item x="742"/>
        <item x="944"/>
        <item x="589"/>
        <item x="165"/>
        <item x="463"/>
        <item x="567"/>
        <item x="806"/>
        <item x="621"/>
        <item x="584"/>
        <item x="541"/>
        <item x="689"/>
        <item x="152"/>
        <item x="573"/>
        <item x="784"/>
        <item x="18"/>
        <item x="217"/>
        <item x="635"/>
        <item x="276"/>
        <item x="794"/>
        <item x="196"/>
        <item x="933"/>
        <item x="639"/>
        <item x="101"/>
        <item x="887"/>
        <item x="835"/>
        <item x="909"/>
        <item x="407"/>
        <item x="743"/>
        <item x="156"/>
        <item x="698"/>
        <item x="41"/>
        <item x="719"/>
        <item x="777"/>
        <item x="781"/>
        <item x="373"/>
        <item x="763"/>
        <item x="461"/>
        <item x="257"/>
        <item x="376"/>
        <item x="27"/>
        <item x="716"/>
        <item x="967"/>
        <item x="160"/>
        <item x="970"/>
        <item x="314"/>
        <item x="259"/>
        <item x="897"/>
        <item x="93"/>
        <item x="707"/>
        <item x="779"/>
        <item x="72"/>
        <item x="298"/>
        <item x="814"/>
        <item x="348"/>
        <item x="278"/>
        <item x="804"/>
        <item x="544"/>
        <item x="553"/>
        <item x="308"/>
        <item x="375"/>
        <item x="325"/>
        <item x="38"/>
        <item x="408"/>
        <item x="796"/>
        <item x="97"/>
        <item x="875"/>
        <item x="500"/>
        <item x="533"/>
        <item x="747"/>
        <item x="979"/>
        <item x="23"/>
        <item x="686"/>
        <item x="880"/>
        <item x="336"/>
        <item x="778"/>
        <item x="464"/>
        <item x="768"/>
        <item x="876"/>
        <item x="200"/>
        <item x="688"/>
        <item x="25"/>
        <item x="622"/>
        <item x="28"/>
        <item x="552"/>
        <item x="353"/>
        <item x="161"/>
        <item x="369"/>
        <item x="917"/>
        <item x="11"/>
        <item x="717"/>
        <item x="593"/>
        <item x="442"/>
        <item x="239"/>
        <item x="404"/>
        <item x="141"/>
        <item x="311"/>
        <item x="190"/>
        <item x="855"/>
        <item x="105"/>
        <item x="433"/>
        <item x="673"/>
        <item x="616"/>
        <item x="654"/>
        <item x="109"/>
        <item x="947"/>
        <item x="785"/>
        <item x="358"/>
        <item x="380"/>
        <item x="53"/>
        <item x="536"/>
        <item x="371"/>
        <item x="860"/>
        <item x="301"/>
        <item x="926"/>
        <item x="34"/>
        <item x="810"/>
        <item x="627"/>
        <item x="756"/>
        <item x="479"/>
        <item x="364"/>
        <item x="343"/>
        <item x="632"/>
        <item x="713"/>
        <item x="924"/>
        <item x="326"/>
        <item x="455"/>
        <item x="619"/>
        <item x="349"/>
        <item x="587"/>
        <item x="838"/>
        <item x="964"/>
        <item x="992"/>
        <item x="815"/>
        <item x="444"/>
        <item x="155"/>
        <item x="990"/>
        <item x="696"/>
        <item x="68"/>
        <item x="374"/>
        <item x="379"/>
        <item x="529"/>
        <item x="561"/>
        <item x="475"/>
        <item x="977"/>
        <item x="338"/>
        <item x="770"/>
        <item x="45"/>
        <item x="381"/>
        <item x="788"/>
        <item x="214"/>
        <item x="859"/>
        <item x="297"/>
        <item x="491"/>
        <item x="125"/>
        <item x="554"/>
        <item x="367"/>
        <item x="996"/>
        <item x="103"/>
        <item x="884"/>
        <item x="354"/>
        <item x="385"/>
        <item x="741"/>
        <item x="227"/>
        <item x="457"/>
        <item x="392"/>
        <item x="59"/>
        <item x="306"/>
        <item x="0"/>
        <item x="292"/>
        <item x="925"/>
        <item x="695"/>
        <item x="90"/>
        <item x="9"/>
        <item x="453"/>
        <item x="361"/>
        <item x="450"/>
        <item x="401"/>
        <item x="935"/>
        <item x="940"/>
        <item x="511"/>
        <item x="130"/>
        <item x="965"/>
        <item x="837"/>
        <item x="360"/>
        <item x="786"/>
        <item x="625"/>
        <item x="470"/>
        <item x="943"/>
        <item x="472"/>
        <item x="224"/>
        <item x="495"/>
        <item x="91"/>
        <item x="117"/>
        <item x="178"/>
        <item x="168"/>
        <item x="253"/>
        <item x="825"/>
        <item x="189"/>
        <item x="100"/>
        <item x="154"/>
        <item x="12"/>
        <item x="434"/>
        <item x="801"/>
        <item x="13"/>
        <item x="894"/>
        <item x="906"/>
        <item x="517"/>
        <item x="223"/>
        <item x="521"/>
        <item x="746"/>
        <item x="317"/>
        <item x="333"/>
        <item x="834"/>
        <item x="874"/>
        <item x="86"/>
        <item x="482"/>
        <item x="112"/>
        <item x="628"/>
        <item x="877"/>
        <item x="366"/>
        <item x="559"/>
        <item x="486"/>
        <item x="637"/>
        <item x="790"/>
        <item x="33"/>
        <item x="171"/>
        <item x="672"/>
        <item x="802"/>
        <item x="982"/>
        <item x="157"/>
        <item x="757"/>
        <item x="524"/>
        <item x="82"/>
        <item x="55"/>
        <item x="150"/>
        <item x="752"/>
        <item x="138"/>
        <item x="664"/>
        <item x="720"/>
        <item x="489"/>
        <item x="685"/>
        <item x="290"/>
        <item x="898"/>
        <item x="454"/>
        <item x="665"/>
        <item x="903"/>
        <item x="282"/>
        <item x="423"/>
        <item x="331"/>
        <item x="65"/>
        <item x="179"/>
        <item x="254"/>
        <item x="577"/>
        <item x="789"/>
        <item x="233"/>
        <item x="748"/>
        <item x="149"/>
        <item x="966"/>
        <item x="469"/>
        <item x="905"/>
        <item x="525"/>
        <item x="751"/>
        <item x="863"/>
        <item x="816"/>
        <item x="111"/>
        <item x="37"/>
        <item x="954"/>
        <item x="402"/>
        <item x="46"/>
        <item x="532"/>
        <item x="162"/>
        <item x="661"/>
        <item x="342"/>
        <item x="397"/>
        <item x="609"/>
        <item x="571"/>
        <item x="465"/>
        <item x="144"/>
        <item x="520"/>
        <item x="163"/>
        <item x="844"/>
        <item x="852"/>
        <item x="660"/>
        <item x="774"/>
        <item x="256"/>
        <item x="79"/>
        <item x="285"/>
        <item x="177"/>
        <item x="668"/>
        <item x="261"/>
        <item x="670"/>
        <item x="827"/>
        <item x="218"/>
        <item x="782"/>
        <item x="883"/>
        <item x="522"/>
        <item x="173"/>
        <item x="569"/>
        <item x="31"/>
        <item x="492"/>
        <item x="319"/>
        <item x="73"/>
        <item x="318"/>
        <item x="512"/>
        <item x="24"/>
        <item x="275"/>
        <item x="19"/>
        <item x="841"/>
        <item x="129"/>
        <item x="714"/>
        <item x="490"/>
        <item x="424"/>
        <item x="15"/>
        <item x="611"/>
        <item x="946"/>
        <item x="321"/>
        <item x="712"/>
        <item x="590"/>
        <item x="647"/>
        <item x="703"/>
        <item x="823"/>
        <item x="871"/>
        <item x="531"/>
        <item x="14"/>
        <item x="864"/>
        <item x="345"/>
        <item x="709"/>
        <item x="274"/>
        <item x="344"/>
        <item x="644"/>
        <item x="396"/>
        <item x="539"/>
        <item x="817"/>
        <item x="372"/>
        <item x="471"/>
        <item x="42"/>
        <item x="145"/>
        <item x="653"/>
        <item x="252"/>
        <item x="530"/>
        <item x="57"/>
        <item x="436"/>
        <item x="849"/>
        <item x="723"/>
        <item x="121"/>
        <item x="327"/>
        <item x="916"/>
        <item x="783"/>
        <item x="244"/>
        <item x="902"/>
        <item x="832"/>
        <item x="185"/>
        <item x="861"/>
        <item x="949"/>
        <item x="575"/>
        <item x="153"/>
        <item x="610"/>
        <item x="548"/>
        <item x="824"/>
        <item x="515"/>
        <item x="986"/>
        <item x="294"/>
        <item x="62"/>
        <item x="494"/>
        <item x="780"/>
        <item x="202"/>
        <item x="351"/>
        <item x="85"/>
        <item x="20"/>
        <item x="993"/>
        <item x="873"/>
        <item x="523"/>
        <item x="731"/>
        <item x="258"/>
        <item x="988"/>
        <item x="281"/>
        <item x="950"/>
        <item x="971"/>
        <item x="985"/>
        <item x="645"/>
        <item x="995"/>
        <item x="355"/>
        <item x="339"/>
        <item x="458"/>
        <item x="847"/>
        <item x="400"/>
        <item x="753"/>
        <item x="601"/>
        <item x="225"/>
        <item x="4"/>
        <item x="393"/>
        <item x="132"/>
        <item x="735"/>
        <item x="131"/>
        <item x="207"/>
        <item x="324"/>
        <item x="187"/>
        <item x="955"/>
        <item x="425"/>
        <item x="180"/>
        <item x="932"/>
        <item x="562"/>
        <item x="391"/>
        <item x="337"/>
        <item x="175"/>
        <item x="526"/>
        <item x="417"/>
        <item x="204"/>
        <item x="36"/>
        <item x="563"/>
        <item x="930"/>
        <item x="74"/>
        <item x="501"/>
        <item x="346"/>
        <item x="251"/>
        <item x="328"/>
        <item x="527"/>
        <item x="867"/>
        <item x="583"/>
        <item x="969"/>
        <item x="147"/>
        <item x="911"/>
        <item x="172"/>
        <item x="870"/>
        <item x="998"/>
        <item x="629"/>
        <item x="399"/>
        <item x="680"/>
        <item x="972"/>
        <item x="839"/>
        <item x="851"/>
        <item x="236"/>
        <item x="291"/>
        <item x="722"/>
        <item x="953"/>
        <item x="945"/>
        <item x="600"/>
        <item x="287"/>
        <item x="687"/>
        <item x="726"/>
        <item x="918"/>
        <item x="636"/>
        <item x="99"/>
        <item x="428"/>
        <item x="206"/>
        <item x="677"/>
        <item x="114"/>
        <item x="92"/>
        <item x="669"/>
        <item x="588"/>
        <item x="843"/>
        <item x="869"/>
        <item x="630"/>
        <item x="646"/>
        <item x="733"/>
        <item x="568"/>
        <item x="787"/>
        <item x="216"/>
        <item x="322"/>
        <item x="410"/>
        <item x="701"/>
        <item x="513"/>
        <item x="67"/>
        <item x="383"/>
        <item x="642"/>
        <item x="10"/>
        <item x="931"/>
        <item x="858"/>
        <item x="968"/>
        <item x="330"/>
        <item x="419"/>
        <item x="989"/>
        <item x="390"/>
        <item x="974"/>
        <item x="840"/>
        <item x="941"/>
        <item x="108"/>
        <item x="991"/>
        <item x="350"/>
        <item x="865"/>
        <item x="447"/>
        <item x="643"/>
        <item x="750"/>
        <item x="193"/>
        <item x="999"/>
        <item x="705"/>
        <item x="8"/>
        <item x="148"/>
        <item x="791"/>
        <item x="437"/>
        <item x="310"/>
        <item x="195"/>
        <item x="773"/>
        <item x="142"/>
        <item x="320"/>
        <item x="264"/>
        <item x="69"/>
        <item x="377"/>
        <item x="305"/>
        <item x="431"/>
        <item x="140"/>
        <item x="699"/>
        <item x="803"/>
        <item x="896"/>
        <item x="352"/>
        <item x="226"/>
        <item x="519"/>
        <item x="240"/>
        <item x="440"/>
        <item x="395"/>
        <item x="560"/>
        <item x="797"/>
        <item x="266"/>
        <item x="199"/>
        <item x="127"/>
        <item x="421"/>
        <item x="295"/>
        <item x="289"/>
        <item x="694"/>
        <item x="508"/>
        <item x="17"/>
        <item x="368"/>
        <item x="488"/>
        <item x="126"/>
        <item x="721"/>
        <item x="758"/>
        <item x="882"/>
        <item x="692"/>
        <item x="704"/>
        <item x="242"/>
        <item x="981"/>
        <item x="81"/>
        <item x="775"/>
        <item x="555"/>
        <item x="260"/>
        <item x="95"/>
        <item x="572"/>
        <item x="228"/>
        <item x="181"/>
        <item x="919"/>
        <item x="288"/>
        <item x="143"/>
        <item x="684"/>
        <item x="183"/>
        <item x="283"/>
        <item x="760"/>
        <item x="102"/>
        <item t="default"/>
      </items>
    </pivotField>
    <pivotField compact="0" numFmtId="1" outline="0" showAll="0"/>
    <pivotField compact="0" outline="0" showAll="0">
      <items count="5">
        <item x="0"/>
        <item x="1"/>
        <item x="2"/>
        <item x="3"/>
        <item t="default"/>
      </items>
    </pivotField>
    <pivotField compact="0" outline="0" showAll="0">
      <items count="9">
        <item x="3"/>
        <item x="5"/>
        <item x="1"/>
        <item x="2"/>
        <item x="6"/>
        <item x="0"/>
        <item x="7"/>
        <item x="4"/>
        <item t="default"/>
      </items>
    </pivotField>
    <pivotField compact="0" outline="0" showAll="0">
      <items count="3">
        <item x="0"/>
        <item x="1"/>
        <item t="default"/>
      </items>
    </pivotField>
    <pivotField compact="0" outline="0" showAll="0">
      <items count="5">
        <item x="2"/>
        <item x="0"/>
        <item x="3"/>
        <item x="1"/>
        <item t="default"/>
      </items>
    </pivotField>
    <pivotField axis="axisRow" compact="0" outline="0" showAll="0" sortType="descending">
      <items count="4">
        <item x="0"/>
        <item x="2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>
      <items count="22">
        <item x="13"/>
        <item x="16"/>
        <item x="2"/>
        <item x="17"/>
        <item x="18"/>
        <item x="20"/>
        <item x="11"/>
        <item x="12"/>
        <item x="6"/>
        <item x="15"/>
        <item x="4"/>
        <item x="8"/>
        <item x="7"/>
        <item x="5"/>
        <item x="3"/>
        <item x="14"/>
        <item x="1"/>
        <item x="19"/>
        <item x="9"/>
        <item x="0"/>
        <item x="10"/>
        <item t="default"/>
      </items>
    </pivotField>
    <pivotField compact="0" numFmtId="164" outline="0" showAll="0"/>
    <pivotField compact="0" numFmtId="1" outline="0" showAll="0"/>
    <pivotField compact="0" outline="0" showAll="0">
      <items count="3">
        <item x="0"/>
        <item x="1"/>
        <item t="default"/>
      </items>
    </pivotField>
    <pivotField compact="0" outline="0" showAll="0">
      <items count="4">
        <item x="1"/>
        <item x="2"/>
        <item x="0"/>
        <item t="default"/>
      </items>
    </pivotField>
    <pivotField compact="0" numFmtId="1" outline="0" showAll="0"/>
    <pivotField compact="0" outline="0" showAll="0"/>
    <pivotField compact="0" numFmtId="1" outline="0" showAll="0"/>
    <pivotField compact="0" numFmtId="2" outline="0" showAll="0"/>
    <pivotField compact="0" outline="0" showAll="0"/>
    <pivotField compact="0" outline="0" showAll="0"/>
    <pivotField compact="0" numFmtId="1" outline="0" showAll="0"/>
    <pivotField compact="0" outline="0" showAll="0">
      <items count="4">
        <item x="2"/>
        <item x="1"/>
        <item x="0"/>
        <item t="default"/>
      </items>
    </pivotField>
    <pivotField compact="0" numFmtId="1" outline="0" showAll="0"/>
    <pivotField compact="0" outline="0" showAll="0"/>
    <pivotField compact="0" outline="0" showAll="0"/>
    <pivotField compact="0" outline="0" showAll="0"/>
    <pivotField compact="0" numFmtId="14" outline="0" showAll="0"/>
    <pivotField compact="0" outline="0" showAll="0"/>
    <pivotField compact="0" outline="0" showAll="0">
      <items count="13">
        <item x="4"/>
        <item x="11"/>
        <item x="0"/>
        <item x="5"/>
        <item x="7"/>
        <item x="2"/>
        <item x="10"/>
        <item x="1"/>
        <item x="8"/>
        <item x="6"/>
        <item x="3"/>
        <item x="9"/>
        <item t="default"/>
      </items>
    </pivotField>
    <pivotField compact="0" outline="0" showAll="0"/>
    <pivotField compact="0" outline="0" showAll="0"/>
    <pivotField compact="0" outline="0" showAll="0">
      <items count="3">
        <item x="1"/>
        <item x="0"/>
        <item t="default"/>
      </items>
    </pivotField>
    <pivotField compact="0" outline="0" showAll="0"/>
    <pivotField compact="0" outline="0" showAll="0"/>
    <pivotField compact="0" numFmtId="1" outline="0" showAll="0"/>
  </pivotFields>
  <rowFields count="1">
    <field x="6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Customer_ID" fld="0" subtotal="count" showDataAs="percentOfTotal" baseField="0" baseItem="0" numFmtId="1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4CCF885-1868-45E1-BA4E-25967E6B9118}" name="PivotTable1" cacheId="24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3:B25" firstHeaderRow="1" firstDataRow="1" firstDataCol="1"/>
  <pivotFields count="34">
    <pivotField dataField="1" compact="0" outline="0" showAll="0"/>
    <pivotField compact="0" numFmtId="1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sortType="descending">
      <items count="22">
        <item x="13"/>
        <item x="16"/>
        <item x="2"/>
        <item x="17"/>
        <item x="18"/>
        <item x="20"/>
        <item x="11"/>
        <item x="12"/>
        <item x="6"/>
        <item x="15"/>
        <item x="4"/>
        <item x="8"/>
        <item x="7"/>
        <item x="5"/>
        <item x="3"/>
        <item x="14"/>
        <item x="1"/>
        <item x="19"/>
        <item x="9"/>
        <item x="0"/>
        <item x="1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numFmtId="164" outline="0" showAll="0"/>
    <pivotField compact="0" numFmtId="1" outline="0" showAll="0"/>
    <pivotField compact="0" outline="0" showAll="0"/>
    <pivotField compact="0" outline="0" showAll="0"/>
    <pivotField compact="0" numFmtId="1" outline="0" showAll="0"/>
    <pivotField compact="0" outline="0" showAll="0"/>
    <pivotField compact="0" numFmtId="1" outline="0" showAll="0"/>
    <pivotField compact="0" numFmtId="2" outline="0" showAll="0"/>
    <pivotField compact="0" outline="0" showAll="0"/>
    <pivotField compact="0" outline="0" showAll="0"/>
    <pivotField compact="0" numFmtId="1" outline="0" showAll="0"/>
    <pivotField compact="0" outline="0" showAll="0"/>
    <pivotField compact="0" numFmtId="1" outline="0" showAll="0"/>
    <pivotField compact="0" outline="0" showAll="0"/>
    <pivotField compact="0" outline="0" showAll="0"/>
    <pivotField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" outline="0" showAll="0"/>
  </pivotFields>
  <rowFields count="1">
    <field x="8"/>
  </rowFields>
  <rowItems count="22">
    <i>
      <x v="13"/>
    </i>
    <i>
      <x v="11"/>
    </i>
    <i>
      <x v="20"/>
    </i>
    <i>
      <x v="6"/>
    </i>
    <i>
      <x v="18"/>
    </i>
    <i>
      <x v="12"/>
    </i>
    <i>
      <x v="19"/>
    </i>
    <i>
      <x v="7"/>
    </i>
    <i>
      <x/>
    </i>
    <i>
      <x v="9"/>
    </i>
    <i>
      <x v="17"/>
    </i>
    <i>
      <x v="16"/>
    </i>
    <i>
      <x v="8"/>
    </i>
    <i>
      <x v="2"/>
    </i>
    <i>
      <x v="14"/>
    </i>
    <i>
      <x v="10"/>
    </i>
    <i>
      <x v="15"/>
    </i>
    <i>
      <x v="4"/>
    </i>
    <i>
      <x v="1"/>
    </i>
    <i>
      <x v="3"/>
    </i>
    <i>
      <x v="5"/>
    </i>
    <i t="grand">
      <x/>
    </i>
  </rowItems>
  <colItems count="1">
    <i/>
  </colItems>
  <dataFields count="1">
    <dataField name="Count of Customer_ID" fld="0" subtotal="count" baseField="0" baseItem="0"/>
  </dataFields>
  <chartFormats count="2">
    <chartFormat chart="4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7A27697-2904-49EF-BF10-44FE66C58960}" name="PivotTable2" cacheId="247" applyNumberFormats="0" applyBorderFormats="0" applyFontFormats="0" applyPatternFormats="0" applyAlignmentFormats="0" applyWidthHeightFormats="1" dataCaption="Values" grandTotalCaption="Average purchase amount" updatedVersion="8" minRefreshableVersion="3" useAutoFormatting="1" itemPrintTitles="1" createdVersion="8" indent="0" compact="0" compactData="0" multipleFieldFilters="0" chartFormat="5">
  <location ref="A3:B7" firstHeaderRow="1" firstDataRow="1" firstDataCol="1"/>
  <pivotFields count="34">
    <pivotField compact="0" outline="0" showAll="0"/>
    <pivotField compact="0" numFmtId="1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numFmtId="164" outline="0" showAll="0"/>
    <pivotField compact="0" numFmtId="1" outline="0" showAll="0"/>
    <pivotField compact="0" outline="0" showAll="0"/>
    <pivotField axis="axisRow" compact="0" outline="0" showAll="0" sortType="descending">
      <items count="4">
        <item x="1"/>
        <item x="2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numFmtId="1" outline="0" showAll="0"/>
    <pivotField compact="0" outline="0" showAll="0"/>
    <pivotField compact="0" numFmtId="1" outline="0" showAll="0"/>
    <pivotField compact="0" numFmtId="2" outline="0" showAll="0"/>
    <pivotField compact="0" outline="0" showAll="0"/>
    <pivotField compact="0" outline="0" showAll="0"/>
    <pivotField compact="0" numFmtId="1" outline="0" showAll="0"/>
    <pivotField compact="0" outline="0" showAll="0"/>
    <pivotField compact="0" numFmtId="1" outline="0" showAll="0"/>
    <pivotField compact="0" outline="0" showAll="0"/>
    <pivotField compact="0" outline="0" showAll="0"/>
    <pivotField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" outline="0" showAll="0"/>
  </pivotFields>
  <rowFields count="1">
    <field x="12"/>
  </rowFields>
  <rowItems count="4">
    <i>
      <x v="1"/>
    </i>
    <i>
      <x v="2"/>
    </i>
    <i>
      <x/>
    </i>
    <i t="grand">
      <x/>
    </i>
  </rowItems>
  <colItems count="1">
    <i/>
  </colItems>
  <dataFields count="1">
    <dataField name="Average of Purchase_Amount" fld="9" subtotal="average" baseField="0" baseItem="0" numFmtId="164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DB407F6-3180-4628-8A70-5A4212C3DCC6}" name="PivotTable3" cacheId="24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26">
  <location ref="A3:B8" firstHeaderRow="1" firstDataRow="1" firstDataCol="1"/>
  <pivotFields count="34">
    <pivotField dataField="1" compact="0" outline="0" showAll="0"/>
    <pivotField compact="0" numFmtId="1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64" outline="0" showAll="0"/>
    <pivotField compact="0" numFmtId="1" outline="0" showAll="0">
      <items count="12">
        <item x="5"/>
        <item x="10"/>
        <item x="8"/>
        <item x="3"/>
        <item x="1"/>
        <item x="4"/>
        <item x="9"/>
        <item x="6"/>
        <item x="2"/>
        <item x="7"/>
        <item x="0"/>
        <item t="default"/>
      </items>
    </pivotField>
    <pivotField compact="0" outline="0" showAll="0"/>
    <pivotField compact="0" outline="0" showAll="0"/>
    <pivotField compact="0" numFmtId="1" outline="0" showAll="0"/>
    <pivotField compact="0" outline="0" showAll="0"/>
    <pivotField compact="0" numFmtId="1" outline="0" showAll="0"/>
    <pivotField compact="0" numFmtId="2" outline="0" showAll="0"/>
    <pivotField compact="0" outline="0" showAll="0"/>
    <pivotField compact="0" outline="0" showAll="0"/>
    <pivotField compact="0" numFmtId="1" outline="0" showAll="0"/>
    <pivotField compact="0" outline="0" showAll="0"/>
    <pivotField compact="0" numFmtId="1" outline="0" showAll="0"/>
    <pivotField compact="0" outline="0" showAll="0"/>
    <pivotField compact="0" outline="0" showAll="0"/>
    <pivotField compact="0" outline="0" showAll="0"/>
    <pivotField compact="0" numFmtId="14" outline="0" showAll="0">
      <items count="345">
        <item x="247"/>
        <item x="6"/>
        <item x="37"/>
        <item x="248"/>
        <item x="178"/>
        <item x="188"/>
        <item x="308"/>
        <item x="111"/>
        <item x="27"/>
        <item x="18"/>
        <item x="167"/>
        <item x="281"/>
        <item x="196"/>
        <item x="198"/>
        <item x="254"/>
        <item x="219"/>
        <item x="105"/>
        <item x="62"/>
        <item x="292"/>
        <item x="302"/>
        <item x="159"/>
        <item x="193"/>
        <item x="224"/>
        <item x="152"/>
        <item x="13"/>
        <item x="284"/>
        <item x="98"/>
        <item x="331"/>
        <item x="184"/>
        <item x="218"/>
        <item x="315"/>
        <item x="92"/>
        <item x="324"/>
        <item x="207"/>
        <item x="146"/>
        <item x="142"/>
        <item x="117"/>
        <item x="303"/>
        <item x="144"/>
        <item x="250"/>
        <item x="260"/>
        <item x="329"/>
        <item x="139"/>
        <item x="127"/>
        <item x="32"/>
        <item x="256"/>
        <item x="147"/>
        <item x="114"/>
        <item x="296"/>
        <item x="192"/>
        <item x="290"/>
        <item x="104"/>
        <item x="317"/>
        <item x="321"/>
        <item x="78"/>
        <item x="335"/>
        <item x="215"/>
        <item x="106"/>
        <item x="33"/>
        <item x="237"/>
        <item x="44"/>
        <item x="269"/>
        <item x="320"/>
        <item x="279"/>
        <item x="177"/>
        <item x="16"/>
        <item x="141"/>
        <item x="336"/>
        <item x="4"/>
        <item x="318"/>
        <item x="140"/>
        <item x="311"/>
        <item x="0"/>
        <item x="49"/>
        <item x="288"/>
        <item x="35"/>
        <item x="255"/>
        <item x="313"/>
        <item x="221"/>
        <item x="51"/>
        <item x="91"/>
        <item x="170"/>
        <item x="137"/>
        <item x="58"/>
        <item x="323"/>
        <item x="23"/>
        <item x="42"/>
        <item x="182"/>
        <item x="61"/>
        <item x="220"/>
        <item x="236"/>
        <item x="289"/>
        <item x="293"/>
        <item x="76"/>
        <item x="12"/>
        <item x="278"/>
        <item x="9"/>
        <item x="342"/>
        <item x="181"/>
        <item x="93"/>
        <item x="272"/>
        <item x="314"/>
        <item x="187"/>
        <item x="129"/>
        <item x="156"/>
        <item x="195"/>
        <item x="74"/>
        <item x="235"/>
        <item x="226"/>
        <item x="39"/>
        <item x="294"/>
        <item x="43"/>
        <item x="261"/>
        <item x="337"/>
        <item x="82"/>
        <item x="262"/>
        <item x="231"/>
        <item x="210"/>
        <item x="241"/>
        <item x="338"/>
        <item x="148"/>
        <item x="280"/>
        <item x="217"/>
        <item x="334"/>
        <item x="298"/>
        <item x="180"/>
        <item x="81"/>
        <item x="25"/>
        <item x="66"/>
        <item x="73"/>
        <item x="333"/>
        <item x="124"/>
        <item x="307"/>
        <item x="110"/>
        <item x="130"/>
        <item x="11"/>
        <item x="84"/>
        <item x="55"/>
        <item x="30"/>
        <item x="204"/>
        <item x="87"/>
        <item x="341"/>
        <item x="203"/>
        <item x="232"/>
        <item x="50"/>
        <item x="206"/>
        <item x="183"/>
        <item x="270"/>
        <item x="34"/>
        <item x="249"/>
        <item x="65"/>
        <item x="48"/>
        <item x="266"/>
        <item x="268"/>
        <item x="305"/>
        <item x="200"/>
        <item x="128"/>
        <item x="132"/>
        <item x="339"/>
        <item x="190"/>
        <item x="291"/>
        <item x="17"/>
        <item x="155"/>
        <item x="28"/>
        <item x="2"/>
        <item x="326"/>
        <item x="299"/>
        <item x="71"/>
        <item x="143"/>
        <item x="173"/>
        <item x="233"/>
        <item x="119"/>
        <item x="80"/>
        <item x="325"/>
        <item x="216"/>
        <item x="327"/>
        <item x="59"/>
        <item x="214"/>
        <item x="45"/>
        <item x="295"/>
        <item x="126"/>
        <item x="242"/>
        <item x="85"/>
        <item x="160"/>
        <item x="134"/>
        <item x="79"/>
        <item x="122"/>
        <item x="64"/>
        <item x="275"/>
        <item x="47"/>
        <item x="208"/>
        <item x="38"/>
        <item x="145"/>
        <item x="174"/>
        <item x="251"/>
        <item x="306"/>
        <item x="20"/>
        <item x="163"/>
        <item x="301"/>
        <item x="283"/>
        <item x="244"/>
        <item x="223"/>
        <item x="149"/>
        <item x="22"/>
        <item x="165"/>
        <item x="100"/>
        <item x="273"/>
        <item x="31"/>
        <item x="56"/>
        <item x="211"/>
        <item x="194"/>
        <item x="5"/>
        <item x="319"/>
        <item x="101"/>
        <item x="213"/>
        <item x="277"/>
        <item x="70"/>
        <item x="259"/>
        <item x="116"/>
        <item x="8"/>
        <item x="53"/>
        <item x="240"/>
        <item x="90"/>
        <item x="138"/>
        <item x="1"/>
        <item x="121"/>
        <item x="72"/>
        <item x="225"/>
        <item x="118"/>
        <item x="14"/>
        <item x="202"/>
        <item x="172"/>
        <item x="68"/>
        <item x="276"/>
        <item x="109"/>
        <item x="316"/>
        <item x="169"/>
        <item x="239"/>
        <item x="15"/>
        <item x="264"/>
        <item x="265"/>
        <item x="69"/>
        <item x="162"/>
        <item x="286"/>
        <item x="153"/>
        <item x="36"/>
        <item x="115"/>
        <item x="112"/>
        <item x="29"/>
        <item x="176"/>
        <item x="166"/>
        <item x="168"/>
        <item x="40"/>
        <item x="125"/>
        <item x="258"/>
        <item x="209"/>
        <item x="191"/>
        <item x="103"/>
        <item x="340"/>
        <item x="88"/>
        <item x="185"/>
        <item x="175"/>
        <item x="46"/>
        <item x="243"/>
        <item x="136"/>
        <item x="157"/>
        <item x="230"/>
        <item x="24"/>
        <item x="197"/>
        <item x="67"/>
        <item x="267"/>
        <item x="10"/>
        <item x="113"/>
        <item x="54"/>
        <item x="300"/>
        <item x="330"/>
        <item x="26"/>
        <item x="95"/>
        <item x="238"/>
        <item x="63"/>
        <item x="108"/>
        <item x="161"/>
        <item x="57"/>
        <item x="332"/>
        <item x="83"/>
        <item x="97"/>
        <item x="77"/>
        <item x="7"/>
        <item x="322"/>
        <item x="287"/>
        <item x="21"/>
        <item x="120"/>
        <item x="41"/>
        <item x="86"/>
        <item x="75"/>
        <item x="199"/>
        <item x="151"/>
        <item x="99"/>
        <item x="179"/>
        <item x="135"/>
        <item x="229"/>
        <item x="3"/>
        <item x="312"/>
        <item x="94"/>
        <item x="107"/>
        <item x="304"/>
        <item x="234"/>
        <item x="252"/>
        <item x="96"/>
        <item x="89"/>
        <item x="271"/>
        <item x="133"/>
        <item x="205"/>
        <item x="227"/>
        <item x="222"/>
        <item x="245"/>
        <item x="212"/>
        <item x="228"/>
        <item x="52"/>
        <item x="19"/>
        <item x="102"/>
        <item x="246"/>
        <item x="123"/>
        <item x="154"/>
        <item x="150"/>
        <item x="282"/>
        <item x="297"/>
        <item x="164"/>
        <item x="60"/>
        <item x="263"/>
        <item x="309"/>
        <item x="131"/>
        <item x="257"/>
        <item x="189"/>
        <item x="186"/>
        <item x="328"/>
        <item x="253"/>
        <item x="158"/>
        <item x="171"/>
        <item x="201"/>
        <item x="285"/>
        <item x="274"/>
        <item x="343"/>
        <item x="310"/>
        <item t="default"/>
      </items>
    </pivotField>
    <pivotField axis="axisRow" compact="0" outline="0" showAll="0">
      <items count="5">
        <item x="2"/>
        <item x="0"/>
        <item x="1"/>
        <item x="3"/>
        <item t="default"/>
      </items>
    </pivotField>
    <pivotField compact="0" outline="0" showAll="0">
      <items count="13">
        <item x="4"/>
        <item x="11"/>
        <item x="0"/>
        <item x="5"/>
        <item x="7"/>
        <item x="2"/>
        <item x="10"/>
        <item x="1"/>
        <item x="8"/>
        <item x="6"/>
        <item x="3"/>
        <item x="9"/>
        <item t="default"/>
      </items>
    </pivotField>
    <pivotField compact="0" outline="0" showAll="0">
      <items count="8">
        <item x="0"/>
        <item x="4"/>
        <item x="1"/>
        <item x="3"/>
        <item x="6"/>
        <item x="5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numFmtId="1" outline="0" showAll="0"/>
  </pivotFields>
  <rowFields count="1">
    <field x="26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Customer_ID" fld="0" subtotal="count" baseField="0" baseItem="0"/>
  </dataFields>
  <chartFormats count="5">
    <chartFormat chart="21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2" format="1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3" format="1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4" format="1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5" format="17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7018739-D2E3-4690-8F14-94A94FFAD7D6}" name="PivotTable1" cacheId="24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27">
  <location ref="P3:Q16" firstHeaderRow="1" firstDataRow="1" firstDataCol="1"/>
  <pivotFields count="34">
    <pivotField dataField="1" compact="0" outline="0" showAll="0"/>
    <pivotField compact="0" numFmtId="1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64" outline="0" showAll="0"/>
    <pivotField compact="0" numFmtId="1" outline="0" showAll="0">
      <items count="12">
        <item x="5"/>
        <item x="10"/>
        <item x="8"/>
        <item x="3"/>
        <item x="1"/>
        <item x="4"/>
        <item x="9"/>
        <item x="6"/>
        <item x="2"/>
        <item x="7"/>
        <item x="0"/>
        <item t="default"/>
      </items>
    </pivotField>
    <pivotField compact="0" outline="0" showAll="0"/>
    <pivotField compact="0" outline="0" showAll="0"/>
    <pivotField compact="0" numFmtId="1" outline="0" showAll="0"/>
    <pivotField compact="0" outline="0" showAll="0"/>
    <pivotField compact="0" numFmtId="1" outline="0" showAll="0"/>
    <pivotField compact="0" numFmtId="2" outline="0" showAll="0"/>
    <pivotField compact="0" outline="0" showAll="0"/>
    <pivotField compact="0" outline="0" showAll="0"/>
    <pivotField compact="0" numFmtId="1" outline="0" showAll="0"/>
    <pivotField compact="0" outline="0" showAll="0"/>
    <pivotField compact="0" numFmtId="1" outline="0" showAll="0"/>
    <pivotField compact="0" outline="0" showAll="0"/>
    <pivotField compact="0" outline="0" showAll="0"/>
    <pivotField compact="0" outline="0" showAll="0"/>
    <pivotField compact="0" numFmtId="14" outline="0" showAll="0">
      <items count="345">
        <item x="247"/>
        <item x="6"/>
        <item x="37"/>
        <item x="248"/>
        <item x="178"/>
        <item x="188"/>
        <item x="308"/>
        <item x="111"/>
        <item x="27"/>
        <item x="18"/>
        <item x="167"/>
        <item x="281"/>
        <item x="196"/>
        <item x="198"/>
        <item x="254"/>
        <item x="219"/>
        <item x="105"/>
        <item x="62"/>
        <item x="292"/>
        <item x="302"/>
        <item x="159"/>
        <item x="193"/>
        <item x="224"/>
        <item x="152"/>
        <item x="13"/>
        <item x="284"/>
        <item x="98"/>
        <item x="331"/>
        <item x="184"/>
        <item x="218"/>
        <item x="315"/>
        <item x="92"/>
        <item x="324"/>
        <item x="207"/>
        <item x="146"/>
        <item x="142"/>
        <item x="117"/>
        <item x="303"/>
        <item x="144"/>
        <item x="250"/>
        <item x="260"/>
        <item x="329"/>
        <item x="139"/>
        <item x="127"/>
        <item x="32"/>
        <item x="256"/>
        <item x="147"/>
        <item x="114"/>
        <item x="296"/>
        <item x="192"/>
        <item x="290"/>
        <item x="104"/>
        <item x="317"/>
        <item x="321"/>
        <item x="78"/>
        <item x="335"/>
        <item x="215"/>
        <item x="106"/>
        <item x="33"/>
        <item x="237"/>
        <item x="44"/>
        <item x="269"/>
        <item x="320"/>
        <item x="279"/>
        <item x="177"/>
        <item x="16"/>
        <item x="141"/>
        <item x="336"/>
        <item x="4"/>
        <item x="318"/>
        <item x="140"/>
        <item x="311"/>
        <item x="0"/>
        <item x="49"/>
        <item x="288"/>
        <item x="35"/>
        <item x="255"/>
        <item x="313"/>
        <item x="221"/>
        <item x="51"/>
        <item x="91"/>
        <item x="170"/>
        <item x="137"/>
        <item x="58"/>
        <item x="323"/>
        <item x="23"/>
        <item x="42"/>
        <item x="182"/>
        <item x="61"/>
        <item x="220"/>
        <item x="236"/>
        <item x="289"/>
        <item x="293"/>
        <item x="76"/>
        <item x="12"/>
        <item x="278"/>
        <item x="9"/>
        <item x="342"/>
        <item x="181"/>
        <item x="93"/>
        <item x="272"/>
        <item x="314"/>
        <item x="187"/>
        <item x="129"/>
        <item x="156"/>
        <item x="195"/>
        <item x="74"/>
        <item x="235"/>
        <item x="226"/>
        <item x="39"/>
        <item x="294"/>
        <item x="43"/>
        <item x="261"/>
        <item x="337"/>
        <item x="82"/>
        <item x="262"/>
        <item x="231"/>
        <item x="210"/>
        <item x="241"/>
        <item x="338"/>
        <item x="148"/>
        <item x="280"/>
        <item x="217"/>
        <item x="334"/>
        <item x="298"/>
        <item x="180"/>
        <item x="81"/>
        <item x="25"/>
        <item x="66"/>
        <item x="73"/>
        <item x="333"/>
        <item x="124"/>
        <item x="307"/>
        <item x="110"/>
        <item x="130"/>
        <item x="11"/>
        <item x="84"/>
        <item x="55"/>
        <item x="30"/>
        <item x="204"/>
        <item x="87"/>
        <item x="341"/>
        <item x="203"/>
        <item x="232"/>
        <item x="50"/>
        <item x="206"/>
        <item x="183"/>
        <item x="270"/>
        <item x="34"/>
        <item x="249"/>
        <item x="65"/>
        <item x="48"/>
        <item x="266"/>
        <item x="268"/>
        <item x="305"/>
        <item x="200"/>
        <item x="128"/>
        <item x="132"/>
        <item x="339"/>
        <item x="190"/>
        <item x="291"/>
        <item x="17"/>
        <item x="155"/>
        <item x="28"/>
        <item x="2"/>
        <item x="326"/>
        <item x="299"/>
        <item x="71"/>
        <item x="143"/>
        <item x="173"/>
        <item x="233"/>
        <item x="119"/>
        <item x="80"/>
        <item x="325"/>
        <item x="216"/>
        <item x="327"/>
        <item x="59"/>
        <item x="214"/>
        <item x="45"/>
        <item x="295"/>
        <item x="126"/>
        <item x="242"/>
        <item x="85"/>
        <item x="160"/>
        <item x="134"/>
        <item x="79"/>
        <item x="122"/>
        <item x="64"/>
        <item x="275"/>
        <item x="47"/>
        <item x="208"/>
        <item x="38"/>
        <item x="145"/>
        <item x="174"/>
        <item x="251"/>
        <item x="306"/>
        <item x="20"/>
        <item x="163"/>
        <item x="301"/>
        <item x="283"/>
        <item x="244"/>
        <item x="223"/>
        <item x="149"/>
        <item x="22"/>
        <item x="165"/>
        <item x="100"/>
        <item x="273"/>
        <item x="31"/>
        <item x="56"/>
        <item x="211"/>
        <item x="194"/>
        <item x="5"/>
        <item x="319"/>
        <item x="101"/>
        <item x="213"/>
        <item x="277"/>
        <item x="70"/>
        <item x="259"/>
        <item x="116"/>
        <item x="8"/>
        <item x="53"/>
        <item x="240"/>
        <item x="90"/>
        <item x="138"/>
        <item x="1"/>
        <item x="121"/>
        <item x="72"/>
        <item x="225"/>
        <item x="118"/>
        <item x="14"/>
        <item x="202"/>
        <item x="172"/>
        <item x="68"/>
        <item x="276"/>
        <item x="109"/>
        <item x="316"/>
        <item x="169"/>
        <item x="239"/>
        <item x="15"/>
        <item x="264"/>
        <item x="265"/>
        <item x="69"/>
        <item x="162"/>
        <item x="286"/>
        <item x="153"/>
        <item x="36"/>
        <item x="115"/>
        <item x="112"/>
        <item x="29"/>
        <item x="176"/>
        <item x="166"/>
        <item x="168"/>
        <item x="40"/>
        <item x="125"/>
        <item x="258"/>
        <item x="209"/>
        <item x="191"/>
        <item x="103"/>
        <item x="340"/>
        <item x="88"/>
        <item x="185"/>
        <item x="175"/>
        <item x="46"/>
        <item x="243"/>
        <item x="136"/>
        <item x="157"/>
        <item x="230"/>
        <item x="24"/>
        <item x="197"/>
        <item x="67"/>
        <item x="267"/>
        <item x="10"/>
        <item x="113"/>
        <item x="54"/>
        <item x="300"/>
        <item x="330"/>
        <item x="26"/>
        <item x="95"/>
        <item x="238"/>
        <item x="63"/>
        <item x="108"/>
        <item x="161"/>
        <item x="57"/>
        <item x="332"/>
        <item x="83"/>
        <item x="97"/>
        <item x="77"/>
        <item x="7"/>
        <item x="322"/>
        <item x="287"/>
        <item x="21"/>
        <item x="120"/>
        <item x="41"/>
        <item x="86"/>
        <item x="75"/>
        <item x="199"/>
        <item x="151"/>
        <item x="99"/>
        <item x="179"/>
        <item x="135"/>
        <item x="229"/>
        <item x="3"/>
        <item x="312"/>
        <item x="94"/>
        <item x="107"/>
        <item x="304"/>
        <item x="234"/>
        <item x="252"/>
        <item x="96"/>
        <item x="89"/>
        <item x="271"/>
        <item x="133"/>
        <item x="205"/>
        <item x="227"/>
        <item x="222"/>
        <item x="245"/>
        <item x="212"/>
        <item x="228"/>
        <item x="52"/>
        <item x="19"/>
        <item x="102"/>
        <item x="246"/>
        <item x="123"/>
        <item x="154"/>
        <item x="150"/>
        <item x="282"/>
        <item x="297"/>
        <item x="164"/>
        <item x="60"/>
        <item x="263"/>
        <item x="309"/>
        <item x="131"/>
        <item x="257"/>
        <item x="189"/>
        <item x="186"/>
        <item x="328"/>
        <item x="253"/>
        <item x="158"/>
        <item x="171"/>
        <item x="201"/>
        <item x="285"/>
        <item x="274"/>
        <item x="343"/>
        <item x="310"/>
        <item t="default"/>
      </items>
    </pivotField>
    <pivotField compact="0" outline="0" showAll="0">
      <items count="5">
        <item x="2"/>
        <item x="0"/>
        <item x="1"/>
        <item x="3"/>
        <item t="default"/>
      </items>
    </pivotField>
    <pivotField axis="axisRow" compact="0" outline="0" showAll="0">
      <items count="13">
        <item x="4"/>
        <item x="11"/>
        <item x="0"/>
        <item x="5"/>
        <item x="7"/>
        <item x="2"/>
        <item x="10"/>
        <item x="1"/>
        <item x="8"/>
        <item x="6"/>
        <item x="3"/>
        <item x="9"/>
        <item t="default"/>
      </items>
    </pivotField>
    <pivotField compact="0" outline="0" showAll="0">
      <items count="8">
        <item x="0"/>
        <item x="4"/>
        <item x="1"/>
        <item x="3"/>
        <item x="6"/>
        <item x="5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numFmtId="1" outline="0" showAll="0"/>
  </pivotFields>
  <rowFields count="1">
    <field x="27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Count of Customer_ID" fld="0" subtotal="count" baseField="0" baseItem="0"/>
  </dataFields>
  <chartFormats count="5">
    <chartFormat chart="2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5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6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5CECD0-F2B6-4164-B10E-BE7C2F90E717}" name="PivotTable4" cacheId="24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3:B11" firstHeaderRow="1" firstDataRow="1" firstDataCol="1"/>
  <pivotFields count="34">
    <pivotField compact="0" outline="0" showAll="0"/>
    <pivotField compact="0" numFmtId="1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numFmtId="164" outline="0" showAll="0"/>
    <pivotField compact="0" numFmtId="1" outline="0" showAll="0"/>
    <pivotField compact="0" outline="0" showAll="0"/>
    <pivotField compact="0" outline="0" showAll="0"/>
    <pivotField compact="0" numFmtId="1" outline="0" showAll="0"/>
    <pivotField compact="0" outline="0" showAll="0"/>
    <pivotField compact="0" numFmtId="1" outline="0" showAll="0"/>
    <pivotField compact="0" numFmtId="2" outline="0" showAll="0"/>
    <pivotField compact="0" outline="0" showAll="0"/>
    <pivotField compact="0" outline="0" showAll="0"/>
    <pivotField compact="0" numFmtId="1" outline="0" showAll="0"/>
    <pivotField compact="0" outline="0" showAll="0"/>
    <pivotField compact="0" numFmtId="1" outline="0" showAll="0"/>
    <pivotField compact="0" outline="0" showAll="0"/>
    <pivotField compact="0" outline="0" showAll="0"/>
    <pivotField compact="0" outline="0" showAll="0"/>
    <pivotField compact="0" numFmtId="14" outline="0" showAll="0"/>
    <pivotField compact="0" outline="0" showAll="0"/>
    <pivotField compact="0" outline="0" showAll="0"/>
    <pivotField axis="axisRow" compact="0" outline="0" showAll="0" sortType="descending">
      <items count="8">
        <item x="2"/>
        <item x="5"/>
        <item x="6"/>
        <item x="3"/>
        <item x="1"/>
        <item x="4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compact="0" outline="0" showAll="0"/>
    <pivotField compact="0" numFmtId="1" outline="0" showAll="0"/>
  </pivotFields>
  <rowFields count="1">
    <field x="28"/>
  </rowFields>
  <rowItems count="8">
    <i>
      <x v="5"/>
    </i>
    <i>
      <x v="3"/>
    </i>
    <i>
      <x v="4"/>
    </i>
    <i>
      <x v="2"/>
    </i>
    <i>
      <x v="6"/>
    </i>
    <i>
      <x/>
    </i>
    <i>
      <x v="1"/>
    </i>
    <i t="grand">
      <x/>
    </i>
  </rowItems>
  <colItems count="1">
    <i/>
  </colItems>
  <dataFields count="1">
    <dataField name="Average of Purchase_Amount" fld="9" subtotal="average" baseField="0" baseItem="0" numFmtId="164"/>
  </dataFields>
  <chartFormats count="5">
    <chartFormat chart="0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A265B4D-00F3-44C0-A93A-657BEBAAD2A9}" name="PivotTable3" cacheId="24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8">
  <location ref="A19:C24" firstHeaderRow="1" firstDataRow="1" firstDataCol="2"/>
  <pivotFields count="34">
    <pivotField dataField="1" compact="0" outline="0" showAll="0"/>
    <pivotField compact="0" numFmtId="1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4">
        <item x="0"/>
        <item x="2"/>
        <item x="1"/>
        <item t="default"/>
      </items>
    </pivotField>
    <pivotField compact="0" outline="0" showAll="0"/>
    <pivotField compact="0" outline="0" showAll="0"/>
    <pivotField compact="0" numFmtId="164" outline="0" showAll="0"/>
    <pivotField compact="0" numFmtId="1" outline="0" showAll="0"/>
    <pivotField axis="axisRow" compact="0" outline="0" showAll="0">
      <items count="3">
        <item h="1" x="0"/>
        <item x="1"/>
        <item t="default"/>
      </items>
    </pivotField>
    <pivotField compact="0" outline="0" showAll="0">
      <items count="4">
        <item x="1"/>
        <item x="2"/>
        <item x="0"/>
        <item t="default"/>
      </items>
    </pivotField>
    <pivotField compact="0" numFmtId="1" outline="0" showAll="0"/>
    <pivotField compact="0" outline="0" showAll="0"/>
    <pivotField compact="0" numFmtId="1" outline="0" showAll="0"/>
    <pivotField compact="0" numFmtId="2" outline="0" showAll="0"/>
    <pivotField compact="0" outline="0" showAll="0"/>
    <pivotField compact="0" outline="0" showAll="0"/>
    <pivotField compact="0" numFmtId="1" outline="0" showAll="0"/>
    <pivotField compact="0" outline="0" showAll="0"/>
    <pivotField compact="0" numFmtId="1" outline="0" showAll="0"/>
    <pivotField compact="0" outline="0" showAll="0"/>
    <pivotField compact="0" outline="0" showAll="0"/>
    <pivotField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" outline="0" showAll="0"/>
  </pivotFields>
  <rowFields count="2">
    <field x="11"/>
    <field x="6"/>
  </rowFields>
  <rowItems count="5">
    <i>
      <x v="1"/>
      <x/>
    </i>
    <i r="1">
      <x v="1"/>
    </i>
    <i r="1">
      <x v="2"/>
    </i>
    <i t="default">
      <x v="1"/>
    </i>
    <i t="grand">
      <x/>
    </i>
  </rowItems>
  <colItems count="1">
    <i/>
  </colItems>
  <dataFields count="1">
    <dataField name="Count of Customer_ID" fld="0" subtotal="count" showDataAs="percentOfTotal" baseField="0" baseItem="0" numFmtId="10"/>
  </dataFields>
  <chartFormats count="29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">
      <pivotArea type="data" outline="0" fieldPosition="0">
        <references count="3">
          <reference field="4294967294" count="1" selected="0">
            <x v="0"/>
          </reference>
          <reference field="6" count="1" selected="0">
            <x v="0"/>
          </reference>
          <reference field="11" count="1" selected="0">
            <x v="1"/>
          </reference>
        </references>
      </pivotArea>
    </chartFormat>
    <chartFormat chart="1" format="3">
      <pivotArea type="data" outline="0" fieldPosition="0">
        <references count="3">
          <reference field="4294967294" count="1" selected="0">
            <x v="0"/>
          </reference>
          <reference field="6" count="1" selected="0">
            <x v="1"/>
          </reference>
          <reference field="11" count="1" selected="0">
            <x v="1"/>
          </reference>
        </references>
      </pivotArea>
    </chartFormat>
    <chartFormat chart="1" format="4">
      <pivotArea type="data" outline="0" fieldPosition="0">
        <references count="3">
          <reference field="4294967294" count="1" selected="0">
            <x v="0"/>
          </reference>
          <reference field="6" count="1" selected="0">
            <x v="2"/>
          </reference>
          <reference field="11" count="1" selected="0">
            <x v="1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6">
      <pivotArea type="data" outline="0" fieldPosition="0">
        <references count="3">
          <reference field="4294967294" count="1" selected="0">
            <x v="0"/>
          </reference>
          <reference field="6" count="1" selected="0">
            <x v="0"/>
          </reference>
          <reference field="11" count="1" selected="0">
            <x v="1"/>
          </reference>
        </references>
      </pivotArea>
    </chartFormat>
    <chartFormat chart="2" format="7">
      <pivotArea type="data" outline="0" fieldPosition="0">
        <references count="3">
          <reference field="4294967294" count="1" selected="0">
            <x v="0"/>
          </reference>
          <reference field="6" count="1" selected="0">
            <x v="1"/>
          </reference>
          <reference field="11" count="1" selected="0">
            <x v="1"/>
          </reference>
        </references>
      </pivotArea>
    </chartFormat>
    <chartFormat chart="2" format="8">
      <pivotArea type="data" outline="0" fieldPosition="0">
        <references count="3">
          <reference field="4294967294" count="1" selected="0">
            <x v="0"/>
          </reference>
          <reference field="6" count="1" selected="0">
            <x v="2"/>
          </reference>
          <reference field="11" count="1" selected="0">
            <x v="1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>
      <pivotArea type="data" outline="0" fieldPosition="0">
        <references count="3">
          <reference field="4294967294" count="1" selected="0">
            <x v="0"/>
          </reference>
          <reference field="6" count="1" selected="0">
            <x v="0"/>
          </reference>
          <reference field="11" count="1" selected="0">
            <x v="1"/>
          </reference>
        </references>
      </pivotArea>
    </chartFormat>
    <chartFormat chart="3" format="2">
      <pivotArea type="data" outline="0" fieldPosition="0">
        <references count="3">
          <reference field="4294967294" count="1" selected="0">
            <x v="0"/>
          </reference>
          <reference field="6" count="1" selected="0">
            <x v="1"/>
          </reference>
          <reference field="11" count="1" selected="0">
            <x v="1"/>
          </reference>
        </references>
      </pivotArea>
    </chartFormat>
    <chartFormat chart="3" format="3">
      <pivotArea type="data" outline="0" fieldPosition="0">
        <references count="3">
          <reference field="4294967294" count="1" selected="0">
            <x v="0"/>
          </reference>
          <reference field="6" count="1" selected="0">
            <x v="2"/>
          </reference>
          <reference field="11" count="1" selected="0">
            <x v="1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5">
      <pivotArea type="data" outline="0" fieldPosition="0">
        <references count="3">
          <reference field="4294967294" count="1" selected="0">
            <x v="0"/>
          </reference>
          <reference field="6" count="1" selected="0">
            <x v="0"/>
          </reference>
          <reference field="11" count="1" selected="0">
            <x v="1"/>
          </reference>
        </references>
      </pivotArea>
    </chartFormat>
    <chartFormat chart="4" format="6">
      <pivotArea type="data" outline="0" fieldPosition="0">
        <references count="3">
          <reference field="4294967294" count="1" selected="0">
            <x v="0"/>
          </reference>
          <reference field="6" count="1" selected="0">
            <x v="1"/>
          </reference>
          <reference field="11" count="1" selected="0">
            <x v="1"/>
          </reference>
        </references>
      </pivotArea>
    </chartFormat>
    <chartFormat chart="4" format="7">
      <pivotArea type="data" outline="0" fieldPosition="0">
        <references count="3">
          <reference field="4294967294" count="1" selected="0">
            <x v="0"/>
          </reference>
          <reference field="6" count="1" selected="0">
            <x v="2"/>
          </reference>
          <reference field="11" count="1" selected="0">
            <x v="1"/>
          </reference>
        </references>
      </pivotArea>
    </chartFormat>
    <chartFormat chart="5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9">
      <pivotArea type="data" outline="0" fieldPosition="0">
        <references count="3">
          <reference field="4294967294" count="1" selected="0">
            <x v="0"/>
          </reference>
          <reference field="6" count="1" selected="0">
            <x v="0"/>
          </reference>
          <reference field="11" count="1" selected="0">
            <x v="1"/>
          </reference>
        </references>
      </pivotArea>
    </chartFormat>
    <chartFormat chart="5" format="10">
      <pivotArea type="data" outline="0" fieldPosition="0">
        <references count="3">
          <reference field="4294967294" count="1" selected="0">
            <x v="0"/>
          </reference>
          <reference field="6" count="1" selected="0">
            <x v="1"/>
          </reference>
          <reference field="11" count="1" selected="0">
            <x v="1"/>
          </reference>
        </references>
      </pivotArea>
    </chartFormat>
    <chartFormat chart="5" format="11">
      <pivotArea type="data" outline="0" fieldPosition="0">
        <references count="3">
          <reference field="4294967294" count="1" selected="0">
            <x v="0"/>
          </reference>
          <reference field="6" count="1" selected="0">
            <x v="2"/>
          </reference>
          <reference field="11" count="1" selected="0">
            <x v="1"/>
          </reference>
        </references>
      </pivotArea>
    </chartFormat>
    <chartFormat chart="6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3">
      <pivotArea type="data" outline="0" fieldPosition="0">
        <references count="3">
          <reference field="4294967294" count="1" selected="0">
            <x v="0"/>
          </reference>
          <reference field="6" count="1" selected="0">
            <x v="0"/>
          </reference>
          <reference field="11" count="1" selected="0">
            <x v="1"/>
          </reference>
        </references>
      </pivotArea>
    </chartFormat>
    <chartFormat chart="6" format="14">
      <pivotArea type="data" outline="0" fieldPosition="0">
        <references count="3">
          <reference field="4294967294" count="1" selected="0">
            <x v="0"/>
          </reference>
          <reference field="6" count="1" selected="0">
            <x v="1"/>
          </reference>
          <reference field="11" count="1" selected="0">
            <x v="1"/>
          </reference>
        </references>
      </pivotArea>
    </chartFormat>
    <chartFormat chart="6" format="15">
      <pivotArea type="data" outline="0" fieldPosition="0">
        <references count="3">
          <reference field="4294967294" count="1" selected="0">
            <x v="0"/>
          </reference>
          <reference field="6" count="1" selected="0">
            <x v="2"/>
          </reference>
          <reference field="11" count="1" selected="0">
            <x v="1"/>
          </reference>
        </references>
      </pivotArea>
    </chartFormat>
    <chartFormat chart="7" format="1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7">
      <pivotArea type="data" outline="0" fieldPosition="0">
        <references count="3">
          <reference field="4294967294" count="1" selected="0">
            <x v="0"/>
          </reference>
          <reference field="6" count="1" selected="0">
            <x v="0"/>
          </reference>
          <reference field="11" count="1" selected="0">
            <x v="1"/>
          </reference>
        </references>
      </pivotArea>
    </chartFormat>
    <chartFormat chart="7" format="18">
      <pivotArea type="data" outline="0" fieldPosition="0">
        <references count="3">
          <reference field="4294967294" count="1" selected="0">
            <x v="0"/>
          </reference>
          <reference field="6" count="1" selected="0">
            <x v="1"/>
          </reference>
          <reference field="11" count="1" selected="0">
            <x v="1"/>
          </reference>
        </references>
      </pivotArea>
    </chartFormat>
    <chartFormat chart="7" format="19">
      <pivotArea type="data" outline="0" fieldPosition="0">
        <references count="3">
          <reference field="4294967294" count="1" selected="0">
            <x v="0"/>
          </reference>
          <reference field="6" count="1" selected="0">
            <x v="2"/>
          </reference>
          <reference field="1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5A7A9A1-7BCA-4D00-9E80-D7C0C5ECE84C}" name="PivotTable10" cacheId="24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1">
  <location ref="F22:I37" firstHeaderRow="1" firstDataRow="1" firstDataCol="3"/>
  <pivotFields count="34">
    <pivotField dataField="1" compact="0" outline="0" showAll="0"/>
    <pivotField compact="0" numFmtId="1" outline="0" showAll="0"/>
    <pivotField axis="axisRow" compact="0" outline="0" showAll="0">
      <items count="5">
        <item x="0"/>
        <item x="1"/>
        <item x="2"/>
        <item x="3"/>
        <item t="default"/>
      </items>
    </pivotField>
    <pivotField axis="axisRow" compact="0" outline="0" showAll="0">
      <items count="9">
        <item h="1" x="3"/>
        <item h="1" x="5"/>
        <item x="1"/>
        <item h="1" x="2"/>
        <item h="1" x="6"/>
        <item x="0"/>
        <item x="7"/>
        <item h="1" x="4"/>
        <item t="default"/>
      </items>
    </pivotField>
    <pivotField compact="0" outline="0" showAll="0"/>
    <pivotField compact="0" outline="0" showAll="0">
      <items count="5">
        <item x="2"/>
        <item x="0"/>
        <item x="3"/>
        <item x="1"/>
        <item t="default"/>
      </items>
    </pivotField>
    <pivotField compact="0" outline="0" showAll="0"/>
    <pivotField compact="0" outline="0" showAll="0"/>
    <pivotField compact="0" outline="0" showAll="0"/>
    <pivotField compact="0" numFmtId="164" outline="0" showAll="0"/>
    <pivotField compact="0" numFmtId="1" outline="0" showAll="0"/>
    <pivotField axis="axisRow" compact="0" outline="0" showAll="0" sortType="descending">
      <items count="3">
        <item h="1"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numFmtId="1" outline="0" showAll="0"/>
    <pivotField compact="0" outline="0" showAll="0"/>
    <pivotField compact="0" numFmtId="1" outline="0" showAll="0"/>
    <pivotField compact="0" numFmtId="2" outline="0" showAll="0"/>
    <pivotField compact="0" outline="0" showAll="0"/>
    <pivotField compact="0" outline="0" showAll="0"/>
    <pivotField compact="0" numFmtId="1" outline="0" showAll="0"/>
    <pivotField compact="0" outline="0" showAll="0"/>
    <pivotField compact="0" numFmtId="1" outline="0" showAll="0"/>
    <pivotField compact="0" outline="0" showAll="0"/>
    <pivotField compact="0" outline="0" showAll="0"/>
    <pivotField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" outline="0" showAll="0"/>
  </pivotFields>
  <rowFields count="3">
    <field x="11"/>
    <field x="2"/>
    <field x="3"/>
  </rowFields>
  <rowItems count="15">
    <i>
      <x v="1"/>
      <x/>
      <x v="2"/>
    </i>
    <i r="2">
      <x v="5"/>
    </i>
    <i t="default" r="1">
      <x/>
    </i>
    <i r="1">
      <x v="1"/>
      <x v="2"/>
    </i>
    <i r="2">
      <x v="5"/>
    </i>
    <i r="2">
      <x v="6"/>
    </i>
    <i t="default" r="1">
      <x v="1"/>
    </i>
    <i r="1">
      <x v="2"/>
      <x v="2"/>
    </i>
    <i r="2">
      <x v="5"/>
    </i>
    <i t="default" r="1">
      <x v="2"/>
    </i>
    <i r="1">
      <x v="3"/>
      <x v="2"/>
    </i>
    <i r="2">
      <x v="5"/>
    </i>
    <i t="default" r="1">
      <x v="3"/>
    </i>
    <i t="default">
      <x v="1"/>
    </i>
    <i t="grand">
      <x/>
    </i>
  </rowItems>
  <colItems count="1">
    <i/>
  </colItems>
  <dataFields count="1">
    <dataField name="Count of Customer_ID" fld="0" subtotal="count" showDataAs="percentOfTotal" baseField="0" baseItem="0" numFmtId="10"/>
  </dataFields>
  <chartFormats count="5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E0F33BD-E5E9-42E7-AC78-358608C4C1AD}" name="PivotTable9" cacheId="24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7">
  <location ref="A26:C32" firstHeaderRow="1" firstDataRow="1" firstDataCol="2"/>
  <pivotFields count="34">
    <pivotField dataField="1" compact="0" outline="0" showAll="0"/>
    <pivotField compact="0" numFmtId="1" outline="0" showAll="0"/>
    <pivotField compact="0" outline="0" showAll="0"/>
    <pivotField compact="0" outline="0" showAll="0"/>
    <pivotField compact="0" outline="0" showAll="0">
      <items count="3">
        <item x="0"/>
        <item x="1"/>
        <item t="default"/>
      </items>
    </pivotField>
    <pivotField axis="axisRow" compact="0" outline="0" showAll="0">
      <items count="5">
        <item x="2"/>
        <item x="0"/>
        <item x="3"/>
        <item x="1"/>
        <item t="default"/>
      </items>
    </pivotField>
    <pivotField compact="0" outline="0" showAll="0"/>
    <pivotField compact="0" outline="0" showAll="0"/>
    <pivotField compact="0" outline="0" showAll="0"/>
    <pivotField compact="0" numFmtId="164" outline="0" showAll="0"/>
    <pivotField compact="0" numFmtId="1" outline="0" showAll="0"/>
    <pivotField axis="axisRow" compact="0" outline="0" showAll="0">
      <items count="3">
        <item h="1" x="0"/>
        <item x="1"/>
        <item t="default"/>
      </items>
    </pivotField>
    <pivotField compact="0" outline="0" showAll="0"/>
    <pivotField compact="0" numFmtId="1" outline="0" showAll="0"/>
    <pivotField compact="0" outline="0" showAll="0"/>
    <pivotField compact="0" numFmtId="1" outline="0" showAll="0"/>
    <pivotField compact="0" numFmtId="2" outline="0" showAll="0"/>
    <pivotField compact="0" outline="0" showAll="0"/>
    <pivotField compact="0" outline="0" showAll="0"/>
    <pivotField compact="0" numFmtId="1" outline="0" showAll="0"/>
    <pivotField compact="0" outline="0" showAll="0"/>
    <pivotField compact="0" numFmtId="1" outline="0" showAll="0"/>
    <pivotField compact="0" outline="0" showAll="0"/>
    <pivotField compact="0" outline="0" showAll="0"/>
    <pivotField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" outline="0" showAll="0"/>
  </pivotFields>
  <rowFields count="2">
    <field x="11"/>
    <field x="5"/>
  </rowFields>
  <rowItems count="6">
    <i>
      <x v="1"/>
      <x/>
    </i>
    <i r="1">
      <x v="1"/>
    </i>
    <i r="1">
      <x v="2"/>
    </i>
    <i r="1">
      <x v="3"/>
    </i>
    <i t="default">
      <x v="1"/>
    </i>
    <i t="grand">
      <x/>
    </i>
  </rowItems>
  <colItems count="1">
    <i/>
  </colItems>
  <dataFields count="1">
    <dataField name="Count of Customer_ID" fld="0" subtotal="count" showDataAs="percentOfTotal" baseField="0" baseItem="0" numFmtId="10"/>
  </dataFields>
  <chartFormats count="3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3">
          <reference field="4294967294" count="1" selected="0">
            <x v="0"/>
          </reference>
          <reference field="5" count="1" selected="0">
            <x v="0"/>
          </reference>
          <reference field="11" count="1" selected="0">
            <x v="1"/>
          </reference>
        </references>
      </pivotArea>
    </chartFormat>
    <chartFormat chart="0" format="2">
      <pivotArea type="data" outline="0" fieldPosition="0">
        <references count="3">
          <reference field="4294967294" count="1" selected="0">
            <x v="0"/>
          </reference>
          <reference field="5" count="1" selected="0">
            <x v="1"/>
          </reference>
          <reference field="11" count="1" selected="0">
            <x v="1"/>
          </reference>
        </references>
      </pivotArea>
    </chartFormat>
    <chartFormat chart="0" format="3">
      <pivotArea type="data" outline="0" fieldPosition="0">
        <references count="3">
          <reference field="4294967294" count="1" selected="0">
            <x v="0"/>
          </reference>
          <reference field="5" count="1" selected="0">
            <x v="2"/>
          </reference>
          <reference field="11" count="1" selected="0">
            <x v="1"/>
          </reference>
        </references>
      </pivotArea>
    </chartFormat>
    <chartFormat chart="0" format="4">
      <pivotArea type="data" outline="0" fieldPosition="0">
        <references count="3">
          <reference field="4294967294" count="1" selected="0">
            <x v="0"/>
          </reference>
          <reference field="5" count="1" selected="0">
            <x v="3"/>
          </reference>
          <reference field="11" count="1" selected="0">
            <x v="1"/>
          </reference>
        </references>
      </pivotArea>
    </chartFormat>
    <chartFormat chart="1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6">
      <pivotArea type="data" outline="0" fieldPosition="0">
        <references count="3">
          <reference field="4294967294" count="1" selected="0">
            <x v="0"/>
          </reference>
          <reference field="5" count="1" selected="0">
            <x v="0"/>
          </reference>
          <reference field="11" count="1" selected="0">
            <x v="1"/>
          </reference>
        </references>
      </pivotArea>
    </chartFormat>
    <chartFormat chart="1" format="7">
      <pivotArea type="data" outline="0" fieldPosition="0">
        <references count="3">
          <reference field="4294967294" count="1" selected="0">
            <x v="0"/>
          </reference>
          <reference field="5" count="1" selected="0">
            <x v="1"/>
          </reference>
          <reference field="11" count="1" selected="0">
            <x v="1"/>
          </reference>
        </references>
      </pivotArea>
    </chartFormat>
    <chartFormat chart="1" format="8">
      <pivotArea type="data" outline="0" fieldPosition="0">
        <references count="3">
          <reference field="4294967294" count="1" selected="0">
            <x v="0"/>
          </reference>
          <reference field="5" count="1" selected="0">
            <x v="2"/>
          </reference>
          <reference field="11" count="1" selected="0">
            <x v="1"/>
          </reference>
        </references>
      </pivotArea>
    </chartFormat>
    <chartFormat chart="1" format="9">
      <pivotArea type="data" outline="0" fieldPosition="0">
        <references count="3">
          <reference field="4294967294" count="1" selected="0">
            <x v="0"/>
          </reference>
          <reference field="5" count="1" selected="0">
            <x v="3"/>
          </reference>
          <reference field="11" count="1" selected="0">
            <x v="1"/>
          </reference>
        </references>
      </pivotArea>
    </chartFormat>
    <chartFormat chart="2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1">
      <pivotArea type="data" outline="0" fieldPosition="0">
        <references count="3">
          <reference field="4294967294" count="1" selected="0">
            <x v="0"/>
          </reference>
          <reference field="5" count="1" selected="0">
            <x v="0"/>
          </reference>
          <reference field="11" count="1" selected="0">
            <x v="1"/>
          </reference>
        </references>
      </pivotArea>
    </chartFormat>
    <chartFormat chart="2" format="12">
      <pivotArea type="data" outline="0" fieldPosition="0">
        <references count="3">
          <reference field="4294967294" count="1" selected="0">
            <x v="0"/>
          </reference>
          <reference field="5" count="1" selected="0">
            <x v="1"/>
          </reference>
          <reference field="11" count="1" selected="0">
            <x v="1"/>
          </reference>
        </references>
      </pivotArea>
    </chartFormat>
    <chartFormat chart="2" format="13">
      <pivotArea type="data" outline="0" fieldPosition="0">
        <references count="3">
          <reference field="4294967294" count="1" selected="0">
            <x v="0"/>
          </reference>
          <reference field="5" count="1" selected="0">
            <x v="2"/>
          </reference>
          <reference field="11" count="1" selected="0">
            <x v="1"/>
          </reference>
        </references>
      </pivotArea>
    </chartFormat>
    <chartFormat chart="2" format="14">
      <pivotArea type="data" outline="0" fieldPosition="0">
        <references count="3">
          <reference field="4294967294" count="1" selected="0">
            <x v="0"/>
          </reference>
          <reference field="5" count="1" selected="0">
            <x v="3"/>
          </reference>
          <reference field="11" count="1" selected="0">
            <x v="1"/>
          </reference>
        </references>
      </pivotArea>
    </chartFormat>
    <chartFormat chart="3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6">
      <pivotArea type="data" outline="0" fieldPosition="0">
        <references count="3">
          <reference field="4294967294" count="1" selected="0">
            <x v="0"/>
          </reference>
          <reference field="5" count="1" selected="0">
            <x v="0"/>
          </reference>
          <reference field="11" count="1" selected="0">
            <x v="1"/>
          </reference>
        </references>
      </pivotArea>
    </chartFormat>
    <chartFormat chart="3" format="7">
      <pivotArea type="data" outline="0" fieldPosition="0">
        <references count="3">
          <reference field="4294967294" count="1" selected="0">
            <x v="0"/>
          </reference>
          <reference field="5" count="1" selected="0">
            <x v="1"/>
          </reference>
          <reference field="11" count="1" selected="0">
            <x v="1"/>
          </reference>
        </references>
      </pivotArea>
    </chartFormat>
    <chartFormat chart="3" format="8">
      <pivotArea type="data" outline="0" fieldPosition="0">
        <references count="3">
          <reference field="4294967294" count="1" selected="0">
            <x v="0"/>
          </reference>
          <reference field="5" count="1" selected="0">
            <x v="2"/>
          </reference>
          <reference field="11" count="1" selected="0">
            <x v="1"/>
          </reference>
        </references>
      </pivotArea>
    </chartFormat>
    <chartFormat chart="3" format="9">
      <pivotArea type="data" outline="0" fieldPosition="0">
        <references count="3">
          <reference field="4294967294" count="1" selected="0">
            <x v="0"/>
          </reference>
          <reference field="5" count="1" selected="0">
            <x v="3"/>
          </reference>
          <reference field="11" count="1" selected="0">
            <x v="1"/>
          </reference>
        </references>
      </pivotArea>
    </chartFormat>
    <chartFormat chart="4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1">
      <pivotArea type="data" outline="0" fieldPosition="0">
        <references count="3">
          <reference field="4294967294" count="1" selected="0">
            <x v="0"/>
          </reference>
          <reference field="5" count="1" selected="0">
            <x v="0"/>
          </reference>
          <reference field="11" count="1" selected="0">
            <x v="1"/>
          </reference>
        </references>
      </pivotArea>
    </chartFormat>
    <chartFormat chart="4" format="12">
      <pivotArea type="data" outline="0" fieldPosition="0">
        <references count="3">
          <reference field="4294967294" count="1" selected="0">
            <x v="0"/>
          </reference>
          <reference field="5" count="1" selected="0">
            <x v="1"/>
          </reference>
          <reference field="11" count="1" selected="0">
            <x v="1"/>
          </reference>
        </references>
      </pivotArea>
    </chartFormat>
    <chartFormat chart="4" format="13">
      <pivotArea type="data" outline="0" fieldPosition="0">
        <references count="3">
          <reference field="4294967294" count="1" selected="0">
            <x v="0"/>
          </reference>
          <reference field="5" count="1" selected="0">
            <x v="2"/>
          </reference>
          <reference field="11" count="1" selected="0">
            <x v="1"/>
          </reference>
        </references>
      </pivotArea>
    </chartFormat>
    <chartFormat chart="4" format="14">
      <pivotArea type="data" outline="0" fieldPosition="0">
        <references count="3">
          <reference field="4294967294" count="1" selected="0">
            <x v="0"/>
          </reference>
          <reference field="5" count="1" selected="0">
            <x v="3"/>
          </reference>
          <reference field="11" count="1" selected="0">
            <x v="1"/>
          </reference>
        </references>
      </pivotArea>
    </chartFormat>
    <chartFormat chart="5" format="1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6">
      <pivotArea type="data" outline="0" fieldPosition="0">
        <references count="3">
          <reference field="4294967294" count="1" selected="0">
            <x v="0"/>
          </reference>
          <reference field="5" count="1" selected="0">
            <x v="0"/>
          </reference>
          <reference field="11" count="1" selected="0">
            <x v="1"/>
          </reference>
        </references>
      </pivotArea>
    </chartFormat>
    <chartFormat chart="5" format="17">
      <pivotArea type="data" outline="0" fieldPosition="0">
        <references count="3">
          <reference field="4294967294" count="1" selected="0">
            <x v="0"/>
          </reference>
          <reference field="5" count="1" selected="0">
            <x v="1"/>
          </reference>
          <reference field="11" count="1" selected="0">
            <x v="1"/>
          </reference>
        </references>
      </pivotArea>
    </chartFormat>
    <chartFormat chart="5" format="18">
      <pivotArea type="data" outline="0" fieldPosition="0">
        <references count="3">
          <reference field="4294967294" count="1" selected="0">
            <x v="0"/>
          </reference>
          <reference field="5" count="1" selected="0">
            <x v="2"/>
          </reference>
          <reference field="11" count="1" selected="0">
            <x v="1"/>
          </reference>
        </references>
      </pivotArea>
    </chartFormat>
    <chartFormat chart="5" format="19">
      <pivotArea type="data" outline="0" fieldPosition="0">
        <references count="3">
          <reference field="4294967294" count="1" selected="0">
            <x v="0"/>
          </reference>
          <reference field="5" count="1" selected="0">
            <x v="3"/>
          </reference>
          <reference field="11" count="1" selected="0">
            <x v="1"/>
          </reference>
        </references>
      </pivotArea>
    </chartFormat>
    <chartFormat chart="6" format="2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1">
      <pivotArea type="data" outline="0" fieldPosition="0">
        <references count="3">
          <reference field="4294967294" count="1" selected="0">
            <x v="0"/>
          </reference>
          <reference field="5" count="1" selected="0">
            <x v="0"/>
          </reference>
          <reference field="11" count="1" selected="0">
            <x v="1"/>
          </reference>
        </references>
      </pivotArea>
    </chartFormat>
    <chartFormat chart="6" format="22">
      <pivotArea type="data" outline="0" fieldPosition="0">
        <references count="3">
          <reference field="4294967294" count="1" selected="0">
            <x v="0"/>
          </reference>
          <reference field="5" count="1" selected="0">
            <x v="1"/>
          </reference>
          <reference field="11" count="1" selected="0">
            <x v="1"/>
          </reference>
        </references>
      </pivotArea>
    </chartFormat>
    <chartFormat chart="6" format="23">
      <pivotArea type="data" outline="0" fieldPosition="0">
        <references count="3">
          <reference field="4294967294" count="1" selected="0">
            <x v="0"/>
          </reference>
          <reference field="5" count="1" selected="0">
            <x v="2"/>
          </reference>
          <reference field="11" count="1" selected="0">
            <x v="1"/>
          </reference>
        </references>
      </pivotArea>
    </chartFormat>
    <chartFormat chart="6" format="24">
      <pivotArea type="data" outline="0" fieldPosition="0">
        <references count="3">
          <reference field="4294967294" count="1" selected="0">
            <x v="0"/>
          </reference>
          <reference field="5" count="1" selected="0">
            <x v="3"/>
          </reference>
          <reference field="1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3BD4118-3A1A-47B2-ADB4-7B576804C7AF}" name="PivotTable8" cacheId="24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K22:M27" firstHeaderRow="1" firstDataRow="1" firstDataCol="2"/>
  <pivotFields count="34">
    <pivotField dataField="1" compact="0" outline="0" showAll="0"/>
    <pivotField compact="0" numFmtId="1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4">
        <item x="0"/>
        <item x="2"/>
        <item x="1"/>
        <item t="default"/>
      </items>
    </pivotField>
    <pivotField compact="0" outline="0" showAll="0"/>
    <pivotField compact="0" outline="0" showAll="0"/>
    <pivotField compact="0" numFmtId="164" outline="0" showAll="0"/>
    <pivotField compact="0" numFmtId="1" outline="0" showAll="0"/>
    <pivotField axis="axisRow" compact="0" outline="0" showAll="0">
      <items count="3">
        <item h="1" x="0"/>
        <item x="1"/>
        <item t="default"/>
      </items>
    </pivotField>
    <pivotField axis="axisRow" compact="0" outline="0" showAll="0">
      <items count="4">
        <item x="1"/>
        <item x="2"/>
        <item x="0"/>
        <item t="default"/>
      </items>
    </pivotField>
    <pivotField compact="0" numFmtId="1" outline="0" showAll="0"/>
    <pivotField compact="0" outline="0" showAll="0"/>
    <pivotField compact="0" numFmtId="1" outline="0" showAll="0"/>
    <pivotField compact="0" numFmtId="2" outline="0" showAll="0"/>
    <pivotField compact="0" outline="0" showAll="0"/>
    <pivotField compact="0" outline="0" showAll="0"/>
    <pivotField compact="0" numFmtId="1" outline="0" showAll="0"/>
    <pivotField compact="0" outline="0" showAll="0"/>
    <pivotField compact="0" numFmtId="1" outline="0" showAll="0"/>
    <pivotField compact="0" outline="0" showAll="0"/>
    <pivotField compact="0" outline="0" showAll="0"/>
    <pivotField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" outline="0" showAll="0"/>
  </pivotFields>
  <rowFields count="2">
    <field x="11"/>
    <field x="12"/>
  </rowFields>
  <rowItems count="5">
    <i>
      <x v="1"/>
      <x/>
    </i>
    <i r="1">
      <x v="1"/>
    </i>
    <i r="1">
      <x v="2"/>
    </i>
    <i t="default">
      <x v="1"/>
    </i>
    <i t="grand">
      <x/>
    </i>
  </rowItems>
  <colItems count="1">
    <i/>
  </colItems>
  <dataFields count="1">
    <dataField name="Count of Customer_ID" fld="0" subtotal="count" showDataAs="percentOfTotal" baseField="0" baseItem="0" numFmtId="10"/>
  </dataFields>
  <chartFormats count="20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3">
          <reference field="4294967294" count="1" selected="0">
            <x v="0"/>
          </reference>
          <reference field="11" count="1" selected="0">
            <x v="1"/>
          </reference>
          <reference field="12" count="1" selected="0">
            <x v="0"/>
          </reference>
        </references>
      </pivotArea>
    </chartFormat>
    <chartFormat chart="0" format="2">
      <pivotArea type="data" outline="0" fieldPosition="0">
        <references count="3">
          <reference field="4294967294" count="1" selected="0">
            <x v="0"/>
          </reference>
          <reference field="11" count="1" selected="0">
            <x v="1"/>
          </reference>
          <reference field="12" count="1" selected="0">
            <x v="1"/>
          </reference>
        </references>
      </pivotArea>
    </chartFormat>
    <chartFormat chart="0" format="3">
      <pivotArea type="data" outline="0" fieldPosition="0">
        <references count="3">
          <reference field="4294967294" count="1" selected="0">
            <x v="0"/>
          </reference>
          <reference field="11" count="1" selected="0">
            <x v="1"/>
          </reference>
          <reference field="12" count="1" selected="0">
            <x v="2"/>
          </reference>
        </references>
      </pivotArea>
    </chartFormat>
    <chartFormat chart="1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5">
      <pivotArea type="data" outline="0" fieldPosition="0">
        <references count="3">
          <reference field="4294967294" count="1" selected="0">
            <x v="0"/>
          </reference>
          <reference field="11" count="1" selected="0">
            <x v="1"/>
          </reference>
          <reference field="12" count="1" selected="0">
            <x v="0"/>
          </reference>
        </references>
      </pivotArea>
    </chartFormat>
    <chartFormat chart="1" format="6">
      <pivotArea type="data" outline="0" fieldPosition="0">
        <references count="3">
          <reference field="4294967294" count="1" selected="0">
            <x v="0"/>
          </reference>
          <reference field="11" count="1" selected="0">
            <x v="1"/>
          </reference>
          <reference field="12" count="1" selected="0">
            <x v="1"/>
          </reference>
        </references>
      </pivotArea>
    </chartFormat>
    <chartFormat chart="1" format="7">
      <pivotArea type="data" outline="0" fieldPosition="0">
        <references count="3">
          <reference field="4294967294" count="1" selected="0">
            <x v="0"/>
          </reference>
          <reference field="11" count="1" selected="0">
            <x v="1"/>
          </reference>
          <reference field="12" count="1" selected="0">
            <x v="2"/>
          </reference>
        </references>
      </pivotArea>
    </chartFormat>
    <chartFormat chart="2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9">
      <pivotArea type="data" outline="0" fieldPosition="0">
        <references count="3">
          <reference field="4294967294" count="1" selected="0">
            <x v="0"/>
          </reference>
          <reference field="11" count="1" selected="0">
            <x v="1"/>
          </reference>
          <reference field="12" count="1" selected="0">
            <x v="0"/>
          </reference>
        </references>
      </pivotArea>
    </chartFormat>
    <chartFormat chart="2" format="10">
      <pivotArea type="data" outline="0" fieldPosition="0">
        <references count="3">
          <reference field="4294967294" count="1" selected="0">
            <x v="0"/>
          </reference>
          <reference field="11" count="1" selected="0">
            <x v="1"/>
          </reference>
          <reference field="12" count="1" selected="0">
            <x v="1"/>
          </reference>
        </references>
      </pivotArea>
    </chartFormat>
    <chartFormat chart="2" format="11">
      <pivotArea type="data" outline="0" fieldPosition="0">
        <references count="3">
          <reference field="4294967294" count="1" selected="0">
            <x v="0"/>
          </reference>
          <reference field="11" count="1" selected="0">
            <x v="1"/>
          </reference>
          <reference field="12" count="1" selected="0">
            <x v="2"/>
          </reference>
        </references>
      </pivotArea>
    </chartFormat>
    <chartFormat chart="3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3">
      <pivotArea type="data" outline="0" fieldPosition="0">
        <references count="3">
          <reference field="4294967294" count="1" selected="0">
            <x v="0"/>
          </reference>
          <reference field="11" count="1" selected="0">
            <x v="1"/>
          </reference>
          <reference field="12" count="1" selected="0">
            <x v="0"/>
          </reference>
        </references>
      </pivotArea>
    </chartFormat>
    <chartFormat chart="3" format="14">
      <pivotArea type="data" outline="0" fieldPosition="0">
        <references count="3">
          <reference field="4294967294" count="1" selected="0">
            <x v="0"/>
          </reference>
          <reference field="11" count="1" selected="0">
            <x v="1"/>
          </reference>
          <reference field="12" count="1" selected="0">
            <x v="1"/>
          </reference>
        </references>
      </pivotArea>
    </chartFormat>
    <chartFormat chart="3" format="15">
      <pivotArea type="data" outline="0" fieldPosition="0">
        <references count="3">
          <reference field="4294967294" count="1" selected="0">
            <x v="0"/>
          </reference>
          <reference field="11" count="1" selected="0">
            <x v="1"/>
          </reference>
          <reference field="12" count="1" selected="0">
            <x v="2"/>
          </reference>
        </references>
      </pivotArea>
    </chartFormat>
    <chartFormat chart="4" format="1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7">
      <pivotArea type="data" outline="0" fieldPosition="0">
        <references count="3">
          <reference field="4294967294" count="1" selected="0">
            <x v="0"/>
          </reference>
          <reference field="11" count="1" selected="0">
            <x v="1"/>
          </reference>
          <reference field="12" count="1" selected="0">
            <x v="0"/>
          </reference>
        </references>
      </pivotArea>
    </chartFormat>
    <chartFormat chart="4" format="18">
      <pivotArea type="data" outline="0" fieldPosition="0">
        <references count="3">
          <reference field="4294967294" count="1" selected="0">
            <x v="0"/>
          </reference>
          <reference field="11" count="1" selected="0">
            <x v="1"/>
          </reference>
          <reference field="12" count="1" selected="0">
            <x v="1"/>
          </reference>
        </references>
      </pivotArea>
    </chartFormat>
    <chartFormat chart="4" format="19">
      <pivotArea type="data" outline="0" fieldPosition="0">
        <references count="3">
          <reference field="4294967294" count="1" selected="0">
            <x v="0"/>
          </reference>
          <reference field="11" count="1" selected="0">
            <x v="1"/>
          </reference>
          <reference field="12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AF838D5-5302-4755-AFBC-20A2F97A9810}" name="PivotTable6" cacheId="24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F2:G5" firstHeaderRow="1" firstDataRow="1" firstDataCol="1"/>
  <pivotFields count="34">
    <pivotField dataField="1" compact="0" outline="0" showAll="0"/>
    <pivotField compact="0" numFmtId="1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64" outline="0" showAll="0"/>
    <pivotField compact="0" numFmtId="1" outline="0" showAll="0"/>
    <pivotField axis="axisRow" compact="0" outline="0" showAll="0">
      <items count="3">
        <item x="0"/>
        <item x="1"/>
        <item t="default"/>
      </items>
    </pivotField>
    <pivotField compact="0" outline="0" showAll="0"/>
    <pivotField compact="0" numFmtId="1" outline="0" showAll="0"/>
    <pivotField compact="0" outline="0" showAll="0"/>
    <pivotField compact="0" numFmtId="1" outline="0" showAll="0"/>
    <pivotField compact="0" numFmtId="2" outline="0" showAll="0"/>
    <pivotField compact="0" outline="0" showAll="0"/>
    <pivotField compact="0" outline="0" showAll="0"/>
    <pivotField compact="0" numFmtId="1" outline="0" showAll="0"/>
    <pivotField compact="0" outline="0" showAll="0"/>
    <pivotField compact="0" numFmtId="1" outline="0" showAll="0"/>
    <pivotField compact="0" outline="0" showAll="0"/>
    <pivotField compact="0" outline="0" showAll="0"/>
    <pivotField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>
      <items count="3"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numFmtId="1" outline="0" showAll="0"/>
  </pivotFields>
  <rowFields count="1">
    <field x="11"/>
  </rowFields>
  <rowItems count="3">
    <i>
      <x/>
    </i>
    <i>
      <x v="1"/>
    </i>
    <i t="grand">
      <x/>
    </i>
  </rowItems>
  <colItems count="1">
    <i/>
  </colItems>
  <dataFields count="1">
    <dataField name="Count of Customer_ID" fld="0" subtotal="count" showDataAs="percentOfTotal" baseField="0" baseItem="0" numFmtId="10"/>
  </dataFields>
  <chartFormats count="1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3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0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3" format="1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4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3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4" format="14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22F25AA-A6E8-4B1C-A167-B9E8F7F16995}" name="PivotTable4" cacheId="24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K2:M9" firstHeaderRow="1" firstDataRow="1" firstDataCol="2"/>
  <pivotFields count="34">
    <pivotField dataField="1" compact="0" outline="0" showAll="0"/>
    <pivotField compact="0" numFmtId="1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64" outline="0" showAll="0"/>
    <pivotField compact="0" numFmtId="1" outline="0" showAll="0"/>
    <pivotField axis="axisRow" compact="0" outline="0" showAll="0">
      <items count="3">
        <item h="1" x="0"/>
        <item x="1"/>
        <item t="default"/>
      </items>
    </pivotField>
    <pivotField compact="0" outline="0" showAll="0"/>
    <pivotField compact="0" numFmtId="1" outline="0" showAll="0"/>
    <pivotField compact="0" outline="0" showAll="0"/>
    <pivotField compact="0" numFmtId="1" outline="0" showAll="0"/>
    <pivotField compact="0" numFmtId="2" outline="0" showAll="0"/>
    <pivotField compact="0" outline="0" showAll="0"/>
    <pivotField compact="0" outline="0" showAll="0"/>
    <pivotField compact="0" numFmtId="1" outline="0" showAll="0"/>
    <pivotField compact="0" outline="0" showAll="0"/>
    <pivotField compact="0" numFmtId="1" outline="0" showAll="0"/>
    <pivotField compact="0" outline="0" showAll="0"/>
    <pivotField compact="0" outline="0" showAll="0">
      <items count="4">
        <item x="2"/>
        <item x="0"/>
        <item x="1"/>
        <item t="default"/>
      </items>
    </pivotField>
    <pivotField axis="axisRow" compact="0" outline="0" showAll="0">
      <items count="6">
        <item x="1"/>
        <item x="3"/>
        <item x="0"/>
        <item x="4"/>
        <item x="2"/>
        <item t="default"/>
      </items>
    </pivotField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" outline="0" showAll="0"/>
  </pivotFields>
  <rowFields count="2">
    <field x="11"/>
    <field x="24"/>
  </rowFields>
  <rowItems count="7">
    <i>
      <x v="1"/>
      <x/>
    </i>
    <i r="1">
      <x v="1"/>
    </i>
    <i r="1">
      <x v="2"/>
    </i>
    <i r="1">
      <x v="3"/>
    </i>
    <i r="1">
      <x v="4"/>
    </i>
    <i t="default">
      <x v="1"/>
    </i>
    <i t="grand">
      <x/>
    </i>
  </rowItems>
  <colItems count="1">
    <i/>
  </colItems>
  <dataFields count="1">
    <dataField name="Count of Customer_ID" fld="0" subtotal="count" showDataAs="percentOfTotal" baseField="0" baseItem="0" numFmtId="1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297F81-2412-4E2D-954F-9CEA9205997E}" name="PivotTable3" cacheId="247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compact="0" compactData="0" multipleFieldFilters="0" chartFormat="5">
  <location ref="A3:C8" firstHeaderRow="1" firstDataRow="2" firstDataCol="1"/>
  <pivotFields count="34">
    <pivotField dataField="1" compact="0" outline="0" showAll="0"/>
    <pivotField compact="0" numFmtId="1" outline="0" showAll="0"/>
    <pivotField compact="0" outline="0" showAll="0"/>
    <pivotField axis="axisRow" compact="0" outline="0" showAll="0">
      <items count="9">
        <item h="1" x="3"/>
        <item h="1" x="5"/>
        <item x="1"/>
        <item h="1" x="2"/>
        <item h="1" x="6"/>
        <item x="0"/>
        <item x="7"/>
        <item h="1" x="4"/>
        <item t="default"/>
      </items>
    </pivotField>
    <pivotField axis="axisCol" compact="0" outline="0" showAll="0">
      <items count="3">
        <item x="0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numFmtId="164" outline="0" showAll="0"/>
    <pivotField compact="0" numFmtId="1" outline="0" showAll="0"/>
    <pivotField compact="0" outline="0" showAll="0"/>
    <pivotField compact="0" outline="0" showAll="0"/>
    <pivotField compact="0" numFmtId="1" outline="0" showAll="0"/>
    <pivotField compact="0" outline="0" showAll="0"/>
    <pivotField compact="0" numFmtId="1" outline="0" showAll="0"/>
    <pivotField compact="0" numFmtId="2" outline="0" showAll="0"/>
    <pivotField compact="0" outline="0" showAll="0"/>
    <pivotField compact="0" outline="0" showAll="0"/>
    <pivotField compact="0" numFmtId="1" outline="0" showAll="0"/>
    <pivotField compact="0" outline="0" showAll="0"/>
    <pivotField compact="0" numFmtId="1" outline="0" showAll="0"/>
    <pivotField compact="0" outline="0" showAll="0"/>
    <pivotField compact="0" outline="0" showAll="0"/>
    <pivotField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" outline="0" showAll="0"/>
  </pivotFields>
  <rowFields count="1">
    <field x="3"/>
  </rowFields>
  <rowItems count="4">
    <i>
      <x v="2"/>
    </i>
    <i>
      <x v="5"/>
    </i>
    <i>
      <x v="6"/>
    </i>
    <i t="grand">
      <x/>
    </i>
  </rowItems>
  <colFields count="1">
    <field x="4"/>
  </colFields>
  <colItems count="2">
    <i>
      <x/>
    </i>
    <i>
      <x v="1"/>
    </i>
  </colItems>
  <dataFields count="1">
    <dataField name="Count of Customer_ID" fld="0" subtotal="count" showDataAs="percentOfTotal" baseField="0" baseItem="0" numFmtId="10"/>
  </dataFields>
  <chartFormats count="10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3" format="6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3" format="7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4" format="8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4" format="9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02B02F-C2B2-45D7-ABDD-BA0253B79632}" name="PivotTable11" cacheId="247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compact="0" compactData="0" multipleFieldFilters="0" chartFormat="5">
  <location ref="A3:F21" firstHeaderRow="1" firstDataRow="2" firstDataCol="2"/>
  <pivotFields count="34">
    <pivotField dataField="1" compact="0" outline="0" showAll="0"/>
    <pivotField compact="0" numFmtId="1" outline="0" showAll="0"/>
    <pivotField axis="axisRow" compact="0" outline="0" showAll="0" sortType="descending">
      <items count="5">
        <item x="0"/>
        <item x="1"/>
        <item x="2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compact="0" outline="0" showAll="0">
      <items count="9">
        <item h="1" x="3"/>
        <item h="1" x="5"/>
        <item x="1"/>
        <item h="1" x="2"/>
        <item h="1" x="6"/>
        <item x="0"/>
        <item x="7"/>
        <item h="1" x="4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64" outline="0" showAll="0"/>
    <pivotField compact="0" numFmtId="1" outline="0" showAll="0"/>
    <pivotField compact="0" outline="0" showAll="0"/>
    <pivotField compact="0" outline="0" showAll="0"/>
    <pivotField compact="0" numFmtId="1" outline="0" showAll="0"/>
    <pivotField compact="0" outline="0" showAll="0"/>
    <pivotField compact="0" numFmtId="1" outline="0" showAll="0"/>
    <pivotField compact="0" numFmtId="2" outline="0" showAll="0"/>
    <pivotField axis="axisCol" compact="0" outline="0" showAll="0">
      <items count="5">
        <item x="3"/>
        <item x="2"/>
        <item x="1"/>
        <item x="0"/>
        <item t="default"/>
      </items>
    </pivotField>
    <pivotField compact="0" outline="0" showAll="0"/>
    <pivotField compact="0" numFmtId="1" outline="0" showAll="0"/>
    <pivotField compact="0" outline="0" showAll="0"/>
    <pivotField compact="0" numFmtId="1" outline="0" showAll="0"/>
    <pivotField compact="0" outline="0" showAll="0">
      <items count="5">
        <item x="1"/>
        <item x="2"/>
        <item x="0"/>
        <item x="3"/>
        <item t="default"/>
      </items>
    </pivotField>
    <pivotField compact="0" outline="0" showAll="0"/>
    <pivotField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" outline="0" showAll="0"/>
  </pivotFields>
  <rowFields count="2">
    <field x="2"/>
    <field x="3"/>
  </rowFields>
  <rowItems count="17">
    <i>
      <x v="1"/>
      <x v="2"/>
    </i>
    <i r="1">
      <x v="5"/>
    </i>
    <i r="1">
      <x v="6"/>
    </i>
    <i t="default">
      <x v="1"/>
    </i>
    <i>
      <x v="2"/>
      <x v="2"/>
    </i>
    <i r="1">
      <x v="5"/>
    </i>
    <i r="1">
      <x v="6"/>
    </i>
    <i t="default">
      <x v="2"/>
    </i>
    <i>
      <x/>
      <x v="2"/>
    </i>
    <i r="1">
      <x v="5"/>
    </i>
    <i r="1">
      <x v="6"/>
    </i>
    <i t="default">
      <x/>
    </i>
    <i>
      <x v="3"/>
      <x v="2"/>
    </i>
    <i r="1">
      <x v="5"/>
    </i>
    <i r="1">
      <x v="6"/>
    </i>
    <i t="default">
      <x v="3"/>
    </i>
    <i t="grand">
      <x/>
    </i>
  </rowItems>
  <colFields count="1">
    <field x="17"/>
  </colFields>
  <colItems count="4">
    <i>
      <x/>
    </i>
    <i>
      <x v="1"/>
    </i>
    <i>
      <x v="2"/>
    </i>
    <i>
      <x v="3"/>
    </i>
  </colItems>
  <dataFields count="1">
    <dataField name="Count of Customer_ID" fld="0" subtotal="count" showDataAs="percentOfTotal" baseField="0" baseItem="0" numFmtId="10"/>
  </dataFields>
  <chartFormats count="20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3"/>
          </reference>
        </references>
      </pivotArea>
    </chartFormat>
    <chartFormat chart="1" format="4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0"/>
          </reference>
        </references>
      </pivotArea>
    </chartFormat>
    <chartFormat chart="1" format="5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1"/>
          </reference>
        </references>
      </pivotArea>
    </chartFormat>
    <chartFormat chart="1" format="6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2"/>
          </reference>
        </references>
      </pivotArea>
    </chartFormat>
    <chartFormat chart="1" format="7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3"/>
          </reference>
        </references>
      </pivotArea>
    </chartFormat>
    <chartFormat chart="2" format="8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0"/>
          </reference>
        </references>
      </pivotArea>
    </chartFormat>
    <chartFormat chart="2" format="9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1"/>
          </reference>
        </references>
      </pivotArea>
    </chartFormat>
    <chartFormat chart="2" format="10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2"/>
          </reference>
        </references>
      </pivotArea>
    </chartFormat>
    <chartFormat chart="2" format="11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3"/>
          </reference>
        </references>
      </pivotArea>
    </chartFormat>
    <chartFormat chart="3" format="12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0"/>
          </reference>
        </references>
      </pivotArea>
    </chartFormat>
    <chartFormat chart="3" format="13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1"/>
          </reference>
        </references>
      </pivotArea>
    </chartFormat>
    <chartFormat chart="3" format="14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2"/>
          </reference>
        </references>
      </pivotArea>
    </chartFormat>
    <chartFormat chart="3" format="15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3"/>
          </reference>
        </references>
      </pivotArea>
    </chartFormat>
    <chartFormat chart="4" format="16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0"/>
          </reference>
        </references>
      </pivotArea>
    </chartFormat>
    <chartFormat chart="4" format="17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1"/>
          </reference>
        </references>
      </pivotArea>
    </chartFormat>
    <chartFormat chart="4" format="18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2"/>
          </reference>
        </references>
      </pivotArea>
    </chartFormat>
    <chartFormat chart="4" format="19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93E5A98-0D1B-4334-9A6B-C3E414AFC979}" name="PivotTable1" cacheId="24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2">
  <location ref="AN3:BJ9" firstHeaderRow="1" firstDataRow="2" firstDataCol="1"/>
  <pivotFields count="34">
    <pivotField dataField="1" compact="0" outline="0" showAll="0"/>
    <pivotField compact="0" numFmtId="1" outline="0" showAll="0">
      <items count="34">
        <item x="0"/>
        <item x="4"/>
        <item x="5"/>
        <item x="2"/>
        <item x="7"/>
        <item x="3"/>
        <item x="6"/>
        <item x="1"/>
        <item x="15"/>
        <item x="9"/>
        <item x="16"/>
        <item x="17"/>
        <item x="8"/>
        <item x="12"/>
        <item x="13"/>
        <item x="11"/>
        <item x="14"/>
        <item x="10"/>
        <item x="22"/>
        <item x="23"/>
        <item x="21"/>
        <item x="25"/>
        <item x="20"/>
        <item x="18"/>
        <item x="24"/>
        <item x="26"/>
        <item x="19"/>
        <item x="31"/>
        <item x="30"/>
        <item x="29"/>
        <item x="28"/>
        <item x="32"/>
        <item x="27"/>
        <item t="default"/>
      </items>
    </pivotField>
    <pivotField compact="0" outline="0" showAll="0">
      <items count="5">
        <item x="0"/>
        <item x="1"/>
        <item x="2"/>
        <item x="3"/>
        <item t="default"/>
      </items>
    </pivotField>
    <pivotField compact="0" outline="0" showAll="0"/>
    <pivotField compact="0" outline="0" showAll="0"/>
    <pivotField axis="axisRow" compact="0" outline="0" showAll="0" sortType="descending">
      <items count="5">
        <item x="2"/>
        <item x="0"/>
        <item x="3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axis="axisCol" compact="0" outline="0" showAll="0">
      <items count="22">
        <item x="13"/>
        <item x="16"/>
        <item x="2"/>
        <item x="17"/>
        <item x="18"/>
        <item x="20"/>
        <item x="11"/>
        <item x="12"/>
        <item x="6"/>
        <item x="15"/>
        <item x="4"/>
        <item x="8"/>
        <item x="7"/>
        <item x="5"/>
        <item x="3"/>
        <item x="14"/>
        <item x="1"/>
        <item x="19"/>
        <item x="9"/>
        <item x="0"/>
        <item x="10"/>
        <item t="default"/>
      </items>
    </pivotField>
    <pivotField compact="0" numFmtId="164" outline="0" showAll="0"/>
    <pivotField compact="0" numFmtId="1" outline="0" showAll="0">
      <items count="12">
        <item x="5"/>
        <item x="10"/>
        <item x="8"/>
        <item x="3"/>
        <item x="1"/>
        <item x="4"/>
        <item x="9"/>
        <item x="6"/>
        <item x="2"/>
        <item x="7"/>
        <item x="0"/>
        <item t="default"/>
      </items>
    </pivotField>
    <pivotField compact="0" outline="0" showAll="0"/>
    <pivotField compact="0" outline="0" showAll="0"/>
    <pivotField compact="0" numFmtId="1" outline="0" showAll="0"/>
    <pivotField compact="0" outline="0" showAll="0"/>
    <pivotField compact="0" numFmtId="1" outline="0" showAll="0"/>
    <pivotField compact="0" numFmtId="2" outline="0" showAll="0"/>
    <pivotField compact="0" outline="0" showAll="0"/>
    <pivotField compact="0" outline="0" showAll="0"/>
    <pivotField compact="0" numFmtId="1" outline="0" showAll="0"/>
    <pivotField compact="0" outline="0" showAll="0"/>
    <pivotField compact="0" numFmtId="1" outline="0" showAll="0"/>
    <pivotField compact="0" outline="0" showAll="0"/>
    <pivotField compact="0" outline="0" showAll="0"/>
    <pivotField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" outline="0" showAll="0"/>
  </pivotFields>
  <rowFields count="1">
    <field x="5"/>
  </rowFields>
  <rowItems count="5">
    <i>
      <x v="3"/>
    </i>
    <i>
      <x v="1"/>
    </i>
    <i>
      <x/>
    </i>
    <i>
      <x v="2"/>
    </i>
    <i t="grand">
      <x/>
    </i>
  </rowItems>
  <colFields count="1">
    <field x="8"/>
  </colFields>
  <colItems count="2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 t="grand">
      <x/>
    </i>
  </colItems>
  <dataFields count="1">
    <dataField name="Count of Customer_ID" fld="0" subtotal="count" showDataAs="percentOfTotal" baseField="0" baseItem="0" numFmtId="10"/>
  </dataFields>
  <chartFormats count="171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3" format="2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3" format="2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3" format="2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  <chartFormat chart="3" format="2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5"/>
          </reference>
        </references>
      </pivotArea>
    </chartFormat>
    <chartFormat chart="3" format="26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6"/>
          </reference>
        </references>
      </pivotArea>
    </chartFormat>
    <chartFormat chart="3" format="27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7"/>
          </reference>
        </references>
      </pivotArea>
    </chartFormat>
    <chartFormat chart="3" format="28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8"/>
          </reference>
        </references>
      </pivotArea>
    </chartFormat>
    <chartFormat chart="3" format="29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9"/>
          </reference>
        </references>
      </pivotArea>
    </chartFormat>
    <chartFormat chart="3" format="3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0"/>
          </reference>
        </references>
      </pivotArea>
    </chartFormat>
    <chartFormat chart="3" format="3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1"/>
          </reference>
        </references>
      </pivotArea>
    </chartFormat>
    <chartFormat chart="3" format="3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2"/>
          </reference>
        </references>
      </pivotArea>
    </chartFormat>
    <chartFormat chart="3" format="3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3"/>
          </reference>
        </references>
      </pivotArea>
    </chartFormat>
    <chartFormat chart="3" format="3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4"/>
          </reference>
        </references>
      </pivotArea>
    </chartFormat>
    <chartFormat chart="3" format="3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5"/>
          </reference>
        </references>
      </pivotArea>
    </chartFormat>
    <chartFormat chart="3" format="36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6"/>
          </reference>
        </references>
      </pivotArea>
    </chartFormat>
    <chartFormat chart="3" format="37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7"/>
          </reference>
        </references>
      </pivotArea>
    </chartFormat>
    <chartFormat chart="3" format="38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8"/>
          </reference>
        </references>
      </pivotArea>
    </chartFormat>
    <chartFormat chart="3" format="39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9"/>
          </reference>
        </references>
      </pivotArea>
    </chartFormat>
    <chartFormat chart="3" format="4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0"/>
          </reference>
        </references>
      </pivotArea>
    </chartFormat>
    <chartFormat chart="3" format="4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4" format="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4" format="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4" format="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4" format="6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4" format="7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  <chartFormat chart="4" format="8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5"/>
          </reference>
        </references>
      </pivotArea>
    </chartFormat>
    <chartFormat chart="4" format="9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6"/>
          </reference>
        </references>
      </pivotArea>
    </chartFormat>
    <chartFormat chart="4" format="1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7"/>
          </reference>
        </references>
      </pivotArea>
    </chartFormat>
    <chartFormat chart="4" format="1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8"/>
          </reference>
        </references>
      </pivotArea>
    </chartFormat>
    <chartFormat chart="4" format="1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9"/>
          </reference>
        </references>
      </pivotArea>
    </chartFormat>
    <chartFormat chart="4" format="1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0"/>
          </reference>
        </references>
      </pivotArea>
    </chartFormat>
    <chartFormat chart="4" format="1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1"/>
          </reference>
        </references>
      </pivotArea>
    </chartFormat>
    <chartFormat chart="4" format="1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2"/>
          </reference>
        </references>
      </pivotArea>
    </chartFormat>
    <chartFormat chart="4" format="16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3"/>
          </reference>
        </references>
      </pivotArea>
    </chartFormat>
    <chartFormat chart="4" format="17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4"/>
          </reference>
        </references>
      </pivotArea>
    </chartFormat>
    <chartFormat chart="4" format="18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5"/>
          </reference>
        </references>
      </pivotArea>
    </chartFormat>
    <chartFormat chart="4" format="19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6"/>
          </reference>
        </references>
      </pivotArea>
    </chartFormat>
    <chartFormat chart="4" format="2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7"/>
          </reference>
        </references>
      </pivotArea>
    </chartFormat>
    <chartFormat chart="4" format="2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8"/>
          </reference>
        </references>
      </pivotArea>
    </chartFormat>
    <chartFormat chart="4" format="2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9"/>
          </reference>
        </references>
      </pivotArea>
    </chartFormat>
    <chartFormat chart="4" format="2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0"/>
          </reference>
        </references>
      </pivotArea>
    </chartFormat>
    <chartFormat chart="6" format="4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6" format="46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6" format="47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6" format="48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6" format="49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  <chartFormat chart="6" format="5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5"/>
          </reference>
        </references>
      </pivotArea>
    </chartFormat>
    <chartFormat chart="6" format="5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6"/>
          </reference>
        </references>
      </pivotArea>
    </chartFormat>
    <chartFormat chart="6" format="5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7"/>
          </reference>
        </references>
      </pivotArea>
    </chartFormat>
    <chartFormat chart="6" format="5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8"/>
          </reference>
        </references>
      </pivotArea>
    </chartFormat>
    <chartFormat chart="6" format="5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9"/>
          </reference>
        </references>
      </pivotArea>
    </chartFormat>
    <chartFormat chart="6" format="5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0"/>
          </reference>
        </references>
      </pivotArea>
    </chartFormat>
    <chartFormat chart="6" format="56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1"/>
          </reference>
        </references>
      </pivotArea>
    </chartFormat>
    <chartFormat chart="6" format="57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2"/>
          </reference>
        </references>
      </pivotArea>
    </chartFormat>
    <chartFormat chart="6" format="58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3"/>
          </reference>
        </references>
      </pivotArea>
    </chartFormat>
    <chartFormat chart="6" format="59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4"/>
          </reference>
        </references>
      </pivotArea>
    </chartFormat>
    <chartFormat chart="6" format="6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5"/>
          </reference>
        </references>
      </pivotArea>
    </chartFormat>
    <chartFormat chart="6" format="6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6"/>
          </reference>
        </references>
      </pivotArea>
    </chartFormat>
    <chartFormat chart="6" format="6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7"/>
          </reference>
        </references>
      </pivotArea>
    </chartFormat>
    <chartFormat chart="6" format="6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8"/>
          </reference>
        </references>
      </pivotArea>
    </chartFormat>
    <chartFormat chart="6" format="6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9"/>
          </reference>
        </references>
      </pivotArea>
    </chartFormat>
    <chartFormat chart="6" format="6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0"/>
          </reference>
        </references>
      </pivotArea>
    </chartFormat>
    <chartFormat chart="7" format="66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7" format="67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7" format="68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7" format="69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7" format="7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  <chartFormat chart="7" format="7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5"/>
          </reference>
        </references>
      </pivotArea>
    </chartFormat>
    <chartFormat chart="7" format="7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6"/>
          </reference>
        </references>
      </pivotArea>
    </chartFormat>
    <chartFormat chart="7" format="7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7"/>
          </reference>
        </references>
      </pivotArea>
    </chartFormat>
    <chartFormat chart="7" format="7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8"/>
          </reference>
        </references>
      </pivotArea>
    </chartFormat>
    <chartFormat chart="7" format="7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9"/>
          </reference>
        </references>
      </pivotArea>
    </chartFormat>
    <chartFormat chart="7" format="76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0"/>
          </reference>
        </references>
      </pivotArea>
    </chartFormat>
    <chartFormat chart="7" format="77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1"/>
          </reference>
        </references>
      </pivotArea>
    </chartFormat>
    <chartFormat chart="7" format="78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2"/>
          </reference>
        </references>
      </pivotArea>
    </chartFormat>
    <chartFormat chart="7" format="79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3"/>
          </reference>
        </references>
      </pivotArea>
    </chartFormat>
    <chartFormat chart="7" format="8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4"/>
          </reference>
        </references>
      </pivotArea>
    </chartFormat>
    <chartFormat chart="7" format="8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5"/>
          </reference>
        </references>
      </pivotArea>
    </chartFormat>
    <chartFormat chart="7" format="8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6"/>
          </reference>
        </references>
      </pivotArea>
    </chartFormat>
    <chartFormat chart="7" format="8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7"/>
          </reference>
        </references>
      </pivotArea>
    </chartFormat>
    <chartFormat chart="7" format="8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8"/>
          </reference>
        </references>
      </pivotArea>
    </chartFormat>
    <chartFormat chart="7" format="8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9"/>
          </reference>
        </references>
      </pivotArea>
    </chartFormat>
    <chartFormat chart="7" format="86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0"/>
          </reference>
        </references>
      </pivotArea>
    </chartFormat>
    <chartFormat chart="8" format="4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8" format="4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8" format="4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8" format="4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8" format="46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  <chartFormat chart="8" format="47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5"/>
          </reference>
        </references>
      </pivotArea>
    </chartFormat>
    <chartFormat chart="8" format="48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6"/>
          </reference>
        </references>
      </pivotArea>
    </chartFormat>
    <chartFormat chart="8" format="49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7"/>
          </reference>
        </references>
      </pivotArea>
    </chartFormat>
    <chartFormat chart="8" format="5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8"/>
          </reference>
        </references>
      </pivotArea>
    </chartFormat>
    <chartFormat chart="8" format="5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9"/>
          </reference>
        </references>
      </pivotArea>
    </chartFormat>
    <chartFormat chart="8" format="5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0"/>
          </reference>
        </references>
      </pivotArea>
    </chartFormat>
    <chartFormat chart="8" format="5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1"/>
          </reference>
        </references>
      </pivotArea>
    </chartFormat>
    <chartFormat chart="8" format="5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2"/>
          </reference>
        </references>
      </pivotArea>
    </chartFormat>
    <chartFormat chart="8" format="5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3"/>
          </reference>
        </references>
      </pivotArea>
    </chartFormat>
    <chartFormat chart="8" format="56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4"/>
          </reference>
        </references>
      </pivotArea>
    </chartFormat>
    <chartFormat chart="8" format="57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5"/>
          </reference>
        </references>
      </pivotArea>
    </chartFormat>
    <chartFormat chart="8" format="58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6"/>
          </reference>
        </references>
      </pivotArea>
    </chartFormat>
    <chartFormat chart="8" format="59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7"/>
          </reference>
        </references>
      </pivotArea>
    </chartFormat>
    <chartFormat chart="8" format="6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8"/>
          </reference>
        </references>
      </pivotArea>
    </chartFormat>
    <chartFormat chart="8" format="6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9"/>
          </reference>
        </references>
      </pivotArea>
    </chartFormat>
    <chartFormat chart="8" format="6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0"/>
          </reference>
        </references>
      </pivotArea>
    </chartFormat>
    <chartFormat chart="9" format="6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9" format="6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9" format="6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9" format="66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9" format="67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  <chartFormat chart="9" format="68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5"/>
          </reference>
        </references>
      </pivotArea>
    </chartFormat>
    <chartFormat chart="9" format="69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6"/>
          </reference>
        </references>
      </pivotArea>
    </chartFormat>
    <chartFormat chart="9" format="7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7"/>
          </reference>
        </references>
      </pivotArea>
    </chartFormat>
    <chartFormat chart="9" format="7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8"/>
          </reference>
        </references>
      </pivotArea>
    </chartFormat>
    <chartFormat chart="9" format="7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9"/>
          </reference>
        </references>
      </pivotArea>
    </chartFormat>
    <chartFormat chart="9" format="7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0"/>
          </reference>
        </references>
      </pivotArea>
    </chartFormat>
    <chartFormat chart="9" format="7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1"/>
          </reference>
        </references>
      </pivotArea>
    </chartFormat>
    <chartFormat chart="9" format="7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2"/>
          </reference>
        </references>
      </pivotArea>
    </chartFormat>
    <chartFormat chart="9" format="76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3"/>
          </reference>
        </references>
      </pivotArea>
    </chartFormat>
    <chartFormat chart="9" format="77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4"/>
          </reference>
        </references>
      </pivotArea>
    </chartFormat>
    <chartFormat chart="9" format="78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5"/>
          </reference>
        </references>
      </pivotArea>
    </chartFormat>
    <chartFormat chart="9" format="79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6"/>
          </reference>
        </references>
      </pivotArea>
    </chartFormat>
    <chartFormat chart="9" format="8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7"/>
          </reference>
        </references>
      </pivotArea>
    </chartFormat>
    <chartFormat chart="9" format="8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8"/>
          </reference>
        </references>
      </pivotArea>
    </chartFormat>
    <chartFormat chart="9" format="8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9"/>
          </reference>
        </references>
      </pivotArea>
    </chartFormat>
    <chartFormat chart="9" format="8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0"/>
          </reference>
        </references>
      </pivotArea>
    </chartFormat>
    <chartFormat chart="10" format="8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10" format="8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10" format="86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10" format="87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10" format="88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  <chartFormat chart="10" format="89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5"/>
          </reference>
        </references>
      </pivotArea>
    </chartFormat>
    <chartFormat chart="10" format="9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6"/>
          </reference>
        </references>
      </pivotArea>
    </chartFormat>
    <chartFormat chart="10" format="9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7"/>
          </reference>
        </references>
      </pivotArea>
    </chartFormat>
    <chartFormat chart="10" format="9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8"/>
          </reference>
        </references>
      </pivotArea>
    </chartFormat>
    <chartFormat chart="10" format="9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9"/>
          </reference>
        </references>
      </pivotArea>
    </chartFormat>
    <chartFormat chart="10" format="9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0"/>
          </reference>
        </references>
      </pivotArea>
    </chartFormat>
    <chartFormat chart="10" format="9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1"/>
          </reference>
        </references>
      </pivotArea>
    </chartFormat>
    <chartFormat chart="10" format="96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2"/>
          </reference>
        </references>
      </pivotArea>
    </chartFormat>
    <chartFormat chart="10" format="97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3"/>
          </reference>
        </references>
      </pivotArea>
    </chartFormat>
    <chartFormat chart="10" format="98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4"/>
          </reference>
        </references>
      </pivotArea>
    </chartFormat>
    <chartFormat chart="10" format="99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5"/>
          </reference>
        </references>
      </pivotArea>
    </chartFormat>
    <chartFormat chart="10" format="10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6"/>
          </reference>
        </references>
      </pivotArea>
    </chartFormat>
    <chartFormat chart="10" format="10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7"/>
          </reference>
        </references>
      </pivotArea>
    </chartFormat>
    <chartFormat chart="10" format="10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8"/>
          </reference>
        </references>
      </pivotArea>
    </chartFormat>
    <chartFormat chart="10" format="10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9"/>
          </reference>
        </references>
      </pivotArea>
    </chartFormat>
    <chartFormat chart="10" format="10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0"/>
          </reference>
        </references>
      </pivotArea>
    </chartFormat>
    <chartFormat chart="11" format="10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11" format="106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11" format="107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11" format="108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11" format="109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  <chartFormat chart="11" format="11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5"/>
          </reference>
        </references>
      </pivotArea>
    </chartFormat>
    <chartFormat chart="11" format="11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6"/>
          </reference>
        </references>
      </pivotArea>
    </chartFormat>
    <chartFormat chart="11" format="11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7"/>
          </reference>
        </references>
      </pivotArea>
    </chartFormat>
    <chartFormat chart="11" format="11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8"/>
          </reference>
        </references>
      </pivotArea>
    </chartFormat>
    <chartFormat chart="11" format="11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9"/>
          </reference>
        </references>
      </pivotArea>
    </chartFormat>
    <chartFormat chart="11" format="11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0"/>
          </reference>
        </references>
      </pivotArea>
    </chartFormat>
    <chartFormat chart="11" format="116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1"/>
          </reference>
        </references>
      </pivotArea>
    </chartFormat>
    <chartFormat chart="11" format="117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2"/>
          </reference>
        </references>
      </pivotArea>
    </chartFormat>
    <chartFormat chart="11" format="118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3"/>
          </reference>
        </references>
      </pivotArea>
    </chartFormat>
    <chartFormat chart="11" format="119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4"/>
          </reference>
        </references>
      </pivotArea>
    </chartFormat>
    <chartFormat chart="11" format="12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5"/>
          </reference>
        </references>
      </pivotArea>
    </chartFormat>
    <chartFormat chart="11" format="12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6"/>
          </reference>
        </references>
      </pivotArea>
    </chartFormat>
    <chartFormat chart="11" format="12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7"/>
          </reference>
        </references>
      </pivotArea>
    </chartFormat>
    <chartFormat chart="11" format="12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8"/>
          </reference>
        </references>
      </pivotArea>
    </chartFormat>
    <chartFormat chart="11" format="12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9"/>
          </reference>
        </references>
      </pivotArea>
    </chartFormat>
    <chartFormat chart="11" format="12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0BD7222-E264-482F-9D45-753C5289A90D}" name="PivotTable2" cacheId="24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8">
  <location ref="O10:AK15" firstHeaderRow="1" firstDataRow="2" firstDataCol="1"/>
  <pivotFields count="34">
    <pivotField dataField="1" compact="0" outline="0" showAll="0"/>
    <pivotField compact="0" numFmtId="1" outline="0" showAll="0"/>
    <pivotField compact="0" outline="0" showAll="0">
      <items count="5">
        <item x="0"/>
        <item x="1"/>
        <item x="2"/>
        <item x="3"/>
        <item t="default"/>
      </items>
    </pivotField>
    <pivotField axis="axisRow" compact="0" outline="0" showAll="0">
      <items count="9">
        <item h="1" x="3"/>
        <item h="1" x="5"/>
        <item x="1"/>
        <item h="1" x="2"/>
        <item h="1" x="6"/>
        <item x="0"/>
        <item x="7"/>
        <item h="1" x="4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axis="axisCol" compact="0" outline="0" showAll="0">
      <items count="22">
        <item x="13"/>
        <item x="16"/>
        <item x="2"/>
        <item x="17"/>
        <item x="18"/>
        <item x="20"/>
        <item x="11"/>
        <item x="12"/>
        <item x="6"/>
        <item x="15"/>
        <item x="4"/>
        <item x="8"/>
        <item x="7"/>
        <item x="5"/>
        <item x="3"/>
        <item x="14"/>
        <item x="1"/>
        <item x="19"/>
        <item x="9"/>
        <item x="0"/>
        <item x="10"/>
        <item t="default"/>
      </items>
    </pivotField>
    <pivotField compact="0" numFmtId="164" outline="0" showAll="0"/>
    <pivotField compact="0" numFmtId="1" outline="0" showAll="0"/>
    <pivotField compact="0" outline="0" showAll="0"/>
    <pivotField compact="0" outline="0" showAll="0"/>
    <pivotField compact="0" numFmtId="1" outline="0" showAll="0"/>
    <pivotField compact="0" outline="0" showAll="0"/>
    <pivotField compact="0" numFmtId="1" outline="0" showAll="0"/>
    <pivotField compact="0" numFmtId="2" outline="0" showAll="0"/>
    <pivotField compact="0" outline="0" showAll="0"/>
    <pivotField compact="0" outline="0" showAll="0"/>
    <pivotField compact="0" numFmtId="1" outline="0" showAll="0"/>
    <pivotField compact="0" outline="0" showAll="0"/>
    <pivotField compact="0" numFmtId="1" outline="0" showAll="0"/>
    <pivotField compact="0" outline="0" showAll="0"/>
    <pivotField compact="0" outline="0" showAll="0"/>
    <pivotField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" outline="0" showAll="0"/>
  </pivotFields>
  <rowFields count="1">
    <field x="3"/>
  </rowFields>
  <rowItems count="4">
    <i>
      <x v="2"/>
    </i>
    <i>
      <x v="5"/>
    </i>
    <i>
      <x v="6"/>
    </i>
    <i t="grand">
      <x/>
    </i>
  </rowItems>
  <colFields count="1">
    <field x="8"/>
  </colFields>
  <colItems count="2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 t="grand">
      <x/>
    </i>
  </colItems>
  <dataFields count="1">
    <dataField name="Count of Customer_ID" fld="0" subtotal="count" showDataAs="percentOfTotal" baseField="0" baseItem="0" numFmtId="10"/>
  </dataFields>
  <chartFormats count="168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6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7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8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9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0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1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2"/>
          </reference>
        </references>
      </pivotArea>
    </chartFormat>
    <chartFormat chart="0" format="1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3"/>
          </reference>
        </references>
      </pivotArea>
    </chartFormat>
    <chartFormat chart="0" format="1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4"/>
          </reference>
        </references>
      </pivotArea>
    </chartFormat>
    <chartFormat chart="0" format="1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5"/>
          </reference>
        </references>
      </pivotArea>
    </chartFormat>
    <chartFormat chart="0" format="16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6"/>
          </reference>
        </references>
      </pivotArea>
    </chartFormat>
    <chartFormat chart="0" format="17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7"/>
          </reference>
        </references>
      </pivotArea>
    </chartFormat>
    <chartFormat chart="0" format="18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8"/>
          </reference>
        </references>
      </pivotArea>
    </chartFormat>
    <chartFormat chart="0" format="19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9"/>
          </reference>
        </references>
      </pivotArea>
    </chartFormat>
    <chartFormat chart="0" format="2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0"/>
          </reference>
        </references>
      </pivotArea>
    </chartFormat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1" format="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  <chartFormat chart="1" format="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5"/>
          </reference>
        </references>
      </pivotArea>
    </chartFormat>
    <chartFormat chart="1" format="6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6"/>
          </reference>
        </references>
      </pivotArea>
    </chartFormat>
    <chartFormat chart="1" format="7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7"/>
          </reference>
        </references>
      </pivotArea>
    </chartFormat>
    <chartFormat chart="1" format="8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8"/>
          </reference>
        </references>
      </pivotArea>
    </chartFormat>
    <chartFormat chart="1" format="9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9"/>
          </reference>
        </references>
      </pivotArea>
    </chartFormat>
    <chartFormat chart="1" format="1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0"/>
          </reference>
        </references>
      </pivotArea>
    </chartFormat>
    <chartFormat chart="1" format="1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1"/>
          </reference>
        </references>
      </pivotArea>
    </chartFormat>
    <chartFormat chart="1" format="1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2"/>
          </reference>
        </references>
      </pivotArea>
    </chartFormat>
    <chartFormat chart="1" format="1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3"/>
          </reference>
        </references>
      </pivotArea>
    </chartFormat>
    <chartFormat chart="1" format="1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4"/>
          </reference>
        </references>
      </pivotArea>
    </chartFormat>
    <chartFormat chart="1" format="1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5"/>
          </reference>
        </references>
      </pivotArea>
    </chartFormat>
    <chartFormat chart="1" format="16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6"/>
          </reference>
        </references>
      </pivotArea>
    </chartFormat>
    <chartFormat chart="1" format="17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7"/>
          </reference>
        </references>
      </pivotArea>
    </chartFormat>
    <chartFormat chart="1" format="18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8"/>
          </reference>
        </references>
      </pivotArea>
    </chartFormat>
    <chartFormat chart="1" format="19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9"/>
          </reference>
        </references>
      </pivotArea>
    </chartFormat>
    <chartFormat chart="1" format="2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0"/>
          </reference>
        </references>
      </pivotArea>
    </chartFormat>
    <chartFormat chart="2" format="2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2" format="2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2" format="2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2" format="2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2" format="2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  <chartFormat chart="2" format="26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5"/>
          </reference>
        </references>
      </pivotArea>
    </chartFormat>
    <chartFormat chart="2" format="27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6"/>
          </reference>
        </references>
      </pivotArea>
    </chartFormat>
    <chartFormat chart="2" format="28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7"/>
          </reference>
        </references>
      </pivotArea>
    </chartFormat>
    <chartFormat chart="2" format="29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8"/>
          </reference>
        </references>
      </pivotArea>
    </chartFormat>
    <chartFormat chart="2" format="3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9"/>
          </reference>
        </references>
      </pivotArea>
    </chartFormat>
    <chartFormat chart="2" format="3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0"/>
          </reference>
        </references>
      </pivotArea>
    </chartFormat>
    <chartFormat chart="2" format="3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1"/>
          </reference>
        </references>
      </pivotArea>
    </chartFormat>
    <chartFormat chart="2" format="3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2"/>
          </reference>
        </references>
      </pivotArea>
    </chartFormat>
    <chartFormat chart="2" format="3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3"/>
          </reference>
        </references>
      </pivotArea>
    </chartFormat>
    <chartFormat chart="2" format="3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4"/>
          </reference>
        </references>
      </pivotArea>
    </chartFormat>
    <chartFormat chart="2" format="36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5"/>
          </reference>
        </references>
      </pivotArea>
    </chartFormat>
    <chartFormat chart="2" format="37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6"/>
          </reference>
        </references>
      </pivotArea>
    </chartFormat>
    <chartFormat chart="2" format="38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7"/>
          </reference>
        </references>
      </pivotArea>
    </chartFormat>
    <chartFormat chart="2" format="39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8"/>
          </reference>
        </references>
      </pivotArea>
    </chartFormat>
    <chartFormat chart="2" format="4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9"/>
          </reference>
        </references>
      </pivotArea>
    </chartFormat>
    <chartFormat chart="2" format="4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0"/>
          </reference>
        </references>
      </pivotArea>
    </chartFormat>
    <chartFormat chart="3" format="4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3" format="4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3" format="4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3" format="4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3" format="46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  <chartFormat chart="3" format="47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5"/>
          </reference>
        </references>
      </pivotArea>
    </chartFormat>
    <chartFormat chart="3" format="48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6"/>
          </reference>
        </references>
      </pivotArea>
    </chartFormat>
    <chartFormat chart="3" format="49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7"/>
          </reference>
        </references>
      </pivotArea>
    </chartFormat>
    <chartFormat chart="3" format="5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8"/>
          </reference>
        </references>
      </pivotArea>
    </chartFormat>
    <chartFormat chart="3" format="5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9"/>
          </reference>
        </references>
      </pivotArea>
    </chartFormat>
    <chartFormat chart="3" format="5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0"/>
          </reference>
        </references>
      </pivotArea>
    </chartFormat>
    <chartFormat chart="3" format="5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1"/>
          </reference>
        </references>
      </pivotArea>
    </chartFormat>
    <chartFormat chart="3" format="5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2"/>
          </reference>
        </references>
      </pivotArea>
    </chartFormat>
    <chartFormat chart="3" format="5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3"/>
          </reference>
        </references>
      </pivotArea>
    </chartFormat>
    <chartFormat chart="3" format="56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4"/>
          </reference>
        </references>
      </pivotArea>
    </chartFormat>
    <chartFormat chart="3" format="57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5"/>
          </reference>
        </references>
      </pivotArea>
    </chartFormat>
    <chartFormat chart="3" format="58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6"/>
          </reference>
        </references>
      </pivotArea>
    </chartFormat>
    <chartFormat chart="3" format="59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7"/>
          </reference>
        </references>
      </pivotArea>
    </chartFormat>
    <chartFormat chart="3" format="6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8"/>
          </reference>
        </references>
      </pivotArea>
    </chartFormat>
    <chartFormat chart="3" format="6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9"/>
          </reference>
        </references>
      </pivotArea>
    </chartFormat>
    <chartFormat chart="3" format="6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0"/>
          </reference>
        </references>
      </pivotArea>
    </chartFormat>
    <chartFormat chart="4" format="2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4" format="2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4" format="2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4" format="2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4" format="2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  <chartFormat chart="4" format="26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5"/>
          </reference>
        </references>
      </pivotArea>
    </chartFormat>
    <chartFormat chart="4" format="27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6"/>
          </reference>
        </references>
      </pivotArea>
    </chartFormat>
    <chartFormat chart="4" format="28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7"/>
          </reference>
        </references>
      </pivotArea>
    </chartFormat>
    <chartFormat chart="4" format="29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8"/>
          </reference>
        </references>
      </pivotArea>
    </chartFormat>
    <chartFormat chart="4" format="3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9"/>
          </reference>
        </references>
      </pivotArea>
    </chartFormat>
    <chartFormat chart="4" format="3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0"/>
          </reference>
        </references>
      </pivotArea>
    </chartFormat>
    <chartFormat chart="4" format="3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1"/>
          </reference>
        </references>
      </pivotArea>
    </chartFormat>
    <chartFormat chart="4" format="3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2"/>
          </reference>
        </references>
      </pivotArea>
    </chartFormat>
    <chartFormat chart="4" format="3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3"/>
          </reference>
        </references>
      </pivotArea>
    </chartFormat>
    <chartFormat chart="4" format="3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4"/>
          </reference>
        </references>
      </pivotArea>
    </chartFormat>
    <chartFormat chart="4" format="36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5"/>
          </reference>
        </references>
      </pivotArea>
    </chartFormat>
    <chartFormat chart="4" format="37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6"/>
          </reference>
        </references>
      </pivotArea>
    </chartFormat>
    <chartFormat chart="4" format="38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7"/>
          </reference>
        </references>
      </pivotArea>
    </chartFormat>
    <chartFormat chart="4" format="39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8"/>
          </reference>
        </references>
      </pivotArea>
    </chartFormat>
    <chartFormat chart="4" format="4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9"/>
          </reference>
        </references>
      </pivotArea>
    </chartFormat>
    <chartFormat chart="4" format="4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0"/>
          </reference>
        </references>
      </pivotArea>
    </chartFormat>
    <chartFormat chart="5" format="4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5" format="4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5" format="4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5" format="4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5" format="46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  <chartFormat chart="5" format="47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5"/>
          </reference>
        </references>
      </pivotArea>
    </chartFormat>
    <chartFormat chart="5" format="48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6"/>
          </reference>
        </references>
      </pivotArea>
    </chartFormat>
    <chartFormat chart="5" format="49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7"/>
          </reference>
        </references>
      </pivotArea>
    </chartFormat>
    <chartFormat chart="5" format="5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8"/>
          </reference>
        </references>
      </pivotArea>
    </chartFormat>
    <chartFormat chart="5" format="5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9"/>
          </reference>
        </references>
      </pivotArea>
    </chartFormat>
    <chartFormat chart="5" format="5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0"/>
          </reference>
        </references>
      </pivotArea>
    </chartFormat>
    <chartFormat chart="5" format="5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1"/>
          </reference>
        </references>
      </pivotArea>
    </chartFormat>
    <chartFormat chart="5" format="5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2"/>
          </reference>
        </references>
      </pivotArea>
    </chartFormat>
    <chartFormat chart="5" format="5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3"/>
          </reference>
        </references>
      </pivotArea>
    </chartFormat>
    <chartFormat chart="5" format="56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4"/>
          </reference>
        </references>
      </pivotArea>
    </chartFormat>
    <chartFormat chart="5" format="57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5"/>
          </reference>
        </references>
      </pivotArea>
    </chartFormat>
    <chartFormat chart="5" format="58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6"/>
          </reference>
        </references>
      </pivotArea>
    </chartFormat>
    <chartFormat chart="5" format="59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7"/>
          </reference>
        </references>
      </pivotArea>
    </chartFormat>
    <chartFormat chart="5" format="6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8"/>
          </reference>
        </references>
      </pivotArea>
    </chartFormat>
    <chartFormat chart="5" format="6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9"/>
          </reference>
        </references>
      </pivotArea>
    </chartFormat>
    <chartFormat chart="5" format="6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0"/>
          </reference>
        </references>
      </pivotArea>
    </chartFormat>
    <chartFormat chart="6" format="6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6" format="6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6" format="6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6" format="66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6" format="67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  <chartFormat chart="6" format="68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5"/>
          </reference>
        </references>
      </pivotArea>
    </chartFormat>
    <chartFormat chart="6" format="69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6"/>
          </reference>
        </references>
      </pivotArea>
    </chartFormat>
    <chartFormat chart="6" format="7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7"/>
          </reference>
        </references>
      </pivotArea>
    </chartFormat>
    <chartFormat chart="6" format="7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8"/>
          </reference>
        </references>
      </pivotArea>
    </chartFormat>
    <chartFormat chart="6" format="7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9"/>
          </reference>
        </references>
      </pivotArea>
    </chartFormat>
    <chartFormat chart="6" format="7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0"/>
          </reference>
        </references>
      </pivotArea>
    </chartFormat>
    <chartFormat chart="6" format="7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1"/>
          </reference>
        </references>
      </pivotArea>
    </chartFormat>
    <chartFormat chart="6" format="7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2"/>
          </reference>
        </references>
      </pivotArea>
    </chartFormat>
    <chartFormat chart="6" format="76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3"/>
          </reference>
        </references>
      </pivotArea>
    </chartFormat>
    <chartFormat chart="6" format="77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4"/>
          </reference>
        </references>
      </pivotArea>
    </chartFormat>
    <chartFormat chart="6" format="78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5"/>
          </reference>
        </references>
      </pivotArea>
    </chartFormat>
    <chartFormat chart="6" format="79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6"/>
          </reference>
        </references>
      </pivotArea>
    </chartFormat>
    <chartFormat chart="6" format="8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7"/>
          </reference>
        </references>
      </pivotArea>
    </chartFormat>
    <chartFormat chart="6" format="8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8"/>
          </reference>
        </references>
      </pivotArea>
    </chartFormat>
    <chartFormat chart="6" format="8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9"/>
          </reference>
        </references>
      </pivotArea>
    </chartFormat>
    <chartFormat chart="6" format="8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0"/>
          </reference>
        </references>
      </pivotArea>
    </chartFormat>
    <chartFormat chart="7" format="8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7" format="8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7" format="86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7" format="87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7" format="88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  <chartFormat chart="7" format="89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5"/>
          </reference>
        </references>
      </pivotArea>
    </chartFormat>
    <chartFormat chart="7" format="9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6"/>
          </reference>
        </references>
      </pivotArea>
    </chartFormat>
    <chartFormat chart="7" format="9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7"/>
          </reference>
        </references>
      </pivotArea>
    </chartFormat>
    <chartFormat chart="7" format="9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8"/>
          </reference>
        </references>
      </pivotArea>
    </chartFormat>
    <chartFormat chart="7" format="9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9"/>
          </reference>
        </references>
      </pivotArea>
    </chartFormat>
    <chartFormat chart="7" format="9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0"/>
          </reference>
        </references>
      </pivotArea>
    </chartFormat>
    <chartFormat chart="7" format="9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1"/>
          </reference>
        </references>
      </pivotArea>
    </chartFormat>
    <chartFormat chart="7" format="96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2"/>
          </reference>
        </references>
      </pivotArea>
    </chartFormat>
    <chartFormat chart="7" format="97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3"/>
          </reference>
        </references>
      </pivotArea>
    </chartFormat>
    <chartFormat chart="7" format="98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4"/>
          </reference>
        </references>
      </pivotArea>
    </chartFormat>
    <chartFormat chart="7" format="99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5"/>
          </reference>
        </references>
      </pivotArea>
    </chartFormat>
    <chartFormat chart="7" format="10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6"/>
          </reference>
        </references>
      </pivotArea>
    </chartFormat>
    <chartFormat chart="7" format="10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7"/>
          </reference>
        </references>
      </pivotArea>
    </chartFormat>
    <chartFormat chart="7" format="10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8"/>
          </reference>
        </references>
      </pivotArea>
    </chartFormat>
    <chartFormat chart="7" format="10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9"/>
          </reference>
        </references>
      </pivotArea>
    </chartFormat>
    <chartFormat chart="7" format="10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B407B8-668D-4C42-A2E7-0AA51848109B}" name="PivotTable13" cacheId="24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O2:AK8" firstHeaderRow="1" firstDataRow="2" firstDataCol="1"/>
  <pivotFields count="34">
    <pivotField dataField="1" compact="0" outline="0" showAll="0"/>
    <pivotField compact="0" numFmtId="1" outline="0" showAll="0"/>
    <pivotField axis="axisRow" compact="0" outline="0" showAll="0">
      <items count="5">
        <item x="0"/>
        <item x="1"/>
        <item x="2"/>
        <item x="3"/>
        <item t="default"/>
      </items>
    </pivotField>
    <pivotField compact="0" outline="0" showAll="0">
      <items count="9">
        <item x="3"/>
        <item x="5"/>
        <item x="1"/>
        <item x="2"/>
        <item x="6"/>
        <item x="0"/>
        <item x="7"/>
        <item x="4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axis="axisCol" compact="0" outline="0" showAll="0">
      <items count="22">
        <item x="13"/>
        <item x="16"/>
        <item x="2"/>
        <item x="17"/>
        <item x="18"/>
        <item x="20"/>
        <item x="11"/>
        <item x="12"/>
        <item x="6"/>
        <item x="15"/>
        <item x="4"/>
        <item x="8"/>
        <item x="7"/>
        <item x="5"/>
        <item x="3"/>
        <item x="14"/>
        <item x="1"/>
        <item x="19"/>
        <item x="9"/>
        <item x="0"/>
        <item x="10"/>
        <item t="default"/>
      </items>
    </pivotField>
    <pivotField compact="0" numFmtId="164" outline="0" showAll="0"/>
    <pivotField compact="0" numFmtId="1" outline="0" showAll="0"/>
    <pivotField compact="0" outline="0" showAll="0"/>
    <pivotField compact="0" outline="0" showAll="0"/>
    <pivotField compact="0" numFmtId="1" outline="0" showAll="0"/>
    <pivotField compact="0" outline="0" showAll="0"/>
    <pivotField compact="0" numFmtId="1" outline="0" showAll="0"/>
    <pivotField compact="0" numFmtId="2" outline="0" showAll="0"/>
    <pivotField compact="0" outline="0" showAll="0"/>
    <pivotField compact="0" outline="0" showAll="0"/>
    <pivotField compact="0" numFmtId="1" outline="0" showAll="0"/>
    <pivotField compact="0" outline="0" showAll="0"/>
    <pivotField compact="0" numFmtId="1" outline="0" showAll="0"/>
    <pivotField compact="0" outline="0" showAll="0"/>
    <pivotField compact="0" outline="0" showAll="0"/>
    <pivotField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" outline="0"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Fields count="1">
    <field x="8"/>
  </colFields>
  <colItems count="2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 t="grand">
      <x/>
    </i>
  </colItems>
  <dataFields count="1">
    <dataField name="Count of Customer_ID" fld="0" subtotal="count" showDataAs="percentOfTotal" baseField="0" baseItem="0" numFmtId="10"/>
  </dataFields>
  <chartFormats count="105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6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7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8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9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0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1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2"/>
          </reference>
        </references>
      </pivotArea>
    </chartFormat>
    <chartFormat chart="0" format="1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3"/>
          </reference>
        </references>
      </pivotArea>
    </chartFormat>
    <chartFormat chart="0" format="1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4"/>
          </reference>
        </references>
      </pivotArea>
    </chartFormat>
    <chartFormat chart="0" format="1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5"/>
          </reference>
        </references>
      </pivotArea>
    </chartFormat>
    <chartFormat chart="0" format="16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6"/>
          </reference>
        </references>
      </pivotArea>
    </chartFormat>
    <chartFormat chart="0" format="17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7"/>
          </reference>
        </references>
      </pivotArea>
    </chartFormat>
    <chartFormat chart="0" format="18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8"/>
          </reference>
        </references>
      </pivotArea>
    </chartFormat>
    <chartFormat chart="0" format="19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9"/>
          </reference>
        </references>
      </pivotArea>
    </chartFormat>
    <chartFormat chart="0" format="2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0"/>
          </reference>
        </references>
      </pivotArea>
    </chartFormat>
    <chartFormat chart="1" format="2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1" format="2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1" format="2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1" format="2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1" format="2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  <chartFormat chart="1" format="26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5"/>
          </reference>
        </references>
      </pivotArea>
    </chartFormat>
    <chartFormat chart="1" format="27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6"/>
          </reference>
        </references>
      </pivotArea>
    </chartFormat>
    <chartFormat chart="1" format="28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7"/>
          </reference>
        </references>
      </pivotArea>
    </chartFormat>
    <chartFormat chart="1" format="29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8"/>
          </reference>
        </references>
      </pivotArea>
    </chartFormat>
    <chartFormat chart="1" format="3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9"/>
          </reference>
        </references>
      </pivotArea>
    </chartFormat>
    <chartFormat chart="1" format="3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0"/>
          </reference>
        </references>
      </pivotArea>
    </chartFormat>
    <chartFormat chart="1" format="3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1"/>
          </reference>
        </references>
      </pivotArea>
    </chartFormat>
    <chartFormat chart="1" format="3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2"/>
          </reference>
        </references>
      </pivotArea>
    </chartFormat>
    <chartFormat chart="1" format="3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3"/>
          </reference>
        </references>
      </pivotArea>
    </chartFormat>
    <chartFormat chart="1" format="3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4"/>
          </reference>
        </references>
      </pivotArea>
    </chartFormat>
    <chartFormat chart="1" format="36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5"/>
          </reference>
        </references>
      </pivotArea>
    </chartFormat>
    <chartFormat chart="1" format="37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6"/>
          </reference>
        </references>
      </pivotArea>
    </chartFormat>
    <chartFormat chart="1" format="38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7"/>
          </reference>
        </references>
      </pivotArea>
    </chartFormat>
    <chartFormat chart="1" format="39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8"/>
          </reference>
        </references>
      </pivotArea>
    </chartFormat>
    <chartFormat chart="1" format="4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9"/>
          </reference>
        </references>
      </pivotArea>
    </chartFormat>
    <chartFormat chart="1" format="4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0"/>
          </reference>
        </references>
      </pivotArea>
    </chartFormat>
    <chartFormat chart="2" format="4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2" format="4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2" format="4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2" format="4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2" format="46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  <chartFormat chart="2" format="47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5"/>
          </reference>
        </references>
      </pivotArea>
    </chartFormat>
    <chartFormat chart="2" format="48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6"/>
          </reference>
        </references>
      </pivotArea>
    </chartFormat>
    <chartFormat chart="2" format="49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7"/>
          </reference>
        </references>
      </pivotArea>
    </chartFormat>
    <chartFormat chart="2" format="5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8"/>
          </reference>
        </references>
      </pivotArea>
    </chartFormat>
    <chartFormat chart="2" format="5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9"/>
          </reference>
        </references>
      </pivotArea>
    </chartFormat>
    <chartFormat chart="2" format="5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0"/>
          </reference>
        </references>
      </pivotArea>
    </chartFormat>
    <chartFormat chart="2" format="5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1"/>
          </reference>
        </references>
      </pivotArea>
    </chartFormat>
    <chartFormat chart="2" format="5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2"/>
          </reference>
        </references>
      </pivotArea>
    </chartFormat>
    <chartFormat chart="2" format="5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3"/>
          </reference>
        </references>
      </pivotArea>
    </chartFormat>
    <chartFormat chart="2" format="56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4"/>
          </reference>
        </references>
      </pivotArea>
    </chartFormat>
    <chartFormat chart="2" format="57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5"/>
          </reference>
        </references>
      </pivotArea>
    </chartFormat>
    <chartFormat chart="2" format="58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6"/>
          </reference>
        </references>
      </pivotArea>
    </chartFormat>
    <chartFormat chart="2" format="59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7"/>
          </reference>
        </references>
      </pivotArea>
    </chartFormat>
    <chartFormat chart="2" format="6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8"/>
          </reference>
        </references>
      </pivotArea>
    </chartFormat>
    <chartFormat chart="2" format="6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9"/>
          </reference>
        </references>
      </pivotArea>
    </chartFormat>
    <chartFormat chart="2" format="6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0"/>
          </reference>
        </references>
      </pivotArea>
    </chartFormat>
    <chartFormat chart="3" format="6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3" format="6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3" format="6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3" format="66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3" format="67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  <chartFormat chart="3" format="68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5"/>
          </reference>
        </references>
      </pivotArea>
    </chartFormat>
    <chartFormat chart="3" format="69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6"/>
          </reference>
        </references>
      </pivotArea>
    </chartFormat>
    <chartFormat chart="3" format="7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7"/>
          </reference>
        </references>
      </pivotArea>
    </chartFormat>
    <chartFormat chart="3" format="7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8"/>
          </reference>
        </references>
      </pivotArea>
    </chartFormat>
    <chartFormat chart="3" format="7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9"/>
          </reference>
        </references>
      </pivotArea>
    </chartFormat>
    <chartFormat chart="3" format="7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0"/>
          </reference>
        </references>
      </pivotArea>
    </chartFormat>
    <chartFormat chart="3" format="7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1"/>
          </reference>
        </references>
      </pivotArea>
    </chartFormat>
    <chartFormat chart="3" format="7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2"/>
          </reference>
        </references>
      </pivotArea>
    </chartFormat>
    <chartFormat chart="3" format="76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3"/>
          </reference>
        </references>
      </pivotArea>
    </chartFormat>
    <chartFormat chart="3" format="77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4"/>
          </reference>
        </references>
      </pivotArea>
    </chartFormat>
    <chartFormat chart="3" format="78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5"/>
          </reference>
        </references>
      </pivotArea>
    </chartFormat>
    <chartFormat chart="3" format="79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6"/>
          </reference>
        </references>
      </pivotArea>
    </chartFormat>
    <chartFormat chart="3" format="8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7"/>
          </reference>
        </references>
      </pivotArea>
    </chartFormat>
    <chartFormat chart="3" format="8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8"/>
          </reference>
        </references>
      </pivotArea>
    </chartFormat>
    <chartFormat chart="3" format="8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9"/>
          </reference>
        </references>
      </pivotArea>
    </chartFormat>
    <chartFormat chart="3" format="8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0"/>
          </reference>
        </references>
      </pivotArea>
    </chartFormat>
    <chartFormat chart="4" format="8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4" format="8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4" format="86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4" format="87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4" format="88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  <chartFormat chart="4" format="89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5"/>
          </reference>
        </references>
      </pivotArea>
    </chartFormat>
    <chartFormat chart="4" format="9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6"/>
          </reference>
        </references>
      </pivotArea>
    </chartFormat>
    <chartFormat chart="4" format="9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7"/>
          </reference>
        </references>
      </pivotArea>
    </chartFormat>
    <chartFormat chart="4" format="9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8"/>
          </reference>
        </references>
      </pivotArea>
    </chartFormat>
    <chartFormat chart="4" format="9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9"/>
          </reference>
        </references>
      </pivotArea>
    </chartFormat>
    <chartFormat chart="4" format="9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0"/>
          </reference>
        </references>
      </pivotArea>
    </chartFormat>
    <chartFormat chart="4" format="9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1"/>
          </reference>
        </references>
      </pivotArea>
    </chartFormat>
    <chartFormat chart="4" format="96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2"/>
          </reference>
        </references>
      </pivotArea>
    </chartFormat>
    <chartFormat chart="4" format="97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3"/>
          </reference>
        </references>
      </pivotArea>
    </chartFormat>
    <chartFormat chart="4" format="98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4"/>
          </reference>
        </references>
      </pivotArea>
    </chartFormat>
    <chartFormat chart="4" format="99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5"/>
          </reference>
        </references>
      </pivotArea>
    </chartFormat>
    <chartFormat chart="4" format="10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6"/>
          </reference>
        </references>
      </pivotArea>
    </chartFormat>
    <chartFormat chart="4" format="10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7"/>
          </reference>
        </references>
      </pivotArea>
    </chartFormat>
    <chartFormat chart="4" format="10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8"/>
          </reference>
        </references>
      </pivotArea>
    </chartFormat>
    <chartFormat chart="4" format="10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9"/>
          </reference>
        </references>
      </pivotArea>
    </chartFormat>
    <chartFormat chart="4" format="10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34BE1F8-1DBB-4139-980E-51B4607B05CC}" name="PivotTable12" cacheId="24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H2:M20" firstHeaderRow="1" firstDataRow="2" firstDataCol="2"/>
  <pivotFields count="34">
    <pivotField dataField="1" compact="0" outline="0" showAll="0"/>
    <pivotField compact="0" numFmtId="1" outline="0" showAll="0"/>
    <pivotField axis="axisRow" compact="0" outline="0" showAll="0">
      <items count="5">
        <item x="0"/>
        <item x="1"/>
        <item x="2"/>
        <item x="3"/>
        <item t="default"/>
      </items>
    </pivotField>
    <pivotField axis="axisRow" compact="0" outline="0" showAll="0">
      <items count="9">
        <item h="1" x="5"/>
        <item x="1"/>
        <item h="1" x="2"/>
        <item h="1" x="6"/>
        <item x="0"/>
        <item x="7"/>
        <item n="Agender" h="1" x="3"/>
        <item h="1" x="4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64" outline="0" showAll="0"/>
    <pivotField compact="0" numFmtId="1" outline="0" showAll="0"/>
    <pivotField compact="0" outline="0" showAll="0"/>
    <pivotField compact="0" outline="0" showAll="0"/>
    <pivotField compact="0" numFmtId="1" outline="0" showAll="0"/>
    <pivotField compact="0" outline="0" showAll="0"/>
    <pivotField compact="0" numFmtId="1" outline="0" showAll="0"/>
    <pivotField compact="0" numFmtId="2" outline="0" showAll="0"/>
    <pivotField compact="0" outline="0" showAll="0"/>
    <pivotField axis="axisCol" compact="0" outline="0" showAll="0">
      <items count="4">
        <item x="0"/>
        <item x="2"/>
        <item x="1"/>
        <item t="default"/>
      </items>
    </pivotField>
    <pivotField compact="0" numFmtId="1" outline="0" showAll="0"/>
    <pivotField compact="0" outline="0" showAll="0"/>
    <pivotField compact="0" numFmtId="1" outline="0" showAll="0"/>
    <pivotField compact="0" outline="0" showAll="0"/>
    <pivotField compact="0" outline="0" showAll="0"/>
    <pivotField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" outline="0" showAll="0"/>
  </pivotFields>
  <rowFields count="2">
    <field x="2"/>
    <field x="3"/>
  </rowFields>
  <rowItems count="17">
    <i>
      <x/>
      <x v="1"/>
    </i>
    <i r="1">
      <x v="4"/>
    </i>
    <i r="1">
      <x v="5"/>
    </i>
    <i t="default">
      <x/>
    </i>
    <i>
      <x v="1"/>
      <x v="1"/>
    </i>
    <i r="1">
      <x v="4"/>
    </i>
    <i r="1">
      <x v="5"/>
    </i>
    <i t="default">
      <x v="1"/>
    </i>
    <i>
      <x v="2"/>
      <x v="1"/>
    </i>
    <i r="1">
      <x v="4"/>
    </i>
    <i r="1">
      <x v="5"/>
    </i>
    <i t="default">
      <x v="2"/>
    </i>
    <i>
      <x v="3"/>
      <x v="1"/>
    </i>
    <i r="1">
      <x v="4"/>
    </i>
    <i r="1">
      <x v="5"/>
    </i>
    <i t="default">
      <x v="3"/>
    </i>
    <i t="grand">
      <x/>
    </i>
  </rowItems>
  <colFields count="1">
    <field x="18"/>
  </colFields>
  <colItems count="4">
    <i>
      <x/>
    </i>
    <i>
      <x v="1"/>
    </i>
    <i>
      <x v="2"/>
    </i>
    <i t="grand">
      <x/>
    </i>
  </colItems>
  <dataFields count="1">
    <dataField name="Count of Customer_ID" fld="0" subtotal="count" showDataAs="percentOfTotal" baseField="0" baseItem="0" numFmtId="10"/>
  </dataFields>
  <chartFormats count="15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2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0"/>
          </reference>
        </references>
      </pivotArea>
    </chartFormat>
    <chartFormat chart="1" format="4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1"/>
          </reference>
        </references>
      </pivotArea>
    </chartFormat>
    <chartFormat chart="1" format="5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2"/>
          </reference>
        </references>
      </pivotArea>
    </chartFormat>
    <chartFormat chart="2" format="6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0"/>
          </reference>
        </references>
      </pivotArea>
    </chartFormat>
    <chartFormat chart="2" format="7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1"/>
          </reference>
        </references>
      </pivotArea>
    </chartFormat>
    <chartFormat chart="2" format="8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2"/>
          </reference>
        </references>
      </pivotArea>
    </chartFormat>
    <chartFormat chart="3" format="9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0"/>
          </reference>
        </references>
      </pivotArea>
    </chartFormat>
    <chartFormat chart="3" format="10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1"/>
          </reference>
        </references>
      </pivotArea>
    </chartFormat>
    <chartFormat chart="3" format="11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2"/>
          </reference>
        </references>
      </pivotArea>
    </chartFormat>
    <chartFormat chart="4" format="12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0"/>
          </reference>
        </references>
      </pivotArea>
    </chartFormat>
    <chartFormat chart="4" format="13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1"/>
          </reference>
        </references>
      </pivotArea>
    </chartFormat>
    <chartFormat chart="4" format="14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C36AF9A-E4CB-452B-9622-A2630D36D650}" name="Table2" displayName="Table2" ref="A1:AH1001" totalsRowShown="0">
  <autoFilter ref="A1:AH1001" xr:uid="{FC36AF9A-E4CB-452B-9622-A2630D36D650}"/>
  <sortState xmlns:xlrd2="http://schemas.microsoft.com/office/spreadsheetml/2017/richdata2" ref="A2:AH1001">
    <sortCondition ref="Z1:Z1001"/>
  </sortState>
  <tableColumns count="34">
    <tableColumn id="1" xr3:uid="{C68E932D-D725-4523-9A20-A6C6FC4A8C8A}" name="Customer_ID" dataDxfId="33"/>
    <tableColumn id="2" xr3:uid="{2D5FABDA-D0E8-495A-9D14-6795CEFCD4F1}" name="Age" dataDxfId="32"/>
    <tableColumn id="7" xr3:uid="{459CAAE2-D634-4A27-B9D2-BEACEF822FC0}" name="Age_Group" dataDxfId="31">
      <calculatedColumnFormula array="1">_xlfn.IFS(B2&gt;65,"+65",B2&gt;54,"55-65",B2&gt;44,"45-54",B2&gt;35,"36-44",B2&gt;25,"26-35",B2&gt;=18,"18-25")</calculatedColumnFormula>
    </tableColumn>
    <tableColumn id="3" xr3:uid="{25763035-E319-49F7-A983-09FCE71952E2}" name="Gender" dataDxfId="30"/>
    <tableColumn id="4" xr3:uid="{2590AA81-4479-4C02-A35F-68AF1C0A3D87}" name="Income_Level" dataDxfId="29"/>
    <tableColumn id="5" xr3:uid="{3F08261C-3A86-4494-A12C-B7846CFD10B4}" name="Marital_Status" dataDxfId="28"/>
    <tableColumn id="6" xr3:uid="{3E9312C9-19BC-46FD-B46B-B59A3C49AA81}" name="Education_Level" dataDxfId="27"/>
    <tableColumn id="8" xr3:uid="{A8C0DBF7-8EF2-49B7-B828-3663625CA2FA}" name="Location" dataDxfId="26"/>
    <tableColumn id="9" xr3:uid="{74C16928-3B56-4D12-A3B4-05F89B8A212B}" name="Purchase_Category" dataDxfId="25"/>
    <tableColumn id="10" xr3:uid="{D0167C95-34C4-4686-AD2D-2AD196B78BCD}" name="Purchase_Amount" dataDxfId="24"/>
    <tableColumn id="11" xr3:uid="{DB98CCF3-A749-4006-B2A8-F9DA0A44C058}" name="Frequency_of_Purchase" dataDxfId="23"/>
    <tableColumn id="30" xr3:uid="{478E2594-8E3A-4293-A579-78C865601F34}" name="High_Value_Customer" dataDxfId="22">
      <calculatedColumnFormula>IF(AND(J2&gt;350,K2&gt;6), "True","False")</calculatedColumnFormula>
    </tableColumn>
    <tableColumn id="12" xr3:uid="{F443CDF0-00B2-4836-9609-34CF4E3EEC2D}" name="Purchase_Channel" dataDxfId="21"/>
    <tableColumn id="13" xr3:uid="{0D3525E9-396E-482D-B3B0-67ADC7063BA9}" name="Brand_Loyalty" dataDxfId="20"/>
    <tableColumn id="34" xr3:uid="{E37779AE-90CB-47BD-984C-70927C99B2BF}" name="Product_Rating_Level" dataDxfId="19">
      <calculatedColumnFormula array="1">_xlfn.IFS(P2&lt;=2,"Poor",P2=3,"Average",P2&gt;=4,"Good")</calculatedColumnFormula>
    </tableColumn>
    <tableColumn id="14" xr3:uid="{B11CC500-5DB6-4DD2-A0EB-390F5EE2CD5F}" name="Product_Rating" dataDxfId="18"/>
    <tableColumn id="15" xr3:uid="{783DE5E8-05F3-43D9-BDFD-A81BF94FF023}" name="Time_Spent_on_Product_Research(hours)" dataDxfId="17"/>
    <tableColumn id="16" xr3:uid="{FBDEC43D-D1D9-45E6-8EE9-FE4EA556A40C}" name="Social_Media_Influence" dataDxfId="16"/>
    <tableColumn id="17" xr3:uid="{D4774077-42B7-4922-88E5-DA53360CEB2F}" name="Discount_Sensitivity" dataDxfId="15"/>
    <tableColumn id="18" xr3:uid="{F9A890A1-20AF-451E-A6CB-71AAA3323BE8}" name="Number_of_returned_products" dataDxfId="14"/>
    <tableColumn id="32" xr3:uid="{56E59097-AAAF-4882-A6E6-9F17A3253D6C}" name="Cx_Satisfaction_Level" dataDxfId="13">
      <calculatedColumnFormula array="1">_xlfn.IFS(V2&lt;=4, "Dissatisfied",V2&lt;=7,"Neutral",V2&gt;=8,"Satisfied")</calculatedColumnFormula>
    </tableColumn>
    <tableColumn id="19" xr3:uid="{BF2BBE9B-B231-4A23-916C-F4D4A2228073}" name="Customer_Satisfaction" dataDxfId="12"/>
    <tableColumn id="20" xr3:uid="{06A91D6E-B0D5-4105-8AB7-41AC2B05C2D0}" name="Engagement_with_Ads" dataDxfId="11"/>
    <tableColumn id="21" xr3:uid="{AE573CDD-7B78-4E6E-8576-9C48C5B4896C}" name="Device_Used_for_Shopping" dataDxfId="10"/>
    <tableColumn id="22" xr3:uid="{A1221332-A2F0-4EC4-861C-EC84CE1DB697}" name="Payment_Method" dataDxfId="9"/>
    <tableColumn id="23" xr3:uid="{3F99B9C3-726F-44EB-A1EE-921DA6632A2E}" name="Time_of_Purchase" dataDxfId="8"/>
    <tableColumn id="31" xr3:uid="{6E8F29E6-BBE9-4B6A-8AC9-32269F701D43}" name="Season" dataDxfId="7">
      <calculatedColumnFormula array="1">_xlfn.IFS(OR(AB2="December", AB2="February", AB2="January"), "Winter", OR(AB2="March", AB2="April", AB2="May"), "Spring", OR(AB2="June", AB2="July", AB2="August"), "Summer", TRUE, "Autumn")</calculatedColumnFormula>
    </tableColumn>
    <tableColumn id="29" xr3:uid="{FF2CDB5D-33F0-4EF2-A9CA-D1A5D20CA2B1}" name="Month" dataDxfId="6">
      <calculatedColumnFormula>TEXT(Z2, "mmmm")</calculatedColumnFormula>
    </tableColumn>
    <tableColumn id="33" xr3:uid="{97DCFAC5-4135-443E-94C1-46162538E68A}" name="Weekday" dataDxfId="5">
      <calculatedColumnFormula>TEXT(Z2, "dddd")</calculatedColumnFormula>
    </tableColumn>
    <tableColumn id="24" xr3:uid="{2D60C5CC-2155-4927-9B9C-50BA148DA3DF}" name="Discount_Used" dataDxfId="4"/>
    <tableColumn id="25" xr3:uid="{28F5F169-0A45-4C2B-A696-790788580A50}" name="Customer_Loyalty_Program_Member" dataDxfId="3"/>
    <tableColumn id="26" xr3:uid="{46D7CCD8-D273-4C3D-B7CC-CCF59D226D40}" name="Purchase_Intent" dataDxfId="2"/>
    <tableColumn id="27" xr3:uid="{6F578ABD-1821-46D3-BC4C-2324B47F8D56}" name="Shipping_Preference" dataDxfId="1"/>
    <tableColumn id="28" xr3:uid="{F33F4028-AA66-45F6-8F58-914EDEE9E504}" name="Time_to_Decision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5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6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8.xml"/><Relationship Id="rId2" Type="http://schemas.openxmlformats.org/officeDocument/2006/relationships/pivotTable" Target="../pivotTables/pivotTable8.xml"/><Relationship Id="rId1" Type="http://schemas.openxmlformats.org/officeDocument/2006/relationships/pivotTable" Target="../pivotTables/pivotTable7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ivotTable" Target="../pivotTables/pivotTable9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2.xml"/><Relationship Id="rId7" Type="http://schemas.openxmlformats.org/officeDocument/2006/relationships/drawing" Target="../drawings/drawing10.xml"/><Relationship Id="rId2" Type="http://schemas.openxmlformats.org/officeDocument/2006/relationships/pivotTable" Target="../pivotTables/pivotTable11.xml"/><Relationship Id="rId1" Type="http://schemas.openxmlformats.org/officeDocument/2006/relationships/pivotTable" Target="../pivotTables/pivotTable10.xml"/><Relationship Id="rId6" Type="http://schemas.openxmlformats.org/officeDocument/2006/relationships/pivotTable" Target="../pivotTables/pivotTable15.xml"/><Relationship Id="rId5" Type="http://schemas.openxmlformats.org/officeDocument/2006/relationships/pivotTable" Target="../pivotTables/pivotTable14.xml"/><Relationship Id="rId4" Type="http://schemas.openxmlformats.org/officeDocument/2006/relationships/pivotTable" Target="../pivotTables/pivotTable13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ivotTable" Target="../pivotTables/pivotTable16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9.xml"/><Relationship Id="rId2" Type="http://schemas.openxmlformats.org/officeDocument/2006/relationships/pivotTable" Target="../pivotTables/pivotTable18.xml"/><Relationship Id="rId1" Type="http://schemas.openxmlformats.org/officeDocument/2006/relationships/pivotTable" Target="../pivotTables/pivotTable17.xml"/><Relationship Id="rId6" Type="http://schemas.openxmlformats.org/officeDocument/2006/relationships/drawing" Target="../drawings/drawing12.xml"/><Relationship Id="rId5" Type="http://schemas.openxmlformats.org/officeDocument/2006/relationships/pivotTable" Target="../pivotTables/pivotTable21.xml"/><Relationship Id="rId4" Type="http://schemas.openxmlformats.org/officeDocument/2006/relationships/pivotTable" Target="../pivotTables/pivotTable2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7F3258-119E-40C1-85B4-DDE634280B47}">
  <dimension ref="A1:AW190"/>
  <sheetViews>
    <sheetView showGridLines="0" showRowColHeaders="0" tabSelected="1" workbookViewId="0">
      <selection activeCell="U4" sqref="U4"/>
    </sheetView>
  </sheetViews>
  <sheetFormatPr defaultRowHeight="15"/>
  <cols>
    <col min="1" max="1" width="36.5703125" bestFit="1" customWidth="1"/>
    <col min="3" max="3" width="29.85546875" bestFit="1" customWidth="1"/>
    <col min="5" max="5" width="56" customWidth="1"/>
    <col min="6" max="6" width="9" customWidth="1"/>
    <col min="7" max="7" width="36.5703125" bestFit="1" customWidth="1"/>
    <col min="9" max="9" width="36.5703125" bestFit="1" customWidth="1"/>
    <col min="11" max="11" width="36.5703125" bestFit="1" customWidth="1"/>
    <col min="13" max="13" width="36.5703125" bestFit="1" customWidth="1"/>
    <col min="15" max="15" width="62.42578125" customWidth="1"/>
    <col min="17" max="17" width="36.5703125" bestFit="1" customWidth="1"/>
    <col min="18" max="18" width="11.7109375" bestFit="1" customWidth="1"/>
    <col min="27" max="27" width="4.140625" style="22" customWidth="1"/>
  </cols>
  <sheetData>
    <row r="1" spans="1:33" s="22" customFormat="1" ht="59.25" customHeight="1">
      <c r="A1" s="30" t="s">
        <v>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  <c r="AA1" s="30"/>
      <c r="AB1" s="24"/>
      <c r="AC1" s="24"/>
      <c r="AD1" s="24"/>
      <c r="AE1" s="24"/>
      <c r="AF1" s="24"/>
      <c r="AG1" s="24"/>
    </row>
    <row r="2" spans="1:33" s="12" customFormat="1" ht="38.25" customHeight="1">
      <c r="A2" s="20"/>
      <c r="B2" s="20"/>
      <c r="C2" s="20"/>
      <c r="D2" s="20"/>
      <c r="E2" s="20"/>
      <c r="AA2" s="21"/>
    </row>
    <row r="3" spans="1:33" ht="15.75" customHeight="1">
      <c r="A3" s="14"/>
      <c r="B3" s="14"/>
      <c r="C3" s="14"/>
      <c r="D3" s="14"/>
      <c r="E3" s="14"/>
      <c r="R3" s="2"/>
      <c r="AA3" s="13"/>
    </row>
    <row r="4" spans="1:33" ht="79.5" customHeight="1">
      <c r="A4" s="15" t="s">
        <v>1</v>
      </c>
      <c r="B4" s="14"/>
      <c r="C4" s="15" t="s">
        <v>2</v>
      </c>
      <c r="D4" s="14"/>
      <c r="E4" s="16" t="s">
        <v>3</v>
      </c>
      <c r="G4" s="16" t="s">
        <v>4</v>
      </c>
      <c r="I4" s="16" t="s">
        <v>5</v>
      </c>
      <c r="K4" s="16" t="s">
        <v>6</v>
      </c>
      <c r="M4" s="16" t="s">
        <v>7</v>
      </c>
      <c r="O4" s="16" t="s">
        <v>8</v>
      </c>
      <c r="Q4" s="16" t="s">
        <v>9</v>
      </c>
      <c r="R4" s="5"/>
      <c r="AA4" s="13"/>
    </row>
    <row r="5" spans="1:33" ht="21">
      <c r="A5" s="19">
        <f>AVERAGE(Table2[Purchase_Amount])</f>
        <v>275.06387999999947</v>
      </c>
      <c r="C5" s="19">
        <f>SUM(Table2[Purchase_Amount])</f>
        <v>275063.87999999948</v>
      </c>
      <c r="E5" s="17">
        <f>MEDIAN(Table2[Frequency_of_Purchase])</f>
        <v>7</v>
      </c>
      <c r="G5" s="17">
        <f>AVERAGE(Table2[Brand_Loyalty])</f>
        <v>3.0259999999999998</v>
      </c>
      <c r="I5" s="17">
        <f>AVERAGE(Table2[Product_Rating])</f>
        <v>3.0329999999999999</v>
      </c>
      <c r="K5" s="17">
        <f>AVERAGE(Table2[Time_to_Decision])</f>
        <v>7.5469999999999997</v>
      </c>
      <c r="M5" s="18">
        <f>SUM(Table2[Number_of_returned_products])</f>
        <v>954</v>
      </c>
      <c r="O5" s="17">
        <f>AVERAGE(Table2[Customer_Satisfaction])</f>
        <v>5.399</v>
      </c>
      <c r="Q5" s="17">
        <f>COUNTA(Table2[Customer_ID])</f>
        <v>1000</v>
      </c>
      <c r="AA5" s="13"/>
    </row>
    <row r="6" spans="1:33">
      <c r="R6" s="2"/>
      <c r="AA6" s="13"/>
    </row>
    <row r="7" spans="1:33">
      <c r="AA7" s="13"/>
    </row>
    <row r="8" spans="1:33" ht="6.75" customHeight="1">
      <c r="AA8" s="13"/>
    </row>
    <row r="9" spans="1:33" s="22" customFormat="1" ht="69" customHeight="1">
      <c r="A9" s="28" t="s">
        <v>10</v>
      </c>
      <c r="B9" s="29"/>
      <c r="C9" s="29"/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13"/>
      <c r="V9" s="13"/>
      <c r="W9" s="13"/>
      <c r="X9" s="13"/>
      <c r="Y9" s="13"/>
      <c r="Z9" s="13"/>
      <c r="AA9" s="13"/>
    </row>
    <row r="10" spans="1:33">
      <c r="AA10" s="13"/>
    </row>
    <row r="11" spans="1:33">
      <c r="AA11" s="13"/>
    </row>
    <row r="12" spans="1:33">
      <c r="AA12" s="13"/>
    </row>
    <row r="13" spans="1:33">
      <c r="AA13" s="13"/>
    </row>
    <row r="14" spans="1:33">
      <c r="AA14" s="13"/>
    </row>
    <row r="15" spans="1:33">
      <c r="AA15" s="13"/>
    </row>
    <row r="16" spans="1:33">
      <c r="AA16" s="13"/>
    </row>
    <row r="17" spans="1:33">
      <c r="AA17" s="13"/>
    </row>
    <row r="18" spans="1:33">
      <c r="AA18" s="13"/>
    </row>
    <row r="19" spans="1:33">
      <c r="AA19" s="13"/>
    </row>
    <row r="20" spans="1:33">
      <c r="AA20" s="13"/>
    </row>
    <row r="21" spans="1:33">
      <c r="AA21" s="13"/>
    </row>
    <row r="22" spans="1:33">
      <c r="AA22" s="13"/>
    </row>
    <row r="23" spans="1:33">
      <c r="AA23" s="13"/>
    </row>
    <row r="24" spans="1:33">
      <c r="AA24" s="13"/>
    </row>
    <row r="25" spans="1:33">
      <c r="AA25" s="13"/>
    </row>
    <row r="26" spans="1:33">
      <c r="AA26" s="13"/>
    </row>
    <row r="27" spans="1:33">
      <c r="AA27" s="13"/>
    </row>
    <row r="28" spans="1:33">
      <c r="AA28" s="13"/>
    </row>
    <row r="29" spans="1:33">
      <c r="AA29" s="13"/>
    </row>
    <row r="30" spans="1:33" s="22" customFormat="1" ht="94.5" customHeight="1">
      <c r="A30" s="28" t="s">
        <v>11</v>
      </c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3"/>
      <c r="AC30" s="23"/>
      <c r="AD30" s="23"/>
      <c r="AE30" s="23"/>
      <c r="AF30" s="23"/>
      <c r="AG30" s="23"/>
    </row>
    <row r="31" spans="1:33">
      <c r="AA31" s="13"/>
    </row>
    <row r="32" spans="1:33">
      <c r="AA32" s="13"/>
    </row>
    <row r="33" spans="27:27">
      <c r="AA33" s="13"/>
    </row>
    <row r="34" spans="27:27">
      <c r="AA34" s="13"/>
    </row>
    <row r="35" spans="27:27">
      <c r="AA35" s="13"/>
    </row>
    <row r="36" spans="27:27">
      <c r="AA36" s="13"/>
    </row>
    <row r="37" spans="27:27">
      <c r="AA37" s="13"/>
    </row>
    <row r="38" spans="27:27">
      <c r="AA38" s="13"/>
    </row>
    <row r="39" spans="27:27">
      <c r="AA39" s="13"/>
    </row>
    <row r="40" spans="27:27">
      <c r="AA40" s="13"/>
    </row>
    <row r="41" spans="27:27">
      <c r="AA41" s="13"/>
    </row>
    <row r="42" spans="27:27">
      <c r="AA42" s="13"/>
    </row>
    <row r="43" spans="27:27">
      <c r="AA43" s="13"/>
    </row>
    <row r="44" spans="27:27">
      <c r="AA44" s="13"/>
    </row>
    <row r="45" spans="27:27">
      <c r="AA45" s="13"/>
    </row>
    <row r="46" spans="27:27">
      <c r="AA46" s="13"/>
    </row>
    <row r="47" spans="27:27">
      <c r="AA47" s="13"/>
    </row>
    <row r="48" spans="27:27">
      <c r="AA48" s="13"/>
    </row>
    <row r="49" spans="1:32">
      <c r="AA49" s="13"/>
    </row>
    <row r="50" spans="1:32">
      <c r="AA50" s="13"/>
    </row>
    <row r="51" spans="1:32">
      <c r="AA51" s="13"/>
    </row>
    <row r="52" spans="1:32">
      <c r="AA52" s="13"/>
    </row>
    <row r="53" spans="1:32">
      <c r="AA53" s="13"/>
    </row>
    <row r="54" spans="1:32" s="22" customFormat="1" ht="66" customHeight="1">
      <c r="A54" s="28" t="s">
        <v>12</v>
      </c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  <c r="AA54" s="28"/>
      <c r="AB54" s="23"/>
      <c r="AC54" s="23"/>
      <c r="AD54" s="23"/>
      <c r="AE54" s="23"/>
      <c r="AF54" s="23"/>
    </row>
    <row r="55" spans="1:32">
      <c r="AA55" s="13"/>
    </row>
    <row r="56" spans="1:32">
      <c r="AA56" s="13"/>
    </row>
    <row r="57" spans="1:32">
      <c r="AA57" s="13"/>
    </row>
    <row r="58" spans="1:32">
      <c r="AA58" s="13"/>
    </row>
    <row r="59" spans="1:32">
      <c r="AA59" s="13"/>
    </row>
    <row r="60" spans="1:32">
      <c r="AA60" s="13"/>
    </row>
    <row r="61" spans="1:32">
      <c r="AA61" s="13"/>
    </row>
    <row r="62" spans="1:32">
      <c r="AA62" s="13"/>
    </row>
    <row r="63" spans="1:32">
      <c r="AA63" s="13"/>
    </row>
    <row r="64" spans="1:32">
      <c r="AA64" s="13"/>
    </row>
    <row r="65" spans="1:49">
      <c r="AA65" s="13"/>
    </row>
    <row r="66" spans="1:49">
      <c r="AA66" s="13"/>
    </row>
    <row r="67" spans="1:49">
      <c r="AA67" s="13"/>
    </row>
    <row r="68" spans="1:49">
      <c r="AA68" s="13"/>
    </row>
    <row r="69" spans="1:49">
      <c r="AA69" s="13"/>
    </row>
    <row r="70" spans="1:49">
      <c r="AA70" s="13"/>
    </row>
    <row r="71" spans="1:49">
      <c r="AA71" s="13"/>
    </row>
    <row r="72" spans="1:49">
      <c r="AA72" s="13"/>
    </row>
    <row r="73" spans="1:49">
      <c r="AA73" s="13"/>
    </row>
    <row r="74" spans="1:49">
      <c r="AA74" s="13"/>
    </row>
    <row r="75" spans="1:49" s="22" customFormat="1" ht="54" customHeight="1">
      <c r="A75" s="31" t="s">
        <v>13</v>
      </c>
      <c r="B75" s="31"/>
      <c r="C75" s="31"/>
      <c r="D75" s="31"/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  <c r="AA75" s="31"/>
      <c r="AB75" s="25"/>
      <c r="AC75" s="25"/>
      <c r="AD75" s="25"/>
      <c r="AE75" s="25"/>
      <c r="AF75" s="25"/>
      <c r="AG75" s="25"/>
      <c r="AH75" s="25"/>
      <c r="AI75" s="25"/>
      <c r="AJ75" s="25"/>
      <c r="AK75" s="25"/>
      <c r="AL75" s="25"/>
      <c r="AM75" s="25"/>
      <c r="AN75" s="25"/>
      <c r="AO75" s="25"/>
      <c r="AP75" s="25"/>
      <c r="AQ75" s="25"/>
      <c r="AR75" s="25"/>
      <c r="AS75" s="25"/>
      <c r="AT75" s="25"/>
      <c r="AU75" s="25"/>
      <c r="AV75" s="25"/>
      <c r="AW75" s="25"/>
    </row>
    <row r="76" spans="1:49">
      <c r="AA76" s="13"/>
    </row>
    <row r="77" spans="1:49">
      <c r="AA77" s="13"/>
    </row>
    <row r="78" spans="1:49">
      <c r="AA78" s="13"/>
    </row>
    <row r="79" spans="1:49">
      <c r="AA79" s="13"/>
    </row>
    <row r="80" spans="1:49">
      <c r="AA80" s="13"/>
    </row>
    <row r="81" spans="27:27">
      <c r="AA81" s="13"/>
    </row>
    <row r="82" spans="27:27">
      <c r="AA82" s="13"/>
    </row>
    <row r="83" spans="27:27">
      <c r="AA83" s="13"/>
    </row>
    <row r="84" spans="27:27">
      <c r="AA84" s="13"/>
    </row>
    <row r="85" spans="27:27">
      <c r="AA85" s="13"/>
    </row>
    <row r="86" spans="27:27">
      <c r="AA86" s="13"/>
    </row>
    <row r="87" spans="27:27">
      <c r="AA87" s="13"/>
    </row>
    <row r="88" spans="27:27">
      <c r="AA88" s="13"/>
    </row>
    <row r="89" spans="27:27">
      <c r="AA89" s="13"/>
    </row>
    <row r="90" spans="27:27">
      <c r="AA90" s="13"/>
    </row>
    <row r="91" spans="27:27">
      <c r="AA91" s="13"/>
    </row>
    <row r="92" spans="27:27">
      <c r="AA92" s="13"/>
    </row>
    <row r="93" spans="27:27">
      <c r="AA93" s="13"/>
    </row>
    <row r="94" spans="27:27">
      <c r="AA94" s="13"/>
    </row>
    <row r="95" spans="27:27">
      <c r="AA95" s="13"/>
    </row>
    <row r="96" spans="27:27">
      <c r="AA96" s="13"/>
    </row>
    <row r="97" spans="1:44">
      <c r="AA97" s="13"/>
    </row>
    <row r="98" spans="1:44">
      <c r="AA98" s="13"/>
    </row>
    <row r="99" spans="1:44">
      <c r="AA99" s="13"/>
    </row>
    <row r="100" spans="1:44">
      <c r="AA100" s="13"/>
    </row>
    <row r="101" spans="1:44">
      <c r="AA101" s="13"/>
    </row>
    <row r="102" spans="1:44">
      <c r="AA102" s="13"/>
    </row>
    <row r="103" spans="1:44">
      <c r="AA103" s="13"/>
    </row>
    <row r="104" spans="1:44" s="22" customFormat="1" ht="51" customHeight="1">
      <c r="A104" s="31" t="s">
        <v>14</v>
      </c>
      <c r="B104" s="31"/>
      <c r="C104" s="31"/>
      <c r="D104" s="31"/>
      <c r="E104" s="31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  <c r="AA104" s="31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  <c r="AM104" s="26"/>
      <c r="AN104" s="26"/>
      <c r="AO104" s="26"/>
      <c r="AP104" s="26"/>
      <c r="AQ104" s="26"/>
      <c r="AR104" s="26"/>
    </row>
    <row r="105" spans="1:44">
      <c r="AA105" s="13"/>
    </row>
    <row r="106" spans="1:44">
      <c r="AA106" s="13"/>
    </row>
    <row r="107" spans="1:44">
      <c r="AA107" s="13"/>
    </row>
    <row r="108" spans="1:44">
      <c r="AA108" s="13"/>
    </row>
    <row r="109" spans="1:44">
      <c r="AA109" s="13"/>
    </row>
    <row r="110" spans="1:44">
      <c r="AA110" s="13"/>
    </row>
    <row r="111" spans="1:44">
      <c r="AA111" s="13"/>
    </row>
    <row r="112" spans="1:44">
      <c r="AA112" s="13"/>
    </row>
    <row r="113" spans="27:27">
      <c r="AA113" s="13"/>
    </row>
    <row r="114" spans="27:27">
      <c r="AA114" s="13"/>
    </row>
    <row r="115" spans="27:27">
      <c r="AA115" s="13"/>
    </row>
    <row r="116" spans="27:27">
      <c r="AA116" s="13"/>
    </row>
    <row r="117" spans="27:27">
      <c r="AA117" s="13"/>
    </row>
    <row r="118" spans="27:27">
      <c r="AA118" s="13"/>
    </row>
    <row r="119" spans="27:27">
      <c r="AA119" s="13"/>
    </row>
    <row r="120" spans="27:27">
      <c r="AA120" s="13"/>
    </row>
    <row r="121" spans="27:27">
      <c r="AA121" s="13"/>
    </row>
    <row r="122" spans="27:27">
      <c r="AA122" s="13"/>
    </row>
    <row r="123" spans="27:27">
      <c r="AA123" s="13"/>
    </row>
    <row r="124" spans="27:27">
      <c r="AA124" s="13"/>
    </row>
    <row r="125" spans="27:27">
      <c r="AA125" s="13"/>
    </row>
    <row r="126" spans="27:27">
      <c r="AA126" s="13"/>
    </row>
    <row r="127" spans="27:27">
      <c r="AA127" s="13"/>
    </row>
    <row r="128" spans="27:27">
      <c r="AA128" s="13"/>
    </row>
    <row r="129" spans="27:27">
      <c r="AA129" s="13"/>
    </row>
    <row r="130" spans="27:27">
      <c r="AA130" s="13"/>
    </row>
    <row r="131" spans="27:27">
      <c r="AA131" s="13"/>
    </row>
    <row r="132" spans="27:27">
      <c r="AA132" s="13"/>
    </row>
    <row r="133" spans="27:27">
      <c r="AA133" s="13"/>
    </row>
    <row r="134" spans="27:27">
      <c r="AA134" s="13"/>
    </row>
    <row r="135" spans="27:27">
      <c r="AA135" s="13"/>
    </row>
    <row r="136" spans="27:27">
      <c r="AA136" s="13"/>
    </row>
    <row r="137" spans="27:27">
      <c r="AA137" s="13"/>
    </row>
    <row r="138" spans="27:27">
      <c r="AA138" s="13"/>
    </row>
    <row r="139" spans="27:27">
      <c r="AA139" s="13"/>
    </row>
    <row r="140" spans="27:27">
      <c r="AA140" s="13"/>
    </row>
    <row r="141" spans="27:27">
      <c r="AA141" s="13"/>
    </row>
    <row r="142" spans="27:27">
      <c r="AA142" s="13"/>
    </row>
    <row r="143" spans="27:27">
      <c r="AA143" s="13"/>
    </row>
    <row r="144" spans="27:27">
      <c r="AA144" s="13"/>
    </row>
    <row r="145" spans="27:27">
      <c r="AA145" s="13"/>
    </row>
    <row r="146" spans="27:27">
      <c r="AA146" s="13"/>
    </row>
    <row r="147" spans="27:27">
      <c r="AA147" s="13"/>
    </row>
    <row r="148" spans="27:27">
      <c r="AA148" s="13"/>
    </row>
    <row r="149" spans="27:27">
      <c r="AA149" s="13"/>
    </row>
    <row r="150" spans="27:27">
      <c r="AA150" s="13"/>
    </row>
    <row r="151" spans="27:27">
      <c r="AA151" s="13"/>
    </row>
    <row r="152" spans="27:27">
      <c r="AA152" s="13"/>
    </row>
    <row r="153" spans="27:27">
      <c r="AA153" s="13"/>
    </row>
    <row r="154" spans="27:27">
      <c r="AA154" s="13"/>
    </row>
    <row r="155" spans="27:27">
      <c r="AA155" s="13"/>
    </row>
    <row r="156" spans="27:27">
      <c r="AA156" s="13"/>
    </row>
    <row r="157" spans="27:27">
      <c r="AA157" s="13"/>
    </row>
    <row r="158" spans="27:27">
      <c r="AA158" s="13"/>
    </row>
    <row r="159" spans="27:27">
      <c r="AA159" s="13"/>
    </row>
    <row r="160" spans="27:27">
      <c r="AA160" s="13"/>
    </row>
    <row r="161" spans="1:27">
      <c r="AA161" s="13"/>
    </row>
    <row r="162" spans="1:27">
      <c r="AA162" s="13"/>
    </row>
    <row r="163" spans="1:27">
      <c r="AA163" s="13"/>
    </row>
    <row r="164" spans="1:27">
      <c r="AA164" s="13"/>
    </row>
    <row r="165" spans="1:27">
      <c r="AA165" s="13"/>
    </row>
    <row r="166" spans="1:27">
      <c r="AA166" s="13"/>
    </row>
    <row r="167" spans="1:27">
      <c r="AA167" s="13"/>
    </row>
    <row r="168" spans="1:27">
      <c r="AA168" s="13"/>
    </row>
    <row r="169" spans="1:27">
      <c r="AA169" s="13"/>
    </row>
    <row r="170" spans="1:27">
      <c r="AA170" s="13"/>
    </row>
    <row r="171" spans="1:27">
      <c r="AA171" s="13"/>
    </row>
    <row r="172" spans="1:27" ht="22.5" customHeight="1">
      <c r="AA172" s="13"/>
    </row>
    <row r="173" spans="1:27" s="22" customFormat="1" ht="54.75" customHeight="1">
      <c r="A173" s="32"/>
      <c r="B173" s="32"/>
      <c r="C173" s="32"/>
      <c r="D173" s="32"/>
      <c r="E173" s="32"/>
      <c r="F173" s="32"/>
      <c r="G173" s="32"/>
      <c r="H173" s="32"/>
      <c r="I173" s="32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2"/>
      <c r="V173" s="32"/>
      <c r="W173" s="32"/>
      <c r="X173" s="32"/>
      <c r="Y173" s="32"/>
      <c r="Z173" s="32"/>
      <c r="AA173" s="32"/>
    </row>
    <row r="190" spans="28:32">
      <c r="AB190" s="27"/>
      <c r="AC190" s="27"/>
      <c r="AD190" s="27"/>
      <c r="AE190" s="27"/>
      <c r="AF190" s="12"/>
    </row>
  </sheetData>
  <mergeCells count="8">
    <mergeCell ref="AB190:AE190"/>
    <mergeCell ref="A9:T9"/>
    <mergeCell ref="A30:AA30"/>
    <mergeCell ref="A1:AA1"/>
    <mergeCell ref="A54:AA54"/>
    <mergeCell ref="A75:AA75"/>
    <mergeCell ref="A104:AA104"/>
    <mergeCell ref="A173:AA17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E2CB4-D441-4F99-BE49-4D192D34EDF1}">
  <dimension ref="A1:AH1001"/>
  <sheetViews>
    <sheetView topLeftCell="H1" workbookViewId="0">
      <selection activeCell="Z1003" sqref="Z1003"/>
    </sheetView>
  </sheetViews>
  <sheetFormatPr defaultRowHeight="15"/>
  <cols>
    <col min="1" max="1" width="14.7109375" style="4" bestFit="1" customWidth="1"/>
    <col min="2" max="2" width="6.5703125" style="3" bestFit="1" customWidth="1"/>
    <col min="3" max="3" width="13.140625" style="4" bestFit="1" customWidth="1"/>
    <col min="4" max="4" width="12.7109375" style="4" bestFit="1" customWidth="1"/>
    <col min="5" max="5" width="15.42578125" style="4" bestFit="1" customWidth="1"/>
    <col min="6" max="6" width="16.28515625" style="4" bestFit="1" customWidth="1"/>
    <col min="7" max="7" width="17.7109375" style="4" bestFit="1" customWidth="1"/>
    <col min="8" max="8" width="27" style="4" bestFit="1" customWidth="1"/>
    <col min="9" max="9" width="25.28515625" style="5" bestFit="1" customWidth="1"/>
    <col min="10" max="10" width="19.5703125" style="4" bestFit="1" customWidth="1"/>
    <col min="11" max="11" width="24.42578125" style="4" bestFit="1" customWidth="1"/>
    <col min="12" max="12" width="23" style="3" bestFit="1" customWidth="1"/>
    <col min="13" max="13" width="19.5703125" style="3" bestFit="1" customWidth="1"/>
    <col min="14" max="14" width="16" style="4" bestFit="1" customWidth="1"/>
    <col min="15" max="15" width="22.5703125" style="4" bestFit="1" customWidth="1"/>
    <col min="16" max="16" width="16.85546875" style="4" bestFit="1" customWidth="1"/>
    <col min="17" max="17" width="40.7109375" style="3" bestFit="1" customWidth="1"/>
    <col min="18" max="18" width="24.42578125" style="3" bestFit="1" customWidth="1"/>
    <col min="19" max="19" width="21.28515625" style="4" bestFit="1" customWidth="1"/>
    <col min="20" max="20" width="31.140625" style="4" bestFit="1" customWidth="1"/>
    <col min="21" max="21" width="22.42578125" style="4" bestFit="1" customWidth="1"/>
    <col min="22" max="22" width="23.28515625" style="1" bestFit="1" customWidth="1"/>
    <col min="23" max="23" width="23.7109375" style="4" bestFit="1" customWidth="1"/>
    <col min="24" max="24" width="27.7109375" style="4" bestFit="1" customWidth="1"/>
    <col min="25" max="25" width="19.28515625" style="4" bestFit="1" customWidth="1"/>
    <col min="26" max="26" width="19.5703125" style="3" bestFit="1" customWidth="1"/>
    <col min="27" max="27" width="9.42578125" bestFit="1" customWidth="1"/>
    <col min="28" max="28" width="10.7109375" bestFit="1" customWidth="1"/>
    <col min="29" max="29" width="11.42578125" bestFit="1" customWidth="1"/>
    <col min="30" max="30" width="16.5703125" bestFit="1" customWidth="1"/>
    <col min="31" max="31" width="36.7109375" bestFit="1" customWidth="1"/>
    <col min="32" max="32" width="17.7109375" bestFit="1" customWidth="1"/>
    <col min="33" max="33" width="21.5703125" bestFit="1" customWidth="1"/>
    <col min="34" max="34" width="19.140625" bestFit="1" customWidth="1"/>
  </cols>
  <sheetData>
    <row r="1" spans="1:34">
      <c r="A1" s="4" t="s">
        <v>15</v>
      </c>
      <c r="B1" s="3" t="s">
        <v>16</v>
      </c>
      <c r="C1" s="9" t="s">
        <v>17</v>
      </c>
      <c r="D1" s="4" t="s">
        <v>18</v>
      </c>
      <c r="E1" s="4" t="s">
        <v>19</v>
      </c>
      <c r="F1" s="4" t="s">
        <v>20</v>
      </c>
      <c r="G1" s="4" t="s">
        <v>21</v>
      </c>
      <c r="H1" s="4" t="s">
        <v>22</v>
      </c>
      <c r="I1" s="4" t="s">
        <v>23</v>
      </c>
      <c r="J1" s="5" t="s">
        <v>24</v>
      </c>
      <c r="K1" s="3" t="s">
        <v>25</v>
      </c>
      <c r="L1" s="4" t="s">
        <v>26</v>
      </c>
      <c r="M1" s="4" t="s">
        <v>27</v>
      </c>
      <c r="N1" s="3" t="s">
        <v>28</v>
      </c>
      <c r="O1" s="4" t="s">
        <v>29</v>
      </c>
      <c r="P1" s="3" t="s">
        <v>30</v>
      </c>
      <c r="Q1" s="2" t="s">
        <v>31</v>
      </c>
      <c r="R1" s="4" t="s">
        <v>32</v>
      </c>
      <c r="S1" s="4" t="s">
        <v>33</v>
      </c>
      <c r="T1" s="3" t="s">
        <v>34</v>
      </c>
      <c r="U1" s="4" t="s">
        <v>35</v>
      </c>
      <c r="V1" s="3" t="s">
        <v>36</v>
      </c>
      <c r="W1" s="4" t="s">
        <v>37</v>
      </c>
      <c r="X1" s="4" t="s">
        <v>38</v>
      </c>
      <c r="Y1" s="4" t="s">
        <v>39</v>
      </c>
      <c r="Z1" s="1" t="s">
        <v>40</v>
      </c>
      <c r="AA1" s="4" t="s">
        <v>41</v>
      </c>
      <c r="AB1" s="1" t="s">
        <v>42</v>
      </c>
      <c r="AC1" s="6" t="s">
        <v>43</v>
      </c>
      <c r="AD1" s="4" t="s">
        <v>44</v>
      </c>
      <c r="AE1" s="4" t="s">
        <v>45</v>
      </c>
      <c r="AF1" s="4" t="s">
        <v>46</v>
      </c>
      <c r="AG1" s="4" t="s">
        <v>47</v>
      </c>
      <c r="AH1" s="3" t="s">
        <v>48</v>
      </c>
    </row>
    <row r="2" spans="1:34">
      <c r="A2" s="4" t="s">
        <v>49</v>
      </c>
      <c r="B2" s="3">
        <v>34</v>
      </c>
      <c r="C2" s="9" t="str" cm="1">
        <f t="array" ref="C2">_xlfn.IFS(B2&gt;65,"+65",B2&gt;54,"55-65",B2&gt;44,"45-54",B2&gt;35,"36-44",B2&gt;25,"26-35",B2&gt;=18,"18-25")</f>
        <v>26-35</v>
      </c>
      <c r="D2" s="4" t="s">
        <v>50</v>
      </c>
      <c r="E2" s="4" t="s">
        <v>51</v>
      </c>
      <c r="F2" s="4" t="s">
        <v>52</v>
      </c>
      <c r="G2" s="4" t="s">
        <v>53</v>
      </c>
      <c r="H2" s="4" t="s">
        <v>54</v>
      </c>
      <c r="I2" s="4" t="s">
        <v>55</v>
      </c>
      <c r="J2" s="5">
        <v>297.29000000000002</v>
      </c>
      <c r="K2" s="3">
        <v>9</v>
      </c>
      <c r="L2" s="4" t="str">
        <f>IF(AND(J2&gt;350,K2&gt;6), "True","False")</f>
        <v>False</v>
      </c>
      <c r="M2" s="4" t="s">
        <v>56</v>
      </c>
      <c r="N2" s="3">
        <v>5</v>
      </c>
      <c r="O2" s="4" t="str" cm="1">
        <f t="array" ref="O2">_xlfn.IFS(P2&lt;=2,"Poor",P2=3,"Average",P2&gt;=4,"Good")</f>
        <v>Good</v>
      </c>
      <c r="P2" s="3">
        <v>4</v>
      </c>
      <c r="Q2" s="2">
        <v>2</v>
      </c>
      <c r="R2" s="4" t="s">
        <v>57</v>
      </c>
      <c r="S2" s="4" t="s">
        <v>58</v>
      </c>
      <c r="T2" s="3">
        <v>0</v>
      </c>
      <c r="U2" s="4" t="str" cm="1">
        <f t="array" ref="U2">_xlfn.IFS(V2&lt;=4, "Dissatisfied",V2&lt;=7,"Neutral",V2&gt;=8,"Satisfied")</f>
        <v>Satisfied</v>
      </c>
      <c r="V2" s="3">
        <v>9</v>
      </c>
      <c r="W2" s="4" t="s">
        <v>59</v>
      </c>
      <c r="X2" s="4" t="s">
        <v>60</v>
      </c>
      <c r="Y2" s="4" t="s">
        <v>61</v>
      </c>
      <c r="Z2" s="1">
        <v>45292</v>
      </c>
      <c r="AA2" s="4" t="str" cm="1">
        <f t="array" ref="AA2">_xlfn.IFS(OR(AB2="December", AB2="February", AB2="January"), "Winter", OR(AB2="March", AB2="April", AB2="May"), "Spring", OR(AB2="June", AB2="July", AB2="August"), "Summer", TRUE, "Autumn")</f>
        <v>Winter</v>
      </c>
      <c r="AB2" s="7" t="str">
        <f>TEXT(Z2, "mmmm")</f>
        <v>January</v>
      </c>
      <c r="AC2" s="1" t="str">
        <f>TEXT(Z2, "dddd")</f>
        <v>Monday</v>
      </c>
      <c r="AD2" s="4" t="s">
        <v>62</v>
      </c>
      <c r="AE2" s="4" t="s">
        <v>62</v>
      </c>
      <c r="AF2" s="4" t="s">
        <v>63</v>
      </c>
      <c r="AG2" s="4" t="s">
        <v>64</v>
      </c>
      <c r="AH2" s="3">
        <v>3</v>
      </c>
    </row>
    <row r="3" spans="1:34">
      <c r="A3" s="4" t="s">
        <v>65</v>
      </c>
      <c r="B3" s="3">
        <v>35</v>
      </c>
      <c r="C3" s="9" t="str" cm="1">
        <f t="array" ref="C3">_xlfn.IFS(B3&gt;65,"+65",B3&gt;54,"55-65",B3&gt;44,"45-54",B3&gt;35,"36-44",B3&gt;25,"26-35",B3&gt;=18,"18-25")</f>
        <v>26-35</v>
      </c>
      <c r="D3" s="4" t="s">
        <v>66</v>
      </c>
      <c r="E3" s="4" t="s">
        <v>51</v>
      </c>
      <c r="F3" s="4" t="s">
        <v>67</v>
      </c>
      <c r="G3" s="4" t="s">
        <v>68</v>
      </c>
      <c r="H3" s="4" t="s">
        <v>69</v>
      </c>
      <c r="I3" s="4" t="s">
        <v>70</v>
      </c>
      <c r="J3" s="5">
        <v>251.93</v>
      </c>
      <c r="K3" s="3">
        <v>8</v>
      </c>
      <c r="L3" s="4" t="str">
        <f>IF(AND(J3&gt;350,K3&gt;6), "True","False")</f>
        <v>False</v>
      </c>
      <c r="M3" s="4" t="s">
        <v>71</v>
      </c>
      <c r="N3" s="3">
        <v>3</v>
      </c>
      <c r="O3" s="4" t="str" cm="1">
        <f t="array" ref="O3">_xlfn.IFS(P3&lt;=2,"Poor",P3=3,"Average",P3&gt;=4,"Good")</f>
        <v>Poor</v>
      </c>
      <c r="P3" s="3">
        <v>2</v>
      </c>
      <c r="Q3" s="2">
        <v>1</v>
      </c>
      <c r="R3" s="4" t="s">
        <v>72</v>
      </c>
      <c r="S3" s="4" t="s">
        <v>73</v>
      </c>
      <c r="T3" s="3">
        <v>2</v>
      </c>
      <c r="U3" s="4" t="str" cm="1">
        <f t="array" ref="U3">_xlfn.IFS(V3&lt;=4, "Dissatisfied",V3&lt;=7,"Neutral",V3&gt;=8,"Satisfied")</f>
        <v>Dissatisfied</v>
      </c>
      <c r="V3" s="3">
        <v>3</v>
      </c>
      <c r="W3" s="4" t="s">
        <v>57</v>
      </c>
      <c r="X3" s="4" t="s">
        <v>74</v>
      </c>
      <c r="Y3" s="4" t="s">
        <v>75</v>
      </c>
      <c r="Z3" s="1">
        <v>45293</v>
      </c>
      <c r="AA3" s="4" t="str" cm="1">
        <f t="array" ref="AA3">_xlfn.IFS(OR(AB3="December", AB3="February", AB3="January"), "Winter", OR(AB3="March", AB3="April", AB3="May"), "Spring", OR(AB3="June", AB3="July", AB3="August"), "Summer", TRUE, "Autumn")</f>
        <v>Winter</v>
      </c>
      <c r="AB3" s="7" t="str">
        <f>TEXT(Z3, "mmmm")</f>
        <v>January</v>
      </c>
      <c r="AC3" s="1" t="str">
        <f>TEXT(Z3, "dddd")</f>
        <v>Tuesday</v>
      </c>
      <c r="AD3" s="4" t="s">
        <v>76</v>
      </c>
      <c r="AE3" s="4" t="s">
        <v>76</v>
      </c>
      <c r="AF3" s="4" t="s">
        <v>63</v>
      </c>
      <c r="AG3" s="4" t="s">
        <v>64</v>
      </c>
      <c r="AH3" s="3">
        <v>7</v>
      </c>
    </row>
    <row r="4" spans="1:34">
      <c r="A4" s="4" t="s">
        <v>77</v>
      </c>
      <c r="B4" s="3">
        <v>28</v>
      </c>
      <c r="C4" s="9" t="str" cm="1">
        <f t="array" ref="C4">_xlfn.IFS(B4&gt;65,"+65",B4&gt;54,"55-65",B4&gt;44,"45-54",B4&gt;35,"36-44",B4&gt;25,"26-35",B4&gt;=18,"18-25")</f>
        <v>26-35</v>
      </c>
      <c r="D4" s="4" t="s">
        <v>78</v>
      </c>
      <c r="E4" s="4" t="s">
        <v>72</v>
      </c>
      <c r="F4" s="4" t="s">
        <v>79</v>
      </c>
      <c r="G4" s="4" t="s">
        <v>80</v>
      </c>
      <c r="H4" s="4" t="s">
        <v>81</v>
      </c>
      <c r="I4" s="4" t="s">
        <v>82</v>
      </c>
      <c r="J4" s="5">
        <v>240.82</v>
      </c>
      <c r="K4" s="3">
        <v>10</v>
      </c>
      <c r="L4" s="4" t="str">
        <f>IF(AND(J4&gt;350,K4&gt;6), "True","False")</f>
        <v>False</v>
      </c>
      <c r="M4" s="4" t="s">
        <v>83</v>
      </c>
      <c r="N4" s="3">
        <v>1</v>
      </c>
      <c r="O4" s="4" t="str" cm="1">
        <f t="array" ref="O4">_xlfn.IFS(P4&lt;=2,"Poor",P4=3,"Average",P4&gt;=4,"Good")</f>
        <v>Average</v>
      </c>
      <c r="P4" s="3">
        <v>3</v>
      </c>
      <c r="Q4" s="2">
        <v>2</v>
      </c>
      <c r="R4" s="4" t="s">
        <v>72</v>
      </c>
      <c r="S4" s="4" t="s">
        <v>84</v>
      </c>
      <c r="T4" s="3">
        <v>0</v>
      </c>
      <c r="U4" s="4" t="str" cm="1">
        <f t="array" ref="U4">_xlfn.IFS(V4&lt;=4, "Dissatisfied",V4&lt;=7,"Neutral",V4&gt;=8,"Satisfied")</f>
        <v>Dissatisfied</v>
      </c>
      <c r="V4" s="3">
        <v>3</v>
      </c>
      <c r="W4" s="4" t="s">
        <v>85</v>
      </c>
      <c r="X4" s="4" t="s">
        <v>74</v>
      </c>
      <c r="Y4" s="4" t="s">
        <v>86</v>
      </c>
      <c r="Z4" s="1">
        <v>45293</v>
      </c>
      <c r="AA4" s="4" t="str" cm="1">
        <f t="array" ref="AA4">_xlfn.IFS(OR(AB4="December", AB4="February", AB4="January"), "Winter", OR(AB4="March", AB4="April", AB4="May"), "Spring", OR(AB4="June", AB4="July", AB4="August"), "Summer", TRUE, "Autumn")</f>
        <v>Winter</v>
      </c>
      <c r="AB4" s="7" t="str">
        <f>TEXT(Z4, "mmmm")</f>
        <v>January</v>
      </c>
      <c r="AC4" s="1" t="str">
        <f>TEXT(Z4, "dddd")</f>
        <v>Tuesday</v>
      </c>
      <c r="AD4" s="4" t="s">
        <v>62</v>
      </c>
      <c r="AE4" s="4" t="s">
        <v>76</v>
      </c>
      <c r="AF4" s="4" t="s">
        <v>87</v>
      </c>
      <c r="AG4" s="4" t="s">
        <v>88</v>
      </c>
      <c r="AH4" s="3">
        <v>8</v>
      </c>
    </row>
    <row r="5" spans="1:34">
      <c r="A5" s="4" t="s">
        <v>89</v>
      </c>
      <c r="B5" s="3">
        <v>21</v>
      </c>
      <c r="C5" s="9" t="str" cm="1">
        <f t="array" ref="C5">_xlfn.IFS(B5&gt;65,"+65",B5&gt;54,"55-65",B5&gt;44,"45-54",B5&gt;35,"36-44",B5&gt;25,"26-35",B5&gt;=18,"18-25")</f>
        <v>18-25</v>
      </c>
      <c r="D5" s="4" t="s">
        <v>66</v>
      </c>
      <c r="E5" s="4" t="s">
        <v>72</v>
      </c>
      <c r="F5" s="4" t="s">
        <v>79</v>
      </c>
      <c r="G5" s="4" t="s">
        <v>68</v>
      </c>
      <c r="H5" s="4" t="s">
        <v>90</v>
      </c>
      <c r="I5" s="4" t="s">
        <v>91</v>
      </c>
      <c r="J5" s="5">
        <v>281.37</v>
      </c>
      <c r="K5" s="3">
        <v>12</v>
      </c>
      <c r="L5" s="4" t="str">
        <f>IF(AND(J5&gt;350,K5&gt;6), "True","False")</f>
        <v>False</v>
      </c>
      <c r="M5" s="4" t="s">
        <v>56</v>
      </c>
      <c r="N5" s="3">
        <v>2</v>
      </c>
      <c r="O5" s="4" t="str" cm="1">
        <f t="array" ref="O5">_xlfn.IFS(P5&lt;=2,"Poor",P5=3,"Average",P5&gt;=4,"Good")</f>
        <v>Average</v>
      </c>
      <c r="P5" s="3">
        <v>3</v>
      </c>
      <c r="Q5" s="2">
        <v>2</v>
      </c>
      <c r="R5" s="4" t="s">
        <v>59</v>
      </c>
      <c r="S5" s="4" t="s">
        <v>73</v>
      </c>
      <c r="T5" s="3">
        <v>0</v>
      </c>
      <c r="U5" s="4" t="str" cm="1">
        <f t="array" ref="U5">_xlfn.IFS(V5&lt;=4, "Dissatisfied",V5&lt;=7,"Neutral",V5&gt;=8,"Satisfied")</f>
        <v>Dissatisfied</v>
      </c>
      <c r="V5" s="3">
        <v>2</v>
      </c>
      <c r="W5" s="4" t="s">
        <v>59</v>
      </c>
      <c r="X5" s="4" t="s">
        <v>60</v>
      </c>
      <c r="Y5" s="4" t="s">
        <v>75</v>
      </c>
      <c r="Z5" s="1">
        <v>45293</v>
      </c>
      <c r="AA5" s="4" t="str" cm="1">
        <f t="array" ref="AA5">_xlfn.IFS(OR(AB5="December", AB5="February", AB5="January"), "Winter", OR(AB5="March", AB5="April", AB5="May"), "Spring", OR(AB5="June", AB5="July", AB5="August"), "Summer", TRUE, "Autumn")</f>
        <v>Winter</v>
      </c>
      <c r="AB5" s="7" t="str">
        <f>TEXT(Z5, "mmmm")</f>
        <v>January</v>
      </c>
      <c r="AC5" s="1" t="str">
        <f>TEXT(Z5, "dddd")</f>
        <v>Tuesday</v>
      </c>
      <c r="AD5" s="4" t="s">
        <v>76</v>
      </c>
      <c r="AE5" s="4" t="s">
        <v>62</v>
      </c>
      <c r="AF5" s="4" t="s">
        <v>92</v>
      </c>
      <c r="AG5" s="4" t="s">
        <v>93</v>
      </c>
      <c r="AH5" s="3">
        <v>14</v>
      </c>
    </row>
    <row r="6" spans="1:34">
      <c r="A6" s="4" t="s">
        <v>94</v>
      </c>
      <c r="B6" s="3">
        <v>19</v>
      </c>
      <c r="C6" s="9" t="str" cm="1">
        <f t="array" ref="C6">_xlfn.IFS(B6&gt;65,"+65",B6&gt;54,"55-65",B6&gt;44,"45-54",B6&gt;35,"36-44",B6&gt;25,"26-35",B6&gt;=18,"18-25")</f>
        <v>18-25</v>
      </c>
      <c r="D6" s="4" t="s">
        <v>66</v>
      </c>
      <c r="E6" s="4" t="s">
        <v>51</v>
      </c>
      <c r="F6" s="4" t="s">
        <v>95</v>
      </c>
      <c r="G6" s="4" t="s">
        <v>68</v>
      </c>
      <c r="H6" s="4" t="s">
        <v>96</v>
      </c>
      <c r="I6" s="4" t="s">
        <v>97</v>
      </c>
      <c r="J6" s="5">
        <v>64.22</v>
      </c>
      <c r="K6" s="3">
        <v>9</v>
      </c>
      <c r="L6" s="4" t="str">
        <f>IF(AND(J6&gt;350,K6&gt;6), "True","False")</f>
        <v>False</v>
      </c>
      <c r="M6" s="4" t="s">
        <v>56</v>
      </c>
      <c r="N6" s="3">
        <v>1</v>
      </c>
      <c r="O6" s="4" t="str" cm="1">
        <f t="array" ref="O6">_xlfn.IFS(P6&lt;=2,"Poor",P6=3,"Average",P6&gt;=4,"Good")</f>
        <v>Poor</v>
      </c>
      <c r="P6" s="3">
        <v>1</v>
      </c>
      <c r="Q6" s="2">
        <v>2</v>
      </c>
      <c r="R6" s="4" t="s">
        <v>72</v>
      </c>
      <c r="S6" s="4" t="s">
        <v>84</v>
      </c>
      <c r="T6" s="3">
        <v>1</v>
      </c>
      <c r="U6" s="4" t="str" cm="1">
        <f t="array" ref="U6">_xlfn.IFS(V6&lt;=4, "Dissatisfied",V6&lt;=7,"Neutral",V6&gt;=8,"Satisfied")</f>
        <v>Satisfied</v>
      </c>
      <c r="V6" s="3">
        <v>9</v>
      </c>
      <c r="W6" s="4" t="s">
        <v>85</v>
      </c>
      <c r="X6" s="4" t="s">
        <v>60</v>
      </c>
      <c r="Y6" s="4" t="s">
        <v>86</v>
      </c>
      <c r="Z6" s="1">
        <v>45293</v>
      </c>
      <c r="AA6" s="4" t="str" cm="1">
        <f t="array" ref="AA6">_xlfn.IFS(OR(AB6="December", AB6="February", AB6="January"), "Winter", OR(AB6="March", AB6="April", AB6="May"), "Spring", OR(AB6="June", AB6="July", AB6="August"), "Summer", TRUE, "Autumn")</f>
        <v>Winter</v>
      </c>
      <c r="AB6" s="7" t="str">
        <f>TEXT(Z6, "mmmm")</f>
        <v>January</v>
      </c>
      <c r="AC6" s="1" t="str">
        <f>TEXT(Z6, "dddd")</f>
        <v>Tuesday</v>
      </c>
      <c r="AD6" s="4" t="s">
        <v>62</v>
      </c>
      <c r="AE6" s="4" t="s">
        <v>76</v>
      </c>
      <c r="AF6" s="4" t="s">
        <v>92</v>
      </c>
      <c r="AG6" s="4" t="s">
        <v>88</v>
      </c>
      <c r="AH6" s="3">
        <v>10</v>
      </c>
    </row>
    <row r="7" spans="1:34">
      <c r="A7" s="4" t="s">
        <v>98</v>
      </c>
      <c r="B7" s="3">
        <v>18</v>
      </c>
      <c r="C7" s="10" t="str" cm="1">
        <f t="array" ref="C7">_xlfn.IFS(B7&gt;65,"+65",B7&gt;54,"55-65",B7&gt;44,"45-54",B7&gt;35,"36-44",B7&gt;25,"26-35",B7&gt;=18,"18-25")</f>
        <v>18-25</v>
      </c>
      <c r="D7" s="4" t="s">
        <v>66</v>
      </c>
      <c r="E7" s="4" t="s">
        <v>51</v>
      </c>
      <c r="F7" s="4" t="s">
        <v>95</v>
      </c>
      <c r="G7" s="4" t="s">
        <v>53</v>
      </c>
      <c r="H7" s="4" t="s">
        <v>99</v>
      </c>
      <c r="I7" s="4" t="s">
        <v>100</v>
      </c>
      <c r="J7" s="5">
        <v>149.41999999999999</v>
      </c>
      <c r="K7" s="3">
        <v>3</v>
      </c>
      <c r="L7" s="4" t="str">
        <f>IF(AND(J7&gt;350,K7&gt;6), "True","False")</f>
        <v>False</v>
      </c>
      <c r="M7" s="4" t="s">
        <v>83</v>
      </c>
      <c r="N7" s="3">
        <v>1</v>
      </c>
      <c r="O7" s="4" t="str" cm="1">
        <f t="array" ref="O7">_xlfn.IFS(P7&lt;=2,"Poor",P7=3,"Average",P7&gt;=4,"Good")</f>
        <v>Poor</v>
      </c>
      <c r="P7" s="3">
        <v>1</v>
      </c>
      <c r="Q7" s="2">
        <v>2</v>
      </c>
      <c r="R7" s="4" t="s">
        <v>85</v>
      </c>
      <c r="S7" s="4" t="s">
        <v>73</v>
      </c>
      <c r="T7" s="3">
        <v>0</v>
      </c>
      <c r="U7" s="4" t="str" cm="1">
        <f t="array" ref="U7">_xlfn.IFS(V7&lt;=4, "Dissatisfied",V7&lt;=7,"Neutral",V7&gt;=8,"Satisfied")</f>
        <v>Neutral</v>
      </c>
      <c r="V7" s="3">
        <v>6</v>
      </c>
      <c r="W7" s="4" t="s">
        <v>57</v>
      </c>
      <c r="X7" s="4" t="s">
        <v>101</v>
      </c>
      <c r="Y7" s="4" t="s">
        <v>61</v>
      </c>
      <c r="Z7" s="1">
        <v>45294</v>
      </c>
      <c r="AA7" s="4" t="str" cm="1">
        <f t="array" ref="AA7">_xlfn.IFS(OR(AB7="December", AB7="February", AB7="January"), "Winter", OR(AB7="March", AB7="April", AB7="May"), "Spring", OR(AB7="June", AB7="July", AB7="August"), "Summer", TRUE, "Autumn")</f>
        <v>Winter</v>
      </c>
      <c r="AB7" s="7" t="str">
        <f>TEXT(Z7, "mmmm")</f>
        <v>January</v>
      </c>
      <c r="AC7" s="1" t="str">
        <f>TEXT(Z7, "dddd")</f>
        <v>Wednesday</v>
      </c>
      <c r="AD7" s="4" t="s">
        <v>62</v>
      </c>
      <c r="AE7" s="4" t="s">
        <v>76</v>
      </c>
      <c r="AF7" s="4" t="s">
        <v>102</v>
      </c>
      <c r="AG7" s="4" t="s">
        <v>93</v>
      </c>
      <c r="AH7" s="3">
        <v>5</v>
      </c>
    </row>
    <row r="8" spans="1:34">
      <c r="A8" s="4" t="s">
        <v>103</v>
      </c>
      <c r="B8" s="3">
        <v>49</v>
      </c>
      <c r="C8" s="9" t="str" cm="1">
        <f t="array" ref="C8">_xlfn.IFS(B8&gt;65,"+65",B8&gt;54,"55-65",B8&gt;44,"45-54",B8&gt;35,"36-44",B8&gt;25,"26-35",B8&gt;=18,"18-25")</f>
        <v>45-54</v>
      </c>
      <c r="D8" s="4" t="s">
        <v>78</v>
      </c>
      <c r="E8" s="4" t="s">
        <v>51</v>
      </c>
      <c r="F8" s="4" t="s">
        <v>79</v>
      </c>
      <c r="G8" s="4" t="s">
        <v>53</v>
      </c>
      <c r="H8" s="4" t="s">
        <v>104</v>
      </c>
      <c r="I8" s="4" t="s">
        <v>105</v>
      </c>
      <c r="J8" s="5">
        <v>323.39</v>
      </c>
      <c r="K8" s="3">
        <v>10</v>
      </c>
      <c r="L8" s="4" t="str">
        <f>IF(AND(J8&gt;350,K8&gt;6), "True","False")</f>
        <v>False</v>
      </c>
      <c r="M8" s="4" t="s">
        <v>71</v>
      </c>
      <c r="N8" s="3">
        <v>2</v>
      </c>
      <c r="O8" s="4" t="str" cm="1">
        <f t="array" ref="O8">_xlfn.IFS(P8&lt;=2,"Poor",P8=3,"Average",P8&gt;=4,"Good")</f>
        <v>Average</v>
      </c>
      <c r="P8" s="3">
        <v>3</v>
      </c>
      <c r="Q8" s="2">
        <v>2</v>
      </c>
      <c r="R8" s="4" t="s">
        <v>57</v>
      </c>
      <c r="S8" s="4" t="s">
        <v>73</v>
      </c>
      <c r="T8" s="3">
        <v>0</v>
      </c>
      <c r="U8" s="4" t="str" cm="1">
        <f t="array" ref="U8">_xlfn.IFS(V8&lt;=4, "Dissatisfied",V8&lt;=7,"Neutral",V8&gt;=8,"Satisfied")</f>
        <v>Neutral</v>
      </c>
      <c r="V8" s="3">
        <v>7</v>
      </c>
      <c r="W8" s="4" t="s">
        <v>72</v>
      </c>
      <c r="X8" s="4" t="s">
        <v>74</v>
      </c>
      <c r="Y8" s="4" t="s">
        <v>61</v>
      </c>
      <c r="Z8" s="1">
        <v>45295</v>
      </c>
      <c r="AA8" s="4" t="str" cm="1">
        <f t="array" ref="AA8">_xlfn.IFS(OR(AB8="December", AB8="February", AB8="January"), "Winter", OR(AB8="March", AB8="April", AB8="May"), "Spring", OR(AB8="June", AB8="July", AB8="August"), "Summer", TRUE, "Autumn")</f>
        <v>Winter</v>
      </c>
      <c r="AB8" s="7" t="str">
        <f>TEXT(Z8, "mmmm")</f>
        <v>January</v>
      </c>
      <c r="AC8" s="1" t="str">
        <f>TEXT(Z8, "dddd")</f>
        <v>Thursday</v>
      </c>
      <c r="AD8" s="4" t="s">
        <v>62</v>
      </c>
      <c r="AE8" s="4" t="s">
        <v>62</v>
      </c>
      <c r="AF8" s="4" t="s">
        <v>63</v>
      </c>
      <c r="AG8" s="4" t="s">
        <v>88</v>
      </c>
      <c r="AH8" s="3">
        <v>11</v>
      </c>
    </row>
    <row r="9" spans="1:34">
      <c r="A9" s="4" t="s">
        <v>106</v>
      </c>
      <c r="B9" s="3">
        <v>42</v>
      </c>
      <c r="C9" s="9" t="str" cm="1">
        <f t="array" ref="C9">_xlfn.IFS(B9&gt;65,"+65",B9&gt;54,"55-65",B9&gt;44,"45-54",B9&gt;35,"36-44",B9&gt;25,"26-35",B9&gt;=18,"18-25")</f>
        <v>36-44</v>
      </c>
      <c r="D9" s="4" t="s">
        <v>66</v>
      </c>
      <c r="E9" s="4" t="s">
        <v>72</v>
      </c>
      <c r="F9" s="4" t="s">
        <v>67</v>
      </c>
      <c r="G9" s="4" t="s">
        <v>80</v>
      </c>
      <c r="H9" s="4" t="s">
        <v>107</v>
      </c>
      <c r="I9" s="4" t="s">
        <v>105</v>
      </c>
      <c r="J9" s="5">
        <v>131.85</v>
      </c>
      <c r="K9" s="3">
        <v>4</v>
      </c>
      <c r="L9" s="4" t="str">
        <f>IF(AND(J9&gt;350,K9&gt;6), "True","False")</f>
        <v>False</v>
      </c>
      <c r="M9" s="4" t="s">
        <v>83</v>
      </c>
      <c r="N9" s="3">
        <v>5</v>
      </c>
      <c r="O9" s="4" t="str" cm="1">
        <f t="array" ref="O9">_xlfn.IFS(P9&lt;=2,"Poor",P9=3,"Average",P9&gt;=4,"Good")</f>
        <v>Good</v>
      </c>
      <c r="P9" s="3">
        <v>4</v>
      </c>
      <c r="Q9" s="2">
        <v>2</v>
      </c>
      <c r="R9" s="4" t="s">
        <v>59</v>
      </c>
      <c r="S9" s="4" t="s">
        <v>84</v>
      </c>
      <c r="T9" s="3">
        <v>1</v>
      </c>
      <c r="U9" s="4" t="str" cm="1">
        <f t="array" ref="U9">_xlfn.IFS(V9&lt;=4, "Dissatisfied",V9&lt;=7,"Neutral",V9&gt;=8,"Satisfied")</f>
        <v>Neutral</v>
      </c>
      <c r="V9" s="3">
        <v>5</v>
      </c>
      <c r="W9" s="4" t="s">
        <v>85</v>
      </c>
      <c r="X9" s="4" t="s">
        <v>60</v>
      </c>
      <c r="Y9" s="4" t="s">
        <v>75</v>
      </c>
      <c r="Z9" s="1">
        <v>45295</v>
      </c>
      <c r="AA9" s="4" t="str" cm="1">
        <f t="array" ref="AA9">_xlfn.IFS(OR(AB9="December", AB9="February", AB9="January"), "Winter", OR(AB9="March", AB9="April", AB9="May"), "Spring", OR(AB9="June", AB9="July", AB9="August"), "Summer", TRUE, "Autumn")</f>
        <v>Winter</v>
      </c>
      <c r="AB9" s="7" t="str">
        <f>TEXT(Z9, "mmmm")</f>
        <v>January</v>
      </c>
      <c r="AC9" s="1" t="str">
        <f>TEXT(Z9, "dddd")</f>
        <v>Thursday</v>
      </c>
      <c r="AD9" s="4" t="s">
        <v>62</v>
      </c>
      <c r="AE9" s="4" t="s">
        <v>76</v>
      </c>
      <c r="AF9" s="4" t="s">
        <v>63</v>
      </c>
      <c r="AG9" s="4" t="s">
        <v>88</v>
      </c>
      <c r="AH9" s="3">
        <v>6</v>
      </c>
    </row>
    <row r="10" spans="1:34">
      <c r="A10" s="4" t="s">
        <v>108</v>
      </c>
      <c r="B10" s="3">
        <v>36</v>
      </c>
      <c r="C10" s="9" t="str" cm="1">
        <f t="array" ref="C10">_xlfn.IFS(B10&gt;65,"+65",B10&gt;54,"55-65",B10&gt;44,"45-54",B10&gt;35,"36-44",B10&gt;25,"26-35",B10&gt;=18,"18-25")</f>
        <v>36-44</v>
      </c>
      <c r="D10" s="4" t="s">
        <v>66</v>
      </c>
      <c r="E10" s="4" t="s">
        <v>72</v>
      </c>
      <c r="F10" s="4" t="s">
        <v>79</v>
      </c>
      <c r="G10" s="4" t="s">
        <v>80</v>
      </c>
      <c r="H10" s="4" t="s">
        <v>109</v>
      </c>
      <c r="I10" s="4" t="s">
        <v>110</v>
      </c>
      <c r="J10" s="5">
        <v>342.39</v>
      </c>
      <c r="K10" s="3">
        <v>8</v>
      </c>
      <c r="L10" s="4" t="str">
        <f>IF(AND(J10&gt;350,K10&gt;6), "True","False")</f>
        <v>False</v>
      </c>
      <c r="M10" s="4" t="s">
        <v>71</v>
      </c>
      <c r="N10" s="3">
        <v>1</v>
      </c>
      <c r="O10" s="4" t="str" cm="1">
        <f t="array" ref="O10">_xlfn.IFS(P10&lt;=2,"Poor",P10=3,"Average",P10&gt;=4,"Good")</f>
        <v>Good</v>
      </c>
      <c r="P10" s="3">
        <v>5</v>
      </c>
      <c r="Q10" s="2">
        <v>2</v>
      </c>
      <c r="R10" s="4" t="s">
        <v>59</v>
      </c>
      <c r="S10" s="4" t="s">
        <v>73</v>
      </c>
      <c r="T10" s="3">
        <v>2</v>
      </c>
      <c r="U10" s="4" t="str" cm="1">
        <f t="array" ref="U10">_xlfn.IFS(V10&lt;=4, "Dissatisfied",V10&lt;=7,"Neutral",V10&gt;=8,"Satisfied")</f>
        <v>Dissatisfied</v>
      </c>
      <c r="V10" s="3">
        <v>3</v>
      </c>
      <c r="W10" s="4" t="s">
        <v>72</v>
      </c>
      <c r="X10" s="4" t="s">
        <v>101</v>
      </c>
      <c r="Y10" s="4" t="s">
        <v>111</v>
      </c>
      <c r="Z10" s="1">
        <v>45295</v>
      </c>
      <c r="AA10" s="4" t="str" cm="1">
        <f t="array" ref="AA10">_xlfn.IFS(OR(AB10="December", AB10="February", AB10="January"), "Winter", OR(AB10="March", AB10="April", AB10="May"), "Spring", OR(AB10="June", AB10="July", AB10="August"), "Summer", TRUE, "Autumn")</f>
        <v>Winter</v>
      </c>
      <c r="AB10" s="7" t="str">
        <f>TEXT(Z10, "mmmm")</f>
        <v>January</v>
      </c>
      <c r="AC10" s="1" t="str">
        <f>TEXT(Z10, "dddd")</f>
        <v>Thursday</v>
      </c>
      <c r="AD10" s="4" t="s">
        <v>76</v>
      </c>
      <c r="AE10" s="4" t="s">
        <v>76</v>
      </c>
      <c r="AF10" s="4" t="s">
        <v>63</v>
      </c>
      <c r="AG10" s="4" t="s">
        <v>64</v>
      </c>
      <c r="AH10" s="3">
        <v>9</v>
      </c>
    </row>
    <row r="11" spans="1:34">
      <c r="A11" s="4" t="s">
        <v>112</v>
      </c>
      <c r="B11" s="3">
        <v>35</v>
      </c>
      <c r="C11" s="9" t="str" cm="1">
        <f t="array" ref="C11">_xlfn.IFS(B11&gt;65,"+65",B11&gt;54,"55-65",B11&gt;44,"45-54",B11&gt;35,"36-44",B11&gt;25,"26-35",B11&gt;=18,"18-25")</f>
        <v>26-35</v>
      </c>
      <c r="D11" s="4" t="s">
        <v>66</v>
      </c>
      <c r="E11" s="4" t="s">
        <v>51</v>
      </c>
      <c r="F11" s="4" t="s">
        <v>79</v>
      </c>
      <c r="G11" s="4" t="s">
        <v>80</v>
      </c>
      <c r="H11" s="4" t="s">
        <v>113</v>
      </c>
      <c r="I11" s="4" t="s">
        <v>55</v>
      </c>
      <c r="J11" s="5">
        <v>303.13</v>
      </c>
      <c r="K11" s="3">
        <v>2</v>
      </c>
      <c r="L11" s="4" t="str">
        <f>IF(AND(J11&gt;350,K11&gt;6), "True","False")</f>
        <v>False</v>
      </c>
      <c r="M11" s="4" t="s">
        <v>56</v>
      </c>
      <c r="N11" s="3">
        <v>1</v>
      </c>
      <c r="O11" s="4" t="str" cm="1">
        <f t="array" ref="O11">_xlfn.IFS(P11&lt;=2,"Poor",P11=3,"Average",P11&gt;=4,"Good")</f>
        <v>Poor</v>
      </c>
      <c r="P11" s="3">
        <v>1</v>
      </c>
      <c r="Q11" s="2">
        <v>1</v>
      </c>
      <c r="R11" s="4" t="s">
        <v>72</v>
      </c>
      <c r="S11" s="4" t="s">
        <v>58</v>
      </c>
      <c r="T11" s="3">
        <v>0</v>
      </c>
      <c r="U11" s="4" t="str" cm="1">
        <f t="array" ref="U11">_xlfn.IFS(V11&lt;=4, "Dissatisfied",V11&lt;=7,"Neutral",V11&gt;=8,"Satisfied")</f>
        <v>Neutral</v>
      </c>
      <c r="V11" s="3">
        <v>7</v>
      </c>
      <c r="W11" s="4" t="s">
        <v>85</v>
      </c>
      <c r="X11" s="4" t="s">
        <v>101</v>
      </c>
      <c r="Y11" s="4" t="s">
        <v>75</v>
      </c>
      <c r="Z11" s="1">
        <v>45295</v>
      </c>
      <c r="AA11" s="4" t="str" cm="1">
        <f t="array" ref="AA11">_xlfn.IFS(OR(AB11="December", AB11="February", AB11="January"), "Winter", OR(AB11="March", AB11="April", AB11="May"), "Spring", OR(AB11="June", AB11="July", AB11="August"), "Summer", TRUE, "Autumn")</f>
        <v>Winter</v>
      </c>
      <c r="AB11" s="7" t="str">
        <f>TEXT(Z11, "mmmm")</f>
        <v>January</v>
      </c>
      <c r="AC11" s="1" t="str">
        <f>TEXT(Z11, "dddd")</f>
        <v>Thursday</v>
      </c>
      <c r="AD11" s="4" t="s">
        <v>76</v>
      </c>
      <c r="AE11" s="4" t="s">
        <v>62</v>
      </c>
      <c r="AF11" s="4" t="s">
        <v>63</v>
      </c>
      <c r="AG11" s="4" t="s">
        <v>64</v>
      </c>
      <c r="AH11" s="3">
        <v>10</v>
      </c>
    </row>
    <row r="12" spans="1:34">
      <c r="A12" s="4" t="s">
        <v>114</v>
      </c>
      <c r="B12" s="3">
        <v>39</v>
      </c>
      <c r="C12" s="9" t="str" cm="1">
        <f t="array" ref="C12">_xlfn.IFS(B12&gt;65,"+65",B12&gt;54,"55-65",B12&gt;44,"45-54",B12&gt;35,"36-44",B12&gt;25,"26-35",B12&gt;=18,"18-25")</f>
        <v>36-44</v>
      </c>
      <c r="D12" s="4" t="s">
        <v>78</v>
      </c>
      <c r="E12" s="4" t="s">
        <v>72</v>
      </c>
      <c r="F12" s="4" t="s">
        <v>67</v>
      </c>
      <c r="G12" s="4" t="s">
        <v>68</v>
      </c>
      <c r="H12" s="4" t="s">
        <v>115</v>
      </c>
      <c r="I12" s="4" t="s">
        <v>55</v>
      </c>
      <c r="J12" s="5">
        <v>459.51</v>
      </c>
      <c r="K12" s="3">
        <v>7</v>
      </c>
      <c r="L12" s="4" t="str">
        <f>IF(AND(J12&gt;350,K12&gt;6), "True","False")</f>
        <v>True</v>
      </c>
      <c r="M12" s="4" t="s">
        <v>71</v>
      </c>
      <c r="N12" s="3">
        <v>1</v>
      </c>
      <c r="O12" s="4" t="str" cm="1">
        <f t="array" ref="O12">_xlfn.IFS(P12&lt;=2,"Poor",P12=3,"Average",P12&gt;=4,"Good")</f>
        <v>Poor</v>
      </c>
      <c r="P12" s="3">
        <v>2</v>
      </c>
      <c r="Q12" s="2">
        <v>2</v>
      </c>
      <c r="R12" s="4" t="s">
        <v>72</v>
      </c>
      <c r="S12" s="4" t="s">
        <v>58</v>
      </c>
      <c r="T12" s="3">
        <v>0</v>
      </c>
      <c r="U12" s="4" t="str" cm="1">
        <f t="array" ref="U12">_xlfn.IFS(V12&lt;=4, "Dissatisfied",V12&lt;=7,"Neutral",V12&gt;=8,"Satisfied")</f>
        <v>Neutral</v>
      </c>
      <c r="V12" s="3">
        <v>5</v>
      </c>
      <c r="W12" s="4" t="s">
        <v>85</v>
      </c>
      <c r="X12" s="4" t="s">
        <v>74</v>
      </c>
      <c r="Y12" s="4" t="s">
        <v>75</v>
      </c>
      <c r="Z12" s="1">
        <v>45296</v>
      </c>
      <c r="AA12" s="4" t="str" cm="1">
        <f t="array" ref="AA12">_xlfn.IFS(OR(AB12="December", AB12="February", AB12="January"), "Winter", OR(AB12="March", AB12="April", AB12="May"), "Spring", OR(AB12="June", AB12="July", AB12="August"), "Summer", TRUE, "Autumn")</f>
        <v>Winter</v>
      </c>
      <c r="AB12" s="7" t="str">
        <f>TEXT(Z12, "mmmm")</f>
        <v>January</v>
      </c>
      <c r="AC12" s="1" t="str">
        <f>TEXT(Z12, "dddd")</f>
        <v>Friday</v>
      </c>
      <c r="AD12" s="4" t="s">
        <v>62</v>
      </c>
      <c r="AE12" s="4" t="s">
        <v>76</v>
      </c>
      <c r="AF12" s="4" t="s">
        <v>63</v>
      </c>
      <c r="AG12" s="4" t="s">
        <v>88</v>
      </c>
      <c r="AH12" s="3">
        <v>11</v>
      </c>
    </row>
    <row r="13" spans="1:34">
      <c r="A13" s="4" t="s">
        <v>116</v>
      </c>
      <c r="B13" s="3">
        <v>34</v>
      </c>
      <c r="C13" s="9" t="str" cm="1">
        <f t="array" ref="C13">_xlfn.IFS(B13&gt;65,"+65",B13&gt;54,"55-65",B13&gt;44,"45-54",B13&gt;35,"36-44",B13&gt;25,"26-35",B13&gt;=18,"18-25")</f>
        <v>26-35</v>
      </c>
      <c r="D13" s="4" t="s">
        <v>66</v>
      </c>
      <c r="E13" s="4" t="s">
        <v>72</v>
      </c>
      <c r="F13" s="4" t="s">
        <v>67</v>
      </c>
      <c r="G13" s="4" t="s">
        <v>80</v>
      </c>
      <c r="H13" s="4" t="s">
        <v>117</v>
      </c>
      <c r="I13" s="4" t="s">
        <v>118</v>
      </c>
      <c r="J13" s="5">
        <v>109.88</v>
      </c>
      <c r="K13" s="3">
        <v>7</v>
      </c>
      <c r="L13" s="4" t="str">
        <f>IF(AND(J13&gt;350,K13&gt;6), "True","False")</f>
        <v>False</v>
      </c>
      <c r="M13" s="4" t="s">
        <v>56</v>
      </c>
      <c r="N13" s="3">
        <v>4</v>
      </c>
      <c r="O13" s="4" t="str" cm="1">
        <f t="array" ref="O13">_xlfn.IFS(P13&lt;=2,"Poor",P13=3,"Average",P13&gt;=4,"Good")</f>
        <v>Good</v>
      </c>
      <c r="P13" s="3">
        <v>4</v>
      </c>
      <c r="Q13" s="2">
        <v>1</v>
      </c>
      <c r="R13" s="4" t="s">
        <v>59</v>
      </c>
      <c r="S13" s="4" t="s">
        <v>73</v>
      </c>
      <c r="T13" s="3">
        <v>1</v>
      </c>
      <c r="U13" s="4" t="str" cm="1">
        <f t="array" ref="U13">_xlfn.IFS(V13&lt;=4, "Dissatisfied",V13&lt;=7,"Neutral",V13&gt;=8,"Satisfied")</f>
        <v>Dissatisfied</v>
      </c>
      <c r="V13" s="3">
        <v>3</v>
      </c>
      <c r="W13" s="4" t="s">
        <v>85</v>
      </c>
      <c r="X13" s="4" t="s">
        <v>60</v>
      </c>
      <c r="Y13" s="4" t="s">
        <v>119</v>
      </c>
      <c r="Z13" s="1">
        <v>45296</v>
      </c>
      <c r="AA13" s="4" t="str" cm="1">
        <f t="array" ref="AA13">_xlfn.IFS(OR(AB13="December", AB13="February", AB13="January"), "Winter", OR(AB13="March", AB13="April", AB13="May"), "Spring", OR(AB13="June", AB13="July", AB13="August"), "Summer", TRUE, "Autumn")</f>
        <v>Winter</v>
      </c>
      <c r="AB13" s="7" t="str">
        <f>TEXT(Z13, "mmmm")</f>
        <v>January</v>
      </c>
      <c r="AC13" s="1" t="str">
        <f>TEXT(Z13, "dddd")</f>
        <v>Friday</v>
      </c>
      <c r="AD13" s="4" t="s">
        <v>76</v>
      </c>
      <c r="AE13" s="4" t="s">
        <v>62</v>
      </c>
      <c r="AF13" s="4" t="s">
        <v>92</v>
      </c>
      <c r="AG13" s="4" t="s">
        <v>64</v>
      </c>
      <c r="AH13" s="3">
        <v>11</v>
      </c>
    </row>
    <row r="14" spans="1:34">
      <c r="A14" s="4" t="s">
        <v>120</v>
      </c>
      <c r="B14" s="3">
        <v>40</v>
      </c>
      <c r="C14" s="9" t="str" cm="1">
        <f t="array" ref="C14">_xlfn.IFS(B14&gt;65,"+65",B14&gt;54,"55-65",B14&gt;44,"45-54",B14&gt;35,"36-44",B14&gt;25,"26-35",B14&gt;=18,"18-25")</f>
        <v>36-44</v>
      </c>
      <c r="D14" s="4" t="s">
        <v>66</v>
      </c>
      <c r="E14" s="4" t="s">
        <v>51</v>
      </c>
      <c r="F14" s="4" t="s">
        <v>95</v>
      </c>
      <c r="G14" s="4" t="s">
        <v>80</v>
      </c>
      <c r="H14" s="4" t="s">
        <v>121</v>
      </c>
      <c r="I14" s="4" t="s">
        <v>122</v>
      </c>
      <c r="J14" s="5">
        <v>88.78</v>
      </c>
      <c r="K14" s="3">
        <v>10</v>
      </c>
      <c r="L14" s="4" t="str">
        <f>IF(AND(J14&gt;350,K14&gt;6), "True","False")</f>
        <v>False</v>
      </c>
      <c r="M14" s="4" t="s">
        <v>56</v>
      </c>
      <c r="N14" s="3">
        <v>5</v>
      </c>
      <c r="O14" s="4" t="str" cm="1">
        <f t="array" ref="O14">_xlfn.IFS(P14&lt;=2,"Poor",P14=3,"Average",P14&gt;=4,"Good")</f>
        <v>Average</v>
      </c>
      <c r="P14" s="3">
        <v>3</v>
      </c>
      <c r="Q14" s="2">
        <v>0</v>
      </c>
      <c r="R14" s="4" t="s">
        <v>72</v>
      </c>
      <c r="S14" s="4" t="s">
        <v>73</v>
      </c>
      <c r="T14" s="3">
        <v>1</v>
      </c>
      <c r="U14" s="4" t="str" cm="1">
        <f t="array" ref="U14">_xlfn.IFS(V14&lt;=4, "Dissatisfied",V14&lt;=7,"Neutral",V14&gt;=8,"Satisfied")</f>
        <v>Neutral</v>
      </c>
      <c r="V14" s="3">
        <v>7</v>
      </c>
      <c r="W14" s="4" t="s">
        <v>85</v>
      </c>
      <c r="X14" s="4" t="s">
        <v>101</v>
      </c>
      <c r="Y14" s="4" t="s">
        <v>86</v>
      </c>
      <c r="Z14" s="1">
        <v>45297</v>
      </c>
      <c r="AA14" s="4" t="str" cm="1">
        <f t="array" ref="AA14">_xlfn.IFS(OR(AB14="December", AB14="February", AB14="January"), "Winter", OR(AB14="March", AB14="April", AB14="May"), "Spring", OR(AB14="June", AB14="July", AB14="August"), "Summer", TRUE, "Autumn")</f>
        <v>Winter</v>
      </c>
      <c r="AB14" s="7" t="str">
        <f>TEXT(Z14, "mmmm")</f>
        <v>January</v>
      </c>
      <c r="AC14" s="1" t="str">
        <f>TEXT(Z14, "dddd")</f>
        <v>Saturday</v>
      </c>
      <c r="AD14" s="4" t="s">
        <v>76</v>
      </c>
      <c r="AE14" s="4" t="s">
        <v>76</v>
      </c>
      <c r="AF14" s="4" t="s">
        <v>87</v>
      </c>
      <c r="AG14" s="4" t="s">
        <v>64</v>
      </c>
      <c r="AH14" s="3">
        <v>13</v>
      </c>
    </row>
    <row r="15" spans="1:34">
      <c r="A15" s="4" t="s">
        <v>123</v>
      </c>
      <c r="B15" s="3">
        <v>26</v>
      </c>
      <c r="C15" s="9" t="str" cm="1">
        <f t="array" ref="C15">_xlfn.IFS(B15&gt;65,"+65",B15&gt;54,"55-65",B15&gt;44,"45-54",B15&gt;35,"36-44",B15&gt;25,"26-35",B15&gt;=18,"18-25")</f>
        <v>26-35</v>
      </c>
      <c r="D15" s="4" t="s">
        <v>66</v>
      </c>
      <c r="E15" s="4" t="s">
        <v>72</v>
      </c>
      <c r="F15" s="4" t="s">
        <v>79</v>
      </c>
      <c r="G15" s="4" t="s">
        <v>53</v>
      </c>
      <c r="H15" s="4" t="s">
        <v>124</v>
      </c>
      <c r="I15" s="4" t="s">
        <v>97</v>
      </c>
      <c r="J15" s="5">
        <v>128.74</v>
      </c>
      <c r="K15" s="3">
        <v>12</v>
      </c>
      <c r="L15" s="4" t="str">
        <f>IF(AND(J15&gt;350,K15&gt;6), "True","False")</f>
        <v>False</v>
      </c>
      <c r="M15" s="4" t="s">
        <v>83</v>
      </c>
      <c r="N15" s="3">
        <v>5</v>
      </c>
      <c r="O15" s="4" t="str" cm="1">
        <f t="array" ref="O15">_xlfn.IFS(P15&lt;=2,"Poor",P15=3,"Average",P15&gt;=4,"Good")</f>
        <v>Poor</v>
      </c>
      <c r="P15" s="3">
        <v>1</v>
      </c>
      <c r="Q15" s="2">
        <v>1</v>
      </c>
      <c r="R15" s="4" t="s">
        <v>85</v>
      </c>
      <c r="S15" s="4" t="s">
        <v>84</v>
      </c>
      <c r="T15" s="3">
        <v>1</v>
      </c>
      <c r="U15" s="4" t="str" cm="1">
        <f t="array" ref="U15">_xlfn.IFS(V15&lt;=4, "Dissatisfied",V15&lt;=7,"Neutral",V15&gt;=8,"Satisfied")</f>
        <v>Satisfied</v>
      </c>
      <c r="V15" s="3">
        <v>8</v>
      </c>
      <c r="W15" s="4" t="s">
        <v>72</v>
      </c>
      <c r="X15" s="4" t="s">
        <v>101</v>
      </c>
      <c r="Y15" s="4" t="s">
        <v>86</v>
      </c>
      <c r="Z15" s="1">
        <v>45297</v>
      </c>
      <c r="AA15" s="4" t="str" cm="1">
        <f t="array" ref="AA15">_xlfn.IFS(OR(AB15="December", AB15="February", AB15="January"), "Winter", OR(AB15="March", AB15="April", AB15="May"), "Spring", OR(AB15="June", AB15="July", AB15="August"), "Summer", TRUE, "Autumn")</f>
        <v>Winter</v>
      </c>
      <c r="AB15" s="7" t="str">
        <f>TEXT(Z15, "mmmm")</f>
        <v>January</v>
      </c>
      <c r="AC15" s="1" t="str">
        <f>TEXT(Z15, "dddd")</f>
        <v>Saturday</v>
      </c>
      <c r="AD15" s="4" t="s">
        <v>76</v>
      </c>
      <c r="AE15" s="4" t="s">
        <v>62</v>
      </c>
      <c r="AF15" s="4" t="s">
        <v>87</v>
      </c>
      <c r="AG15" s="4" t="s">
        <v>64</v>
      </c>
      <c r="AH15" s="3">
        <v>1</v>
      </c>
    </row>
    <row r="16" spans="1:34">
      <c r="A16" s="4" t="s">
        <v>125</v>
      </c>
      <c r="B16" s="3">
        <v>47</v>
      </c>
      <c r="C16" s="9" t="str" cm="1">
        <f t="array" ref="C16">_xlfn.IFS(B16&gt;65,"+65",B16&gt;54,"55-65",B16&gt;44,"45-54",B16&gt;35,"36-44",B16&gt;25,"26-35",B16&gt;=18,"18-25")</f>
        <v>45-54</v>
      </c>
      <c r="D16" s="4" t="s">
        <v>78</v>
      </c>
      <c r="E16" s="4" t="s">
        <v>72</v>
      </c>
      <c r="F16" s="4" t="s">
        <v>52</v>
      </c>
      <c r="G16" s="4" t="s">
        <v>80</v>
      </c>
      <c r="H16" s="4" t="s">
        <v>126</v>
      </c>
      <c r="I16" s="4" t="s">
        <v>91</v>
      </c>
      <c r="J16" s="5">
        <v>363.91</v>
      </c>
      <c r="K16" s="3">
        <v>10</v>
      </c>
      <c r="L16" s="4" t="str">
        <f>IF(AND(J16&gt;350,K16&gt;6), "True","False")</f>
        <v>True</v>
      </c>
      <c r="M16" s="4" t="s">
        <v>56</v>
      </c>
      <c r="N16" s="3">
        <v>1</v>
      </c>
      <c r="O16" s="4" t="str" cm="1">
        <f t="array" ref="O16">_xlfn.IFS(P16&lt;=2,"Poor",P16=3,"Average",P16&gt;=4,"Good")</f>
        <v>Poor</v>
      </c>
      <c r="P16" s="3">
        <v>1</v>
      </c>
      <c r="Q16" s="2">
        <v>0.3</v>
      </c>
      <c r="R16" s="4" t="s">
        <v>85</v>
      </c>
      <c r="S16" s="4" t="s">
        <v>73</v>
      </c>
      <c r="T16" s="3">
        <v>0</v>
      </c>
      <c r="U16" s="4" t="str" cm="1">
        <f t="array" ref="U16">_xlfn.IFS(V16&lt;=4, "Dissatisfied",V16&lt;=7,"Neutral",V16&gt;=8,"Satisfied")</f>
        <v>Dissatisfied</v>
      </c>
      <c r="V16" s="3">
        <v>2</v>
      </c>
      <c r="W16" s="4" t="s">
        <v>59</v>
      </c>
      <c r="X16" s="4" t="s">
        <v>60</v>
      </c>
      <c r="Y16" s="4" t="s">
        <v>61</v>
      </c>
      <c r="Z16" s="1">
        <v>45298</v>
      </c>
      <c r="AA16" s="4" t="str" cm="1">
        <f t="array" ref="AA16">_xlfn.IFS(OR(AB16="December", AB16="February", AB16="January"), "Winter", OR(AB16="March", AB16="April", AB16="May"), "Spring", OR(AB16="June", AB16="July", AB16="August"), "Summer", TRUE, "Autumn")</f>
        <v>Winter</v>
      </c>
      <c r="AB16" s="7" t="str">
        <f>TEXT(Z16, "mmmm")</f>
        <v>January</v>
      </c>
      <c r="AC16" s="1" t="str">
        <f>TEXT(Z16, "dddd")</f>
        <v>Sunday</v>
      </c>
      <c r="AD16" s="4" t="s">
        <v>62</v>
      </c>
      <c r="AE16" s="4" t="s">
        <v>62</v>
      </c>
      <c r="AF16" s="4" t="s">
        <v>87</v>
      </c>
      <c r="AG16" s="4" t="s">
        <v>64</v>
      </c>
      <c r="AH16" s="3">
        <v>9</v>
      </c>
    </row>
    <row r="17" spans="1:34">
      <c r="A17" s="4" t="s">
        <v>127</v>
      </c>
      <c r="B17" s="3">
        <v>39</v>
      </c>
      <c r="C17" s="9" t="str" cm="1">
        <f t="array" ref="C17">_xlfn.IFS(B17&gt;65,"+65",B17&gt;54,"55-65",B17&gt;44,"45-54",B17&gt;35,"36-44",B17&gt;25,"26-35",B17&gt;=18,"18-25")</f>
        <v>36-44</v>
      </c>
      <c r="D17" s="4" t="s">
        <v>66</v>
      </c>
      <c r="E17" s="4" t="s">
        <v>51</v>
      </c>
      <c r="F17" s="4" t="s">
        <v>52</v>
      </c>
      <c r="G17" s="4" t="s">
        <v>80</v>
      </c>
      <c r="H17" s="4" t="s">
        <v>128</v>
      </c>
      <c r="I17" s="4" t="s">
        <v>110</v>
      </c>
      <c r="J17" s="5">
        <v>304.79000000000002</v>
      </c>
      <c r="K17" s="3">
        <v>12</v>
      </c>
      <c r="L17" s="4" t="str">
        <f>IF(AND(J17&gt;350,K17&gt;6), "True","False")</f>
        <v>False</v>
      </c>
      <c r="M17" s="4" t="s">
        <v>71</v>
      </c>
      <c r="N17" s="3">
        <v>2</v>
      </c>
      <c r="O17" s="4" t="str" cm="1">
        <f t="array" ref="O17">_xlfn.IFS(P17&lt;=2,"Poor",P17=3,"Average",P17&gt;=4,"Good")</f>
        <v>Good</v>
      </c>
      <c r="P17" s="3">
        <v>4</v>
      </c>
      <c r="Q17" s="2">
        <v>2</v>
      </c>
      <c r="R17" s="4" t="s">
        <v>59</v>
      </c>
      <c r="S17" s="4" t="s">
        <v>84</v>
      </c>
      <c r="T17" s="3">
        <v>1</v>
      </c>
      <c r="U17" s="4" t="str" cm="1">
        <f t="array" ref="U17">_xlfn.IFS(V17&lt;=4, "Dissatisfied",V17&lt;=7,"Neutral",V17&gt;=8,"Satisfied")</f>
        <v>Satisfied</v>
      </c>
      <c r="V17" s="3">
        <v>9</v>
      </c>
      <c r="W17" s="4" t="s">
        <v>72</v>
      </c>
      <c r="X17" s="4" t="s">
        <v>101</v>
      </c>
      <c r="Y17" s="4" t="s">
        <v>111</v>
      </c>
      <c r="Z17" s="1">
        <v>45298</v>
      </c>
      <c r="AA17" s="4" t="str" cm="1">
        <f t="array" ref="AA17">_xlfn.IFS(OR(AB17="December", AB17="February", AB17="January"), "Winter", OR(AB17="March", AB17="April", AB17="May"), "Spring", OR(AB17="June", AB17="July", AB17="August"), "Summer", TRUE, "Autumn")</f>
        <v>Winter</v>
      </c>
      <c r="AB17" s="7" t="str">
        <f>TEXT(Z17, "mmmm")</f>
        <v>January</v>
      </c>
      <c r="AC17" s="1" t="str">
        <f>TEXT(Z17, "dddd")</f>
        <v>Sunday</v>
      </c>
      <c r="AD17" s="4" t="s">
        <v>62</v>
      </c>
      <c r="AE17" s="4" t="s">
        <v>62</v>
      </c>
      <c r="AF17" s="4" t="s">
        <v>102</v>
      </c>
      <c r="AG17" s="4" t="s">
        <v>64</v>
      </c>
      <c r="AH17" s="3">
        <v>10</v>
      </c>
    </row>
    <row r="18" spans="1:34">
      <c r="A18" s="4" t="s">
        <v>129</v>
      </c>
      <c r="B18" s="3">
        <v>32</v>
      </c>
      <c r="C18" s="9" t="str" cm="1">
        <f t="array" ref="C18">_xlfn.IFS(B18&gt;65,"+65",B18&gt;54,"55-65",B18&gt;44,"45-54",B18&gt;35,"36-44",B18&gt;25,"26-35",B18&gt;=18,"18-25")</f>
        <v>26-35</v>
      </c>
      <c r="D18" s="4" t="s">
        <v>78</v>
      </c>
      <c r="E18" s="4" t="s">
        <v>72</v>
      </c>
      <c r="F18" s="4" t="s">
        <v>52</v>
      </c>
      <c r="G18" s="4" t="s">
        <v>68</v>
      </c>
      <c r="H18" s="4" t="s">
        <v>130</v>
      </c>
      <c r="I18" s="4" t="s">
        <v>70</v>
      </c>
      <c r="J18" s="5">
        <v>498.23</v>
      </c>
      <c r="K18" s="3">
        <v>10</v>
      </c>
      <c r="L18" s="4" t="str">
        <f>IF(AND(J18&gt;350,K18&gt;6), "True","False")</f>
        <v>True</v>
      </c>
      <c r="M18" s="4" t="s">
        <v>56</v>
      </c>
      <c r="N18" s="3">
        <v>5</v>
      </c>
      <c r="O18" s="4" t="str" cm="1">
        <f t="array" ref="O18">_xlfn.IFS(P18&lt;=2,"Poor",P18=3,"Average",P18&gt;=4,"Good")</f>
        <v>Poor</v>
      </c>
      <c r="P18" s="3">
        <v>2</v>
      </c>
      <c r="Q18" s="2">
        <v>0</v>
      </c>
      <c r="R18" s="4" t="s">
        <v>57</v>
      </c>
      <c r="S18" s="4" t="s">
        <v>73</v>
      </c>
      <c r="T18" s="3">
        <v>0</v>
      </c>
      <c r="U18" s="4" t="str" cm="1">
        <f t="array" ref="U18">_xlfn.IFS(V18&lt;=4, "Dissatisfied",V18&lt;=7,"Neutral",V18&gt;=8,"Satisfied")</f>
        <v>Neutral</v>
      </c>
      <c r="V18" s="3">
        <v>7</v>
      </c>
      <c r="W18" s="4" t="s">
        <v>85</v>
      </c>
      <c r="X18" s="4" t="s">
        <v>60</v>
      </c>
      <c r="Y18" s="4" t="s">
        <v>111</v>
      </c>
      <c r="Z18" s="1">
        <v>45299</v>
      </c>
      <c r="AA18" s="4" t="str" cm="1">
        <f t="array" ref="AA18">_xlfn.IFS(OR(AB18="December", AB18="February", AB18="January"), "Winter", OR(AB18="March", AB18="April", AB18="May"), "Spring", OR(AB18="June", AB18="July", AB18="August"), "Summer", TRUE, "Autumn")</f>
        <v>Winter</v>
      </c>
      <c r="AB18" s="7" t="str">
        <f>TEXT(Z18, "mmmm")</f>
        <v>January</v>
      </c>
      <c r="AC18" s="1" t="str">
        <f>TEXT(Z18, "dddd")</f>
        <v>Monday</v>
      </c>
      <c r="AD18" s="4" t="s">
        <v>62</v>
      </c>
      <c r="AE18" s="4" t="s">
        <v>76</v>
      </c>
      <c r="AF18" s="4" t="s">
        <v>87</v>
      </c>
      <c r="AG18" s="4" t="s">
        <v>88</v>
      </c>
      <c r="AH18" s="3">
        <v>9</v>
      </c>
    </row>
    <row r="19" spans="1:34">
      <c r="A19" s="4" t="s">
        <v>131</v>
      </c>
      <c r="B19" s="3">
        <v>23</v>
      </c>
      <c r="C19" s="9" t="str" cm="1">
        <f t="array" ref="C19">_xlfn.IFS(B19&gt;65,"+65",B19&gt;54,"55-65",B19&gt;44,"45-54",B19&gt;35,"36-44",B19&gt;25,"26-35",B19&gt;=18,"18-25")</f>
        <v>18-25</v>
      </c>
      <c r="D19" s="4" t="s">
        <v>78</v>
      </c>
      <c r="E19" s="4" t="s">
        <v>72</v>
      </c>
      <c r="F19" s="4" t="s">
        <v>95</v>
      </c>
      <c r="G19" s="4" t="s">
        <v>80</v>
      </c>
      <c r="H19" s="4" t="s">
        <v>132</v>
      </c>
      <c r="I19" s="4" t="s">
        <v>133</v>
      </c>
      <c r="J19" s="5">
        <v>339.12</v>
      </c>
      <c r="K19" s="3">
        <v>2</v>
      </c>
      <c r="L19" s="4" t="str">
        <f>IF(AND(J19&gt;350,K19&gt;6), "True","False")</f>
        <v>False</v>
      </c>
      <c r="M19" s="4" t="s">
        <v>71</v>
      </c>
      <c r="N19" s="3">
        <v>4</v>
      </c>
      <c r="O19" s="4" t="str" cm="1">
        <f t="array" ref="O19">_xlfn.IFS(P19&lt;=2,"Poor",P19=3,"Average",P19&gt;=4,"Good")</f>
        <v>Good</v>
      </c>
      <c r="P19" s="3">
        <v>4</v>
      </c>
      <c r="Q19" s="2">
        <v>0</v>
      </c>
      <c r="R19" s="4" t="s">
        <v>85</v>
      </c>
      <c r="S19" s="4" t="s">
        <v>58</v>
      </c>
      <c r="T19" s="3">
        <v>0</v>
      </c>
      <c r="U19" s="4" t="str" cm="1">
        <f t="array" ref="U19">_xlfn.IFS(V19&lt;=4, "Dissatisfied",V19&lt;=7,"Neutral",V19&gt;=8,"Satisfied")</f>
        <v>Neutral</v>
      </c>
      <c r="V19" s="3">
        <v>5</v>
      </c>
      <c r="W19" s="4" t="s">
        <v>59</v>
      </c>
      <c r="X19" s="4" t="s">
        <v>60</v>
      </c>
      <c r="Y19" s="4" t="s">
        <v>86</v>
      </c>
      <c r="Z19" s="1">
        <v>45299</v>
      </c>
      <c r="AA19" s="4" t="str" cm="1">
        <f t="array" ref="AA19">_xlfn.IFS(OR(AB19="December", AB19="February", AB19="January"), "Winter", OR(AB19="March", AB19="April", AB19="May"), "Spring", OR(AB19="June", AB19="July", AB19="August"), "Summer", TRUE, "Autumn")</f>
        <v>Winter</v>
      </c>
      <c r="AB19" s="7" t="str">
        <f>TEXT(Z19, "mmmm")</f>
        <v>January</v>
      </c>
      <c r="AC19" s="1" t="str">
        <f>TEXT(Z19, "dddd")</f>
        <v>Monday</v>
      </c>
      <c r="AD19" s="4" t="s">
        <v>76</v>
      </c>
      <c r="AE19" s="4" t="s">
        <v>76</v>
      </c>
      <c r="AF19" s="4" t="s">
        <v>92</v>
      </c>
      <c r="AG19" s="4" t="s">
        <v>88</v>
      </c>
      <c r="AH19" s="3">
        <v>1</v>
      </c>
    </row>
    <row r="20" spans="1:34">
      <c r="A20" s="4" t="s">
        <v>134</v>
      </c>
      <c r="B20" s="3">
        <v>29</v>
      </c>
      <c r="C20" s="9" t="str" cm="1">
        <f t="array" ref="C20">_xlfn.IFS(B20&gt;65,"+65",B20&gt;54,"55-65",B20&gt;44,"45-54",B20&gt;35,"36-44",B20&gt;25,"26-35",B20&gt;=18,"18-25")</f>
        <v>26-35</v>
      </c>
      <c r="D20" s="4" t="s">
        <v>66</v>
      </c>
      <c r="E20" s="4" t="s">
        <v>72</v>
      </c>
      <c r="F20" s="4" t="s">
        <v>67</v>
      </c>
      <c r="G20" s="4" t="s">
        <v>53</v>
      </c>
      <c r="H20" s="4" t="s">
        <v>135</v>
      </c>
      <c r="I20" s="4" t="s">
        <v>97</v>
      </c>
      <c r="J20" s="5">
        <v>98.63</v>
      </c>
      <c r="K20" s="3">
        <v>7</v>
      </c>
      <c r="L20" s="4" t="str">
        <f>IF(AND(J20&gt;350,K20&gt;6), "True","False")</f>
        <v>False</v>
      </c>
      <c r="M20" s="4" t="s">
        <v>56</v>
      </c>
      <c r="N20" s="3">
        <v>4</v>
      </c>
      <c r="O20" s="4" t="str" cm="1">
        <f t="array" ref="O20">_xlfn.IFS(P20&lt;=2,"Poor",P20=3,"Average",P20&gt;=4,"Good")</f>
        <v>Good</v>
      </c>
      <c r="P20" s="3">
        <v>5</v>
      </c>
      <c r="Q20" s="2">
        <v>2</v>
      </c>
      <c r="R20" s="4" t="s">
        <v>72</v>
      </c>
      <c r="S20" s="4" t="s">
        <v>84</v>
      </c>
      <c r="T20" s="3">
        <v>1</v>
      </c>
      <c r="U20" s="4" t="str" cm="1">
        <f t="array" ref="U20">_xlfn.IFS(V20&lt;=4, "Dissatisfied",V20&lt;=7,"Neutral",V20&gt;=8,"Satisfied")</f>
        <v>Dissatisfied</v>
      </c>
      <c r="V20" s="3">
        <v>3</v>
      </c>
      <c r="W20" s="4" t="s">
        <v>59</v>
      </c>
      <c r="X20" s="4" t="s">
        <v>74</v>
      </c>
      <c r="Y20" s="4" t="s">
        <v>111</v>
      </c>
      <c r="Z20" s="1">
        <v>45300</v>
      </c>
      <c r="AA20" s="4" t="str" cm="1">
        <f t="array" ref="AA20">_xlfn.IFS(OR(AB20="December", AB20="February", AB20="January"), "Winter", OR(AB20="March", AB20="April", AB20="May"), "Spring", OR(AB20="June", AB20="July", AB20="August"), "Summer", TRUE, "Autumn")</f>
        <v>Winter</v>
      </c>
      <c r="AB20" s="7" t="str">
        <f>TEXT(Z20, "mmmm")</f>
        <v>January</v>
      </c>
      <c r="AC20" s="1" t="str">
        <f>TEXT(Z20, "dddd")</f>
        <v>Tuesday</v>
      </c>
      <c r="AD20" s="4" t="s">
        <v>76</v>
      </c>
      <c r="AE20" s="4" t="s">
        <v>62</v>
      </c>
      <c r="AF20" s="4" t="s">
        <v>87</v>
      </c>
      <c r="AG20" s="4" t="s">
        <v>64</v>
      </c>
      <c r="AH20" s="3">
        <v>6</v>
      </c>
    </row>
    <row r="21" spans="1:34">
      <c r="A21" s="4" t="s">
        <v>136</v>
      </c>
      <c r="B21" s="3">
        <v>21</v>
      </c>
      <c r="C21" s="9" t="str" cm="1">
        <f t="array" ref="C21">_xlfn.IFS(B21&gt;65,"+65",B21&gt;54,"55-65",B21&gt;44,"45-54",B21&gt;35,"36-44",B21&gt;25,"26-35",B21&gt;=18,"18-25")</f>
        <v>18-25</v>
      </c>
      <c r="D21" s="4" t="s">
        <v>66</v>
      </c>
      <c r="E21" s="4" t="s">
        <v>51</v>
      </c>
      <c r="F21" s="4" t="s">
        <v>52</v>
      </c>
      <c r="G21" s="4" t="s">
        <v>68</v>
      </c>
      <c r="H21" s="4" t="s">
        <v>137</v>
      </c>
      <c r="I21" s="4" t="s">
        <v>110</v>
      </c>
      <c r="J21" s="5">
        <v>381.3</v>
      </c>
      <c r="K21" s="3">
        <v>12</v>
      </c>
      <c r="L21" s="4" t="str">
        <f>IF(AND(J21&gt;350,K21&gt;6), "True","False")</f>
        <v>True</v>
      </c>
      <c r="M21" s="4" t="s">
        <v>56</v>
      </c>
      <c r="N21" s="3">
        <v>2</v>
      </c>
      <c r="O21" s="4" t="str" cm="1">
        <f t="array" ref="O21">_xlfn.IFS(P21&lt;=2,"Poor",P21=3,"Average",P21&gt;=4,"Good")</f>
        <v>Poor</v>
      </c>
      <c r="P21" s="3">
        <v>1</v>
      </c>
      <c r="Q21" s="2">
        <v>1</v>
      </c>
      <c r="R21" s="4" t="s">
        <v>72</v>
      </c>
      <c r="S21" s="4" t="s">
        <v>73</v>
      </c>
      <c r="T21" s="3">
        <v>0</v>
      </c>
      <c r="U21" s="4" t="str" cm="1">
        <f t="array" ref="U21">_xlfn.IFS(V21&lt;=4, "Dissatisfied",V21&lt;=7,"Neutral",V21&gt;=8,"Satisfied")</f>
        <v>Dissatisfied</v>
      </c>
      <c r="V21" s="3">
        <v>4</v>
      </c>
      <c r="W21" s="4" t="s">
        <v>59</v>
      </c>
      <c r="X21" s="4" t="s">
        <v>101</v>
      </c>
      <c r="Y21" s="4" t="s">
        <v>119</v>
      </c>
      <c r="Z21" s="1">
        <v>45300</v>
      </c>
      <c r="AA21" s="4" t="str" cm="1">
        <f t="array" ref="AA21">_xlfn.IFS(OR(AB21="December", AB21="February", AB21="January"), "Winter", OR(AB21="March", AB21="April", AB21="May"), "Spring", OR(AB21="June", AB21="July", AB21="August"), "Summer", TRUE, "Autumn")</f>
        <v>Winter</v>
      </c>
      <c r="AB21" s="7" t="str">
        <f>TEXT(Z21, "mmmm")</f>
        <v>January</v>
      </c>
      <c r="AC21" s="1" t="str">
        <f>TEXT(Z21, "dddd")</f>
        <v>Tuesday</v>
      </c>
      <c r="AD21" s="4" t="s">
        <v>76</v>
      </c>
      <c r="AE21" s="4" t="s">
        <v>76</v>
      </c>
      <c r="AF21" s="4" t="s">
        <v>87</v>
      </c>
      <c r="AG21" s="4" t="s">
        <v>93</v>
      </c>
      <c r="AH21" s="3">
        <v>7</v>
      </c>
    </row>
    <row r="22" spans="1:34">
      <c r="A22" s="4" t="s">
        <v>138</v>
      </c>
      <c r="B22" s="3">
        <v>20</v>
      </c>
      <c r="C22" s="9" t="str" cm="1">
        <f t="array" ref="C22">_xlfn.IFS(B22&gt;65,"+65",B22&gt;54,"55-65",B22&gt;44,"45-54",B22&gt;35,"36-44",B22&gt;25,"26-35",B22&gt;=18,"18-25")</f>
        <v>18-25</v>
      </c>
      <c r="D22" s="4" t="s">
        <v>78</v>
      </c>
      <c r="E22" s="4" t="s">
        <v>51</v>
      </c>
      <c r="F22" s="4" t="s">
        <v>95</v>
      </c>
      <c r="G22" s="4" t="s">
        <v>53</v>
      </c>
      <c r="H22" s="4" t="s">
        <v>139</v>
      </c>
      <c r="I22" s="4" t="s">
        <v>97</v>
      </c>
      <c r="J22" s="5">
        <v>118.65</v>
      </c>
      <c r="K22" s="3">
        <v>10</v>
      </c>
      <c r="L22" s="4" t="str">
        <f>IF(AND(J22&gt;350,K22&gt;6), "True","False")</f>
        <v>False</v>
      </c>
      <c r="M22" s="4" t="s">
        <v>83</v>
      </c>
      <c r="N22" s="3">
        <v>1</v>
      </c>
      <c r="O22" s="4" t="str" cm="1">
        <f t="array" ref="O22">_xlfn.IFS(P22&lt;=2,"Poor",P22=3,"Average",P22&gt;=4,"Good")</f>
        <v>Average</v>
      </c>
      <c r="P22" s="3">
        <v>3</v>
      </c>
      <c r="Q22" s="2">
        <v>0</v>
      </c>
      <c r="R22" s="4" t="s">
        <v>59</v>
      </c>
      <c r="S22" s="4" t="s">
        <v>73</v>
      </c>
      <c r="T22" s="3">
        <v>0</v>
      </c>
      <c r="U22" s="4" t="str" cm="1">
        <f t="array" ref="U22">_xlfn.IFS(V22&lt;=4, "Dissatisfied",V22&lt;=7,"Neutral",V22&gt;=8,"Satisfied")</f>
        <v>Dissatisfied</v>
      </c>
      <c r="V22" s="3">
        <v>2</v>
      </c>
      <c r="W22" s="4" t="s">
        <v>59</v>
      </c>
      <c r="X22" s="4" t="s">
        <v>60</v>
      </c>
      <c r="Y22" s="4" t="s">
        <v>119</v>
      </c>
      <c r="Z22" s="1">
        <v>45300</v>
      </c>
      <c r="AA22" s="4" t="str" cm="1">
        <f t="array" ref="AA22">_xlfn.IFS(OR(AB22="December", AB22="February", AB22="January"), "Winter", OR(AB22="March", AB22="April", AB22="May"), "Spring", OR(AB22="June", AB22="July", AB22="August"), "Summer", TRUE, "Autumn")</f>
        <v>Winter</v>
      </c>
      <c r="AB22" s="7" t="str">
        <f>TEXT(Z22, "mmmm")</f>
        <v>January</v>
      </c>
      <c r="AC22" s="1" t="str">
        <f>TEXT(Z22, "dddd")</f>
        <v>Tuesday</v>
      </c>
      <c r="AD22" s="4" t="s">
        <v>62</v>
      </c>
      <c r="AE22" s="4" t="s">
        <v>62</v>
      </c>
      <c r="AF22" s="4" t="s">
        <v>92</v>
      </c>
      <c r="AG22" s="4" t="s">
        <v>64</v>
      </c>
      <c r="AH22" s="3">
        <v>13</v>
      </c>
    </row>
    <row r="23" spans="1:34">
      <c r="A23" s="4" t="s">
        <v>140</v>
      </c>
      <c r="B23" s="3">
        <v>37</v>
      </c>
      <c r="C23" s="9" t="str" cm="1">
        <f t="array" ref="C23">_xlfn.IFS(B23&gt;65,"+65",B23&gt;54,"55-65",B23&gt;44,"45-54",B23&gt;35,"36-44",B23&gt;25,"26-35",B23&gt;=18,"18-25")</f>
        <v>36-44</v>
      </c>
      <c r="D23" s="4" t="s">
        <v>78</v>
      </c>
      <c r="E23" s="4" t="s">
        <v>51</v>
      </c>
      <c r="F23" s="4" t="s">
        <v>67</v>
      </c>
      <c r="G23" s="4" t="s">
        <v>68</v>
      </c>
      <c r="H23" s="4" t="s">
        <v>141</v>
      </c>
      <c r="I23" s="4" t="s">
        <v>97</v>
      </c>
      <c r="J23" s="5">
        <v>303.08999999999997</v>
      </c>
      <c r="K23" s="3">
        <v>2</v>
      </c>
      <c r="L23" s="4" t="str">
        <f>IF(AND(J23&gt;350,K23&gt;6), "True","False")</f>
        <v>False</v>
      </c>
      <c r="M23" s="4" t="s">
        <v>56</v>
      </c>
      <c r="N23" s="3">
        <v>2</v>
      </c>
      <c r="O23" s="4" t="str" cm="1">
        <f t="array" ref="O23">_xlfn.IFS(P23&lt;=2,"Poor",P23=3,"Average",P23&gt;=4,"Good")</f>
        <v>Good</v>
      </c>
      <c r="P23" s="3">
        <v>5</v>
      </c>
      <c r="Q23" s="2">
        <v>1</v>
      </c>
      <c r="R23" s="4" t="s">
        <v>57</v>
      </c>
      <c r="S23" s="4" t="s">
        <v>73</v>
      </c>
      <c r="T23" s="3">
        <v>2</v>
      </c>
      <c r="U23" s="4" t="str" cm="1">
        <f t="array" ref="U23">_xlfn.IFS(V23&lt;=4, "Dissatisfied",V23&lt;=7,"Neutral",V23&gt;=8,"Satisfied")</f>
        <v>Satisfied</v>
      </c>
      <c r="V23" s="3">
        <v>9</v>
      </c>
      <c r="W23" s="4" t="s">
        <v>57</v>
      </c>
      <c r="X23" s="4" t="s">
        <v>74</v>
      </c>
      <c r="Y23" s="4" t="s">
        <v>111</v>
      </c>
      <c r="Z23" s="1">
        <v>45301</v>
      </c>
      <c r="AA23" s="4" t="str" cm="1">
        <f t="array" ref="AA23">_xlfn.IFS(OR(AB23="December", AB23="February", AB23="January"), "Winter", OR(AB23="March", AB23="April", AB23="May"), "Spring", OR(AB23="June", AB23="July", AB23="August"), "Summer", TRUE, "Autumn")</f>
        <v>Winter</v>
      </c>
      <c r="AB23" s="7" t="str">
        <f>TEXT(Z23, "mmmm")</f>
        <v>January</v>
      </c>
      <c r="AC23" s="1" t="str">
        <f>TEXT(Z23, "dddd")</f>
        <v>Wednesday</v>
      </c>
      <c r="AD23" s="4" t="s">
        <v>76</v>
      </c>
      <c r="AE23" s="4" t="s">
        <v>76</v>
      </c>
      <c r="AF23" s="4" t="s">
        <v>92</v>
      </c>
      <c r="AG23" s="4" t="s">
        <v>88</v>
      </c>
      <c r="AH23" s="3">
        <v>11</v>
      </c>
    </row>
    <row r="24" spans="1:34">
      <c r="A24" s="4" t="s">
        <v>142</v>
      </c>
      <c r="B24" s="3">
        <v>27</v>
      </c>
      <c r="C24" s="9" t="str" cm="1">
        <f t="array" ref="C24">_xlfn.IFS(B24&gt;65,"+65",B24&gt;54,"55-65",B24&gt;44,"45-54",B24&gt;35,"36-44",B24&gt;25,"26-35",B24&gt;=18,"18-25")</f>
        <v>26-35</v>
      </c>
      <c r="D24" s="4" t="s">
        <v>78</v>
      </c>
      <c r="E24" s="4" t="s">
        <v>72</v>
      </c>
      <c r="F24" s="4" t="s">
        <v>67</v>
      </c>
      <c r="G24" s="4" t="s">
        <v>80</v>
      </c>
      <c r="H24" s="4" t="s">
        <v>143</v>
      </c>
      <c r="I24" s="4" t="s">
        <v>110</v>
      </c>
      <c r="J24" s="5">
        <v>156.5</v>
      </c>
      <c r="K24" s="3">
        <v>5</v>
      </c>
      <c r="L24" s="4" t="str">
        <f>IF(AND(J24&gt;350,K24&gt;6), "True","False")</f>
        <v>False</v>
      </c>
      <c r="M24" s="4" t="s">
        <v>83</v>
      </c>
      <c r="N24" s="3">
        <v>1</v>
      </c>
      <c r="O24" s="4" t="str" cm="1">
        <f t="array" ref="O24">_xlfn.IFS(P24&lt;=2,"Poor",P24=3,"Average",P24&gt;=4,"Good")</f>
        <v>Poor</v>
      </c>
      <c r="P24" s="3">
        <v>1</v>
      </c>
      <c r="Q24" s="2">
        <v>1</v>
      </c>
      <c r="R24" s="4" t="s">
        <v>72</v>
      </c>
      <c r="S24" s="4" t="s">
        <v>73</v>
      </c>
      <c r="T24" s="3">
        <v>0</v>
      </c>
      <c r="U24" s="4" t="str" cm="1">
        <f t="array" ref="U24">_xlfn.IFS(V24&lt;=4, "Dissatisfied",V24&lt;=7,"Neutral",V24&gt;=8,"Satisfied")</f>
        <v>Dissatisfied</v>
      </c>
      <c r="V24" s="3">
        <v>3</v>
      </c>
      <c r="W24" s="4" t="s">
        <v>72</v>
      </c>
      <c r="X24" s="4" t="s">
        <v>101</v>
      </c>
      <c r="Y24" s="4" t="s">
        <v>111</v>
      </c>
      <c r="Z24" s="1">
        <v>45301</v>
      </c>
      <c r="AA24" s="4" t="str" cm="1">
        <f t="array" ref="AA24">_xlfn.IFS(OR(AB24="December", AB24="February", AB24="January"), "Winter", OR(AB24="March", AB24="April", AB24="May"), "Spring", OR(AB24="June", AB24="July", AB24="August"), "Summer", TRUE, "Autumn")</f>
        <v>Winter</v>
      </c>
      <c r="AB24" s="7" t="str">
        <f>TEXT(Z24, "mmmm")</f>
        <v>January</v>
      </c>
      <c r="AC24" s="1" t="str">
        <f>TEXT(Z24, "dddd")</f>
        <v>Wednesday</v>
      </c>
      <c r="AD24" s="4" t="s">
        <v>62</v>
      </c>
      <c r="AE24" s="4" t="s">
        <v>76</v>
      </c>
      <c r="AF24" s="4" t="s">
        <v>102</v>
      </c>
      <c r="AG24" s="4" t="s">
        <v>64</v>
      </c>
      <c r="AH24" s="3">
        <v>14</v>
      </c>
    </row>
    <row r="25" spans="1:34">
      <c r="A25" s="4" t="s">
        <v>144</v>
      </c>
      <c r="B25" s="3">
        <v>22</v>
      </c>
      <c r="C25" s="9" t="str" cm="1">
        <f t="array" ref="C25">_xlfn.IFS(B25&gt;65,"+65",B25&gt;54,"55-65",B25&gt;44,"45-54",B25&gt;35,"36-44",B25&gt;25,"26-35",B25&gt;=18,"18-25")</f>
        <v>18-25</v>
      </c>
      <c r="D25" s="4" t="s">
        <v>78</v>
      </c>
      <c r="E25" s="4" t="s">
        <v>72</v>
      </c>
      <c r="F25" s="4" t="s">
        <v>52</v>
      </c>
      <c r="G25" s="4" t="s">
        <v>80</v>
      </c>
      <c r="H25" s="4" t="s">
        <v>145</v>
      </c>
      <c r="I25" s="4" t="s">
        <v>146</v>
      </c>
      <c r="J25" s="5">
        <v>91.34</v>
      </c>
      <c r="K25" s="3">
        <v>5</v>
      </c>
      <c r="L25" s="4" t="str">
        <f>IF(AND(J25&gt;350,K25&gt;6), "True","False")</f>
        <v>False</v>
      </c>
      <c r="M25" s="4" t="s">
        <v>56</v>
      </c>
      <c r="N25" s="3">
        <v>2</v>
      </c>
      <c r="O25" s="4" t="str" cm="1">
        <f t="array" ref="O25">_xlfn.IFS(P25&lt;=2,"Poor",P25=3,"Average",P25&gt;=4,"Good")</f>
        <v>Poor</v>
      </c>
      <c r="P25" s="3">
        <v>1</v>
      </c>
      <c r="Q25" s="2">
        <v>1</v>
      </c>
      <c r="R25" s="4" t="s">
        <v>57</v>
      </c>
      <c r="S25" s="4" t="s">
        <v>58</v>
      </c>
      <c r="T25" s="3">
        <v>0</v>
      </c>
      <c r="U25" s="4" t="str" cm="1">
        <f t="array" ref="U25">_xlfn.IFS(V25&lt;=4, "Dissatisfied",V25&lt;=7,"Neutral",V25&gt;=8,"Satisfied")</f>
        <v>Dissatisfied</v>
      </c>
      <c r="V25" s="3">
        <v>1</v>
      </c>
      <c r="W25" s="4" t="s">
        <v>57</v>
      </c>
      <c r="X25" s="4" t="s">
        <v>60</v>
      </c>
      <c r="Y25" s="4" t="s">
        <v>75</v>
      </c>
      <c r="Z25" s="1">
        <v>45301</v>
      </c>
      <c r="AA25" s="4" t="str" cm="1">
        <f t="array" ref="AA25">_xlfn.IFS(OR(AB25="December", AB25="February", AB25="January"), "Winter", OR(AB25="March", AB25="April", AB25="May"), "Spring", OR(AB25="June", AB25="July", AB25="August"), "Summer", TRUE, "Autumn")</f>
        <v>Winter</v>
      </c>
      <c r="AB25" s="7" t="str">
        <f>TEXT(Z25, "mmmm")</f>
        <v>January</v>
      </c>
      <c r="AC25" s="1" t="str">
        <f>TEXT(Z25, "dddd")</f>
        <v>Wednesday</v>
      </c>
      <c r="AD25" s="4" t="s">
        <v>62</v>
      </c>
      <c r="AE25" s="4" t="s">
        <v>62</v>
      </c>
      <c r="AF25" s="4" t="s">
        <v>92</v>
      </c>
      <c r="AG25" s="4" t="s">
        <v>93</v>
      </c>
      <c r="AH25" s="3">
        <v>6</v>
      </c>
    </row>
    <row r="26" spans="1:34">
      <c r="A26" s="4" t="s">
        <v>147</v>
      </c>
      <c r="B26" s="3">
        <v>38</v>
      </c>
      <c r="C26" s="9" t="str" cm="1">
        <f t="array" ref="C26">_xlfn.IFS(B26&gt;65,"+65",B26&gt;54,"55-65",B26&gt;44,"45-54",B26&gt;35,"36-44",B26&gt;25,"26-35",B26&gt;=18,"18-25")</f>
        <v>36-44</v>
      </c>
      <c r="D26" s="4" t="s">
        <v>78</v>
      </c>
      <c r="E26" s="4" t="s">
        <v>72</v>
      </c>
      <c r="F26" s="4" t="s">
        <v>67</v>
      </c>
      <c r="G26" s="4" t="s">
        <v>68</v>
      </c>
      <c r="H26" s="4" t="s">
        <v>148</v>
      </c>
      <c r="I26" s="4" t="s">
        <v>55</v>
      </c>
      <c r="J26" s="5">
        <v>54.17</v>
      </c>
      <c r="K26" s="3">
        <v>4</v>
      </c>
      <c r="L26" s="4" t="str">
        <f>IF(AND(J26&gt;350,K26&gt;6), "True","False")</f>
        <v>False</v>
      </c>
      <c r="M26" s="4" t="s">
        <v>83</v>
      </c>
      <c r="N26" s="3">
        <v>4</v>
      </c>
      <c r="O26" s="4" t="str" cm="1">
        <f t="array" ref="O26">_xlfn.IFS(P26&lt;=2,"Poor",P26=3,"Average",P26&gt;=4,"Good")</f>
        <v>Good</v>
      </c>
      <c r="P26" s="3">
        <v>5</v>
      </c>
      <c r="Q26" s="2">
        <v>0</v>
      </c>
      <c r="R26" s="4" t="s">
        <v>85</v>
      </c>
      <c r="S26" s="4" t="s">
        <v>84</v>
      </c>
      <c r="T26" s="3">
        <v>2</v>
      </c>
      <c r="U26" s="4" t="str" cm="1">
        <f t="array" ref="U26">_xlfn.IFS(V26&lt;=4, "Dissatisfied",V26&lt;=7,"Neutral",V26&gt;=8,"Satisfied")</f>
        <v>Dissatisfied</v>
      </c>
      <c r="V26" s="3">
        <v>2</v>
      </c>
      <c r="W26" s="4" t="s">
        <v>85</v>
      </c>
      <c r="X26" s="4" t="s">
        <v>101</v>
      </c>
      <c r="Y26" s="4" t="s">
        <v>119</v>
      </c>
      <c r="Z26" s="1">
        <v>45302</v>
      </c>
      <c r="AA26" s="4" t="str" cm="1">
        <f t="array" ref="AA26">_xlfn.IFS(OR(AB26="December", AB26="February", AB26="January"), "Winter", OR(AB26="March", AB26="April", AB26="May"), "Spring", OR(AB26="June", AB26="July", AB26="August"), "Summer", TRUE, "Autumn")</f>
        <v>Winter</v>
      </c>
      <c r="AB26" s="7" t="str">
        <f>TEXT(Z26, "mmmm")</f>
        <v>January</v>
      </c>
      <c r="AC26" s="1" t="str">
        <f>TEXT(Z26, "dddd")</f>
        <v>Thursday</v>
      </c>
      <c r="AD26" s="4" t="s">
        <v>76</v>
      </c>
      <c r="AE26" s="4" t="s">
        <v>62</v>
      </c>
      <c r="AF26" s="4" t="s">
        <v>87</v>
      </c>
      <c r="AG26" s="4" t="s">
        <v>88</v>
      </c>
      <c r="AH26" s="3">
        <v>7</v>
      </c>
    </row>
    <row r="27" spans="1:34">
      <c r="A27" s="4" t="s">
        <v>149</v>
      </c>
      <c r="B27" s="3">
        <v>32</v>
      </c>
      <c r="C27" s="9" t="str" cm="1">
        <f t="array" ref="C27">_xlfn.IFS(B27&gt;65,"+65",B27&gt;54,"55-65",B27&gt;44,"45-54",B27&gt;35,"36-44",B27&gt;25,"26-35",B27&gt;=18,"18-25")</f>
        <v>26-35</v>
      </c>
      <c r="D27" s="4" t="s">
        <v>78</v>
      </c>
      <c r="E27" s="4" t="s">
        <v>72</v>
      </c>
      <c r="F27" s="4" t="s">
        <v>52</v>
      </c>
      <c r="G27" s="4" t="s">
        <v>68</v>
      </c>
      <c r="H27" s="4" t="s">
        <v>150</v>
      </c>
      <c r="I27" s="4" t="s">
        <v>151</v>
      </c>
      <c r="J27" s="5">
        <v>71.72</v>
      </c>
      <c r="K27" s="3">
        <v>12</v>
      </c>
      <c r="L27" s="4" t="str">
        <f>IF(AND(J27&gt;350,K27&gt;6), "True","False")</f>
        <v>False</v>
      </c>
      <c r="M27" s="4" t="s">
        <v>56</v>
      </c>
      <c r="N27" s="3">
        <v>3</v>
      </c>
      <c r="O27" s="4" t="str" cm="1">
        <f t="array" ref="O27">_xlfn.IFS(P27&lt;=2,"Poor",P27=3,"Average",P27&gt;=4,"Good")</f>
        <v>Good</v>
      </c>
      <c r="P27" s="3">
        <v>5</v>
      </c>
      <c r="Q27" s="2">
        <v>1</v>
      </c>
      <c r="R27" s="4" t="s">
        <v>72</v>
      </c>
      <c r="S27" s="4" t="s">
        <v>84</v>
      </c>
      <c r="T27" s="3">
        <v>2</v>
      </c>
      <c r="U27" s="4" t="str" cm="1">
        <f t="array" ref="U27">_xlfn.IFS(V27&lt;=4, "Dissatisfied",V27&lt;=7,"Neutral",V27&gt;=8,"Satisfied")</f>
        <v>Neutral</v>
      </c>
      <c r="V27" s="3">
        <v>5</v>
      </c>
      <c r="W27" s="4" t="s">
        <v>59</v>
      </c>
      <c r="X27" s="4" t="s">
        <v>74</v>
      </c>
      <c r="Y27" s="4" t="s">
        <v>86</v>
      </c>
      <c r="Z27" s="1">
        <v>45302</v>
      </c>
      <c r="AA27" s="4" t="str" cm="1">
        <f t="array" ref="AA27">_xlfn.IFS(OR(AB27="December", AB27="February", AB27="January"), "Winter", OR(AB27="March", AB27="April", AB27="May"), "Spring", OR(AB27="June", AB27="July", AB27="August"), "Summer", TRUE, "Autumn")</f>
        <v>Winter</v>
      </c>
      <c r="AB27" s="7" t="str">
        <f>TEXT(Z27, "mmmm")</f>
        <v>January</v>
      </c>
      <c r="AC27" s="1" t="str">
        <f>TEXT(Z27, "dddd")</f>
        <v>Thursday</v>
      </c>
      <c r="AD27" s="4" t="s">
        <v>62</v>
      </c>
      <c r="AE27" s="4" t="s">
        <v>62</v>
      </c>
      <c r="AF27" s="4" t="s">
        <v>102</v>
      </c>
      <c r="AG27" s="4" t="s">
        <v>93</v>
      </c>
      <c r="AH27" s="3">
        <v>13</v>
      </c>
    </row>
    <row r="28" spans="1:34">
      <c r="A28" s="4" t="s">
        <v>152</v>
      </c>
      <c r="B28" s="3">
        <v>29</v>
      </c>
      <c r="C28" s="9" t="str" cm="1">
        <f t="array" ref="C28">_xlfn.IFS(B28&gt;65,"+65",B28&gt;54,"55-65",B28&gt;44,"45-54",B28&gt;35,"36-44",B28&gt;25,"26-35",B28&gt;=18,"18-25")</f>
        <v>26-35</v>
      </c>
      <c r="D28" s="4" t="s">
        <v>78</v>
      </c>
      <c r="E28" s="4" t="s">
        <v>72</v>
      </c>
      <c r="F28" s="4" t="s">
        <v>95</v>
      </c>
      <c r="G28" s="4" t="s">
        <v>53</v>
      </c>
      <c r="H28" s="4" t="s">
        <v>153</v>
      </c>
      <c r="I28" s="4" t="s">
        <v>122</v>
      </c>
      <c r="J28" s="5">
        <v>372.6</v>
      </c>
      <c r="K28" s="3">
        <v>3</v>
      </c>
      <c r="L28" s="4" t="str">
        <f>IF(AND(J28&gt;350,K28&gt;6), "True","False")</f>
        <v>False</v>
      </c>
      <c r="M28" s="4" t="s">
        <v>83</v>
      </c>
      <c r="N28" s="3">
        <v>4</v>
      </c>
      <c r="O28" s="4" t="str" cm="1">
        <f t="array" ref="O28">_xlfn.IFS(P28&lt;=2,"Poor",P28=3,"Average",P28&gt;=4,"Good")</f>
        <v>Good</v>
      </c>
      <c r="P28" s="3">
        <v>5</v>
      </c>
      <c r="Q28" s="2">
        <v>1</v>
      </c>
      <c r="R28" s="4" t="s">
        <v>72</v>
      </c>
      <c r="S28" s="4" t="s">
        <v>73</v>
      </c>
      <c r="T28" s="3">
        <v>2</v>
      </c>
      <c r="U28" s="4" t="str" cm="1">
        <f t="array" ref="U28">_xlfn.IFS(V28&lt;=4, "Dissatisfied",V28&lt;=7,"Neutral",V28&gt;=8,"Satisfied")</f>
        <v>Neutral</v>
      </c>
      <c r="V28" s="3">
        <v>6</v>
      </c>
      <c r="W28" s="4" t="s">
        <v>59</v>
      </c>
      <c r="X28" s="4" t="s">
        <v>74</v>
      </c>
      <c r="Y28" s="4" t="s">
        <v>86</v>
      </c>
      <c r="Z28" s="1">
        <v>45302</v>
      </c>
      <c r="AA28" s="4" t="str" cm="1">
        <f t="array" ref="AA28">_xlfn.IFS(OR(AB28="December", AB28="February", AB28="January"), "Winter", OR(AB28="March", AB28="April", AB28="May"), "Spring", OR(AB28="June", AB28="July", AB28="August"), "Summer", TRUE, "Autumn")</f>
        <v>Winter</v>
      </c>
      <c r="AB28" s="7" t="str">
        <f>TEXT(Z28, "mmmm")</f>
        <v>January</v>
      </c>
      <c r="AC28" s="1" t="str">
        <f>TEXT(Z28, "dddd")</f>
        <v>Thursday</v>
      </c>
      <c r="AD28" s="4" t="s">
        <v>62</v>
      </c>
      <c r="AE28" s="4" t="s">
        <v>62</v>
      </c>
      <c r="AF28" s="4" t="s">
        <v>87</v>
      </c>
      <c r="AG28" s="4" t="s">
        <v>93</v>
      </c>
      <c r="AH28" s="3">
        <v>10</v>
      </c>
    </row>
    <row r="29" spans="1:34">
      <c r="A29" s="4" t="s">
        <v>154</v>
      </c>
      <c r="B29" s="3">
        <v>44</v>
      </c>
      <c r="C29" s="9" t="str" cm="1">
        <f t="array" ref="C29">_xlfn.IFS(B29&gt;65,"+65",B29&gt;54,"55-65",B29&gt;44,"45-54",B29&gt;35,"36-44",B29&gt;25,"26-35",B29&gt;=18,"18-25")</f>
        <v>36-44</v>
      </c>
      <c r="D29" s="4" t="s">
        <v>78</v>
      </c>
      <c r="E29" s="4" t="s">
        <v>72</v>
      </c>
      <c r="F29" s="4" t="s">
        <v>95</v>
      </c>
      <c r="G29" s="4" t="s">
        <v>68</v>
      </c>
      <c r="H29" s="4" t="s">
        <v>155</v>
      </c>
      <c r="I29" s="4" t="s">
        <v>156</v>
      </c>
      <c r="J29" s="5">
        <v>63.91</v>
      </c>
      <c r="K29" s="3">
        <v>2</v>
      </c>
      <c r="L29" s="4" t="str">
        <f>IF(AND(J29&gt;350,K29&gt;6), "True","False")</f>
        <v>False</v>
      </c>
      <c r="M29" s="4" t="s">
        <v>56</v>
      </c>
      <c r="N29" s="3">
        <v>1</v>
      </c>
      <c r="O29" s="4" t="str" cm="1">
        <f t="array" ref="O29">_xlfn.IFS(P29&lt;=2,"Poor",P29=3,"Average",P29&gt;=4,"Good")</f>
        <v>Good</v>
      </c>
      <c r="P29" s="3">
        <v>4</v>
      </c>
      <c r="Q29" s="2">
        <v>2</v>
      </c>
      <c r="R29" s="4" t="s">
        <v>57</v>
      </c>
      <c r="S29" s="4" t="s">
        <v>58</v>
      </c>
      <c r="T29" s="3">
        <v>0</v>
      </c>
      <c r="U29" s="4" t="str" cm="1">
        <f t="array" ref="U29">_xlfn.IFS(V29&lt;=4, "Dissatisfied",V29&lt;=7,"Neutral",V29&gt;=8,"Satisfied")</f>
        <v>Neutral</v>
      </c>
      <c r="V29" s="3">
        <v>6</v>
      </c>
      <c r="W29" s="4" t="s">
        <v>85</v>
      </c>
      <c r="X29" s="4" t="s">
        <v>60</v>
      </c>
      <c r="Y29" s="4" t="s">
        <v>61</v>
      </c>
      <c r="Z29" s="1">
        <v>45303</v>
      </c>
      <c r="AA29" s="4" t="str" cm="1">
        <f t="array" ref="AA29">_xlfn.IFS(OR(AB29="December", AB29="February", AB29="January"), "Winter", OR(AB29="March", AB29="April", AB29="May"), "Spring", OR(AB29="June", AB29="July", AB29="August"), "Summer", TRUE, "Autumn")</f>
        <v>Winter</v>
      </c>
      <c r="AB29" s="7" t="str">
        <f>TEXT(Z29, "mmmm")</f>
        <v>January</v>
      </c>
      <c r="AC29" s="1" t="str">
        <f>TEXT(Z29, "dddd")</f>
        <v>Friday</v>
      </c>
      <c r="AD29" s="4" t="s">
        <v>76</v>
      </c>
      <c r="AE29" s="4" t="s">
        <v>62</v>
      </c>
      <c r="AF29" s="4" t="s">
        <v>87</v>
      </c>
      <c r="AG29" s="4" t="s">
        <v>88</v>
      </c>
      <c r="AH29" s="3">
        <v>12</v>
      </c>
    </row>
    <row r="30" spans="1:34">
      <c r="A30" s="4" t="s">
        <v>157</v>
      </c>
      <c r="B30" s="3">
        <v>41</v>
      </c>
      <c r="C30" s="9" t="str" cm="1">
        <f t="array" ref="C30">_xlfn.IFS(B30&gt;65,"+65",B30&gt;54,"55-65",B30&gt;44,"45-54",B30&gt;35,"36-44",B30&gt;25,"26-35",B30&gt;=18,"18-25")</f>
        <v>36-44</v>
      </c>
      <c r="D30" s="4" t="s">
        <v>66</v>
      </c>
      <c r="E30" s="4" t="s">
        <v>51</v>
      </c>
      <c r="F30" s="4" t="s">
        <v>79</v>
      </c>
      <c r="G30" s="4" t="s">
        <v>80</v>
      </c>
      <c r="H30" s="4" t="s">
        <v>158</v>
      </c>
      <c r="I30" s="4" t="s">
        <v>100</v>
      </c>
      <c r="J30" s="5">
        <v>50.78</v>
      </c>
      <c r="K30" s="3">
        <v>6</v>
      </c>
      <c r="L30" s="4" t="str">
        <f>IF(AND(J30&gt;350,K30&gt;6), "True","False")</f>
        <v>False</v>
      </c>
      <c r="M30" s="4" t="s">
        <v>56</v>
      </c>
      <c r="N30" s="3">
        <v>5</v>
      </c>
      <c r="O30" s="4" t="str" cm="1">
        <f t="array" ref="O30">_xlfn.IFS(P30&lt;=2,"Poor",P30=3,"Average",P30&gt;=4,"Good")</f>
        <v>Poor</v>
      </c>
      <c r="P30" s="3">
        <v>1</v>
      </c>
      <c r="Q30" s="2">
        <v>1</v>
      </c>
      <c r="R30" s="4" t="s">
        <v>59</v>
      </c>
      <c r="S30" s="4" t="s">
        <v>84</v>
      </c>
      <c r="T30" s="3">
        <v>1</v>
      </c>
      <c r="U30" s="4" t="str" cm="1">
        <f t="array" ref="U30">_xlfn.IFS(V30&lt;=4, "Dissatisfied",V30&lt;=7,"Neutral",V30&gt;=8,"Satisfied")</f>
        <v>Satisfied</v>
      </c>
      <c r="V30" s="3">
        <v>8</v>
      </c>
      <c r="W30" s="4" t="s">
        <v>57</v>
      </c>
      <c r="X30" s="4" t="s">
        <v>74</v>
      </c>
      <c r="Y30" s="4" t="s">
        <v>75</v>
      </c>
      <c r="Z30" s="1">
        <v>45303</v>
      </c>
      <c r="AA30" s="4" t="str" cm="1">
        <f t="array" ref="AA30">_xlfn.IFS(OR(AB30="December", AB30="February", AB30="January"), "Winter", OR(AB30="March", AB30="April", AB30="May"), "Spring", OR(AB30="June", AB30="July", AB30="August"), "Summer", TRUE, "Autumn")</f>
        <v>Winter</v>
      </c>
      <c r="AB30" s="7" t="str">
        <f>TEXT(Z30, "mmmm")</f>
        <v>January</v>
      </c>
      <c r="AC30" s="1" t="str">
        <f>TEXT(Z30, "dddd")</f>
        <v>Friday</v>
      </c>
      <c r="AD30" s="4" t="s">
        <v>76</v>
      </c>
      <c r="AE30" s="4" t="s">
        <v>62</v>
      </c>
      <c r="AF30" s="4" t="s">
        <v>63</v>
      </c>
      <c r="AG30" s="4" t="s">
        <v>64</v>
      </c>
      <c r="AH30" s="3">
        <v>9</v>
      </c>
    </row>
    <row r="31" spans="1:34">
      <c r="A31" s="4" t="s">
        <v>159</v>
      </c>
      <c r="B31" s="3">
        <v>37</v>
      </c>
      <c r="C31" s="9" t="str" cm="1">
        <f t="array" ref="C31">_xlfn.IFS(B31&gt;65,"+65",B31&gt;54,"55-65",B31&gt;44,"45-54",B31&gt;35,"36-44",B31&gt;25,"26-35",B31&gt;=18,"18-25")</f>
        <v>36-44</v>
      </c>
      <c r="D31" s="4" t="s">
        <v>160</v>
      </c>
      <c r="E31" s="4" t="s">
        <v>72</v>
      </c>
      <c r="F31" s="4" t="s">
        <v>52</v>
      </c>
      <c r="G31" s="4" t="s">
        <v>80</v>
      </c>
      <c r="H31" s="4" t="s">
        <v>161</v>
      </c>
      <c r="I31" s="4" t="s">
        <v>122</v>
      </c>
      <c r="J31" s="5">
        <v>198.89</v>
      </c>
      <c r="K31" s="3">
        <v>2</v>
      </c>
      <c r="L31" s="4" t="str">
        <f>IF(AND(J31&gt;350,K31&gt;6), "True","False")</f>
        <v>False</v>
      </c>
      <c r="M31" s="4" t="s">
        <v>71</v>
      </c>
      <c r="N31" s="3">
        <v>2</v>
      </c>
      <c r="O31" s="4" t="str" cm="1">
        <f t="array" ref="O31">_xlfn.IFS(P31&lt;=2,"Poor",P31=3,"Average",P31&gt;=4,"Good")</f>
        <v>Poor</v>
      </c>
      <c r="P31" s="3">
        <v>2</v>
      </c>
      <c r="Q31" s="2">
        <v>0</v>
      </c>
      <c r="R31" s="4" t="s">
        <v>72</v>
      </c>
      <c r="S31" s="4" t="s">
        <v>58</v>
      </c>
      <c r="T31" s="3">
        <v>0</v>
      </c>
      <c r="U31" s="4" t="str" cm="1">
        <f t="array" ref="U31">_xlfn.IFS(V31&lt;=4, "Dissatisfied",V31&lt;=7,"Neutral",V31&gt;=8,"Satisfied")</f>
        <v>Dissatisfied</v>
      </c>
      <c r="V31" s="3">
        <v>4</v>
      </c>
      <c r="W31" s="4" t="s">
        <v>59</v>
      </c>
      <c r="X31" s="4" t="s">
        <v>74</v>
      </c>
      <c r="Y31" s="4" t="s">
        <v>119</v>
      </c>
      <c r="Z31" s="1">
        <v>45303</v>
      </c>
      <c r="AA31" s="4" t="str" cm="1">
        <f t="array" ref="AA31">_xlfn.IFS(OR(AB31="December", AB31="February", AB31="January"), "Winter", OR(AB31="March", AB31="April", AB31="May"), "Spring", OR(AB31="June", AB31="July", AB31="August"), "Summer", TRUE, "Autumn")</f>
        <v>Winter</v>
      </c>
      <c r="AB31" s="7" t="str">
        <f>TEXT(Z31, "mmmm")</f>
        <v>January</v>
      </c>
      <c r="AC31" s="1" t="str">
        <f>TEXT(Z31, "dddd")</f>
        <v>Friday</v>
      </c>
      <c r="AD31" s="4" t="s">
        <v>76</v>
      </c>
      <c r="AE31" s="4" t="s">
        <v>76</v>
      </c>
      <c r="AF31" s="4" t="s">
        <v>92</v>
      </c>
      <c r="AG31" s="4" t="s">
        <v>64</v>
      </c>
      <c r="AH31" s="3">
        <v>1</v>
      </c>
    </row>
    <row r="32" spans="1:34">
      <c r="A32" s="4" t="s">
        <v>162</v>
      </c>
      <c r="B32" s="3">
        <v>45</v>
      </c>
      <c r="C32" s="9" t="str" cm="1">
        <f t="array" ref="C32">_xlfn.IFS(B32&gt;65,"+65",B32&gt;54,"55-65",B32&gt;44,"45-54",B32&gt;35,"36-44",B32&gt;25,"26-35",B32&gt;=18,"18-25")</f>
        <v>45-54</v>
      </c>
      <c r="D32" s="4" t="s">
        <v>78</v>
      </c>
      <c r="E32" s="4" t="s">
        <v>72</v>
      </c>
      <c r="F32" s="4" t="s">
        <v>79</v>
      </c>
      <c r="G32" s="4" t="s">
        <v>68</v>
      </c>
      <c r="H32" s="4" t="s">
        <v>163</v>
      </c>
      <c r="I32" s="4" t="s">
        <v>164</v>
      </c>
      <c r="J32" s="5">
        <v>489.27</v>
      </c>
      <c r="K32" s="3">
        <v>4</v>
      </c>
      <c r="L32" s="4" t="str">
        <f>IF(AND(J32&gt;350,K32&gt;6), "True","False")</f>
        <v>False</v>
      </c>
      <c r="M32" s="4" t="s">
        <v>83</v>
      </c>
      <c r="N32" s="3">
        <v>1</v>
      </c>
      <c r="O32" s="4" t="str" cm="1">
        <f t="array" ref="O32">_xlfn.IFS(P32&lt;=2,"Poor",P32=3,"Average",P32&gt;=4,"Good")</f>
        <v>Good</v>
      </c>
      <c r="P32" s="3">
        <v>4</v>
      </c>
      <c r="Q32" s="2">
        <v>1</v>
      </c>
      <c r="R32" s="4" t="s">
        <v>72</v>
      </c>
      <c r="S32" s="4" t="s">
        <v>84</v>
      </c>
      <c r="T32" s="3">
        <v>1</v>
      </c>
      <c r="U32" s="4" t="str" cm="1">
        <f t="array" ref="U32">_xlfn.IFS(V32&lt;=4, "Dissatisfied",V32&lt;=7,"Neutral",V32&gt;=8,"Satisfied")</f>
        <v>Dissatisfied</v>
      </c>
      <c r="V32" s="3">
        <v>3</v>
      </c>
      <c r="W32" s="4" t="s">
        <v>57</v>
      </c>
      <c r="X32" s="4" t="s">
        <v>74</v>
      </c>
      <c r="Y32" s="4" t="s">
        <v>75</v>
      </c>
      <c r="Z32" s="1">
        <v>45304</v>
      </c>
      <c r="AA32" s="4" t="str" cm="1">
        <f t="array" ref="AA32">_xlfn.IFS(OR(AB32="December", AB32="February", AB32="January"), "Winter", OR(AB32="March", AB32="April", AB32="May"), "Spring", OR(AB32="June", AB32="July", AB32="August"), "Summer", TRUE, "Autumn")</f>
        <v>Winter</v>
      </c>
      <c r="AB32" s="7" t="str">
        <f>TEXT(Z32, "mmmm")</f>
        <v>January</v>
      </c>
      <c r="AC32" s="1" t="str">
        <f>TEXT(Z32, "dddd")</f>
        <v>Saturday</v>
      </c>
      <c r="AD32" s="4" t="s">
        <v>76</v>
      </c>
      <c r="AE32" s="4" t="s">
        <v>76</v>
      </c>
      <c r="AF32" s="4" t="s">
        <v>102</v>
      </c>
      <c r="AG32" s="4" t="s">
        <v>64</v>
      </c>
      <c r="AH32" s="3">
        <v>3</v>
      </c>
    </row>
    <row r="33" spans="1:34">
      <c r="A33" s="4" t="s">
        <v>165</v>
      </c>
      <c r="B33" s="3">
        <v>35</v>
      </c>
      <c r="C33" s="9" t="str" cm="1">
        <f t="array" ref="C33">_xlfn.IFS(B33&gt;65,"+65",B33&gt;54,"55-65",B33&gt;44,"45-54",B33&gt;35,"36-44",B33&gt;25,"26-35",B33&gt;=18,"18-25")</f>
        <v>26-35</v>
      </c>
      <c r="D33" s="4" t="s">
        <v>66</v>
      </c>
      <c r="E33" s="4" t="s">
        <v>51</v>
      </c>
      <c r="F33" s="4" t="s">
        <v>79</v>
      </c>
      <c r="G33" s="4" t="s">
        <v>68</v>
      </c>
      <c r="H33" s="4" t="s">
        <v>166</v>
      </c>
      <c r="I33" s="4" t="s">
        <v>156</v>
      </c>
      <c r="J33" s="5">
        <v>151.81</v>
      </c>
      <c r="K33" s="3">
        <v>8</v>
      </c>
      <c r="L33" s="4" t="str">
        <f>IF(AND(J33&gt;350,K33&gt;6), "True","False")</f>
        <v>False</v>
      </c>
      <c r="M33" s="4" t="s">
        <v>56</v>
      </c>
      <c r="N33" s="3">
        <v>3</v>
      </c>
      <c r="O33" s="4" t="str" cm="1">
        <f t="array" ref="O33">_xlfn.IFS(P33&lt;=2,"Poor",P33=3,"Average",P33&gt;=4,"Good")</f>
        <v>Good</v>
      </c>
      <c r="P33" s="3">
        <v>4</v>
      </c>
      <c r="Q33" s="2">
        <v>0</v>
      </c>
      <c r="R33" s="4" t="s">
        <v>85</v>
      </c>
      <c r="S33" s="4" t="s">
        <v>58</v>
      </c>
      <c r="T33" s="3">
        <v>1</v>
      </c>
      <c r="U33" s="4" t="str" cm="1">
        <f t="array" ref="U33">_xlfn.IFS(V33&lt;=4, "Dissatisfied",V33&lt;=7,"Neutral",V33&gt;=8,"Satisfied")</f>
        <v>Satisfied</v>
      </c>
      <c r="V33" s="3">
        <v>10</v>
      </c>
      <c r="W33" s="4" t="s">
        <v>57</v>
      </c>
      <c r="X33" s="4" t="s">
        <v>74</v>
      </c>
      <c r="Y33" s="4" t="s">
        <v>75</v>
      </c>
      <c r="Z33" s="1">
        <v>45304</v>
      </c>
      <c r="AA33" s="4" t="str" cm="1">
        <f t="array" ref="AA33">_xlfn.IFS(OR(AB33="December", AB33="February", AB33="January"), "Winter", OR(AB33="March", AB33="April", AB33="May"), "Spring", OR(AB33="June", AB33="July", AB33="August"), "Summer", TRUE, "Autumn")</f>
        <v>Winter</v>
      </c>
      <c r="AB33" s="7" t="str">
        <f>TEXT(Z33, "mmmm")</f>
        <v>January</v>
      </c>
      <c r="AC33" s="1" t="str">
        <f>TEXT(Z33, "dddd")</f>
        <v>Saturday</v>
      </c>
      <c r="AD33" s="4" t="s">
        <v>76</v>
      </c>
      <c r="AE33" s="4" t="s">
        <v>76</v>
      </c>
      <c r="AF33" s="4" t="s">
        <v>87</v>
      </c>
      <c r="AG33" s="4" t="s">
        <v>88</v>
      </c>
      <c r="AH33" s="3">
        <v>1</v>
      </c>
    </row>
    <row r="34" spans="1:34">
      <c r="A34" s="4" t="s">
        <v>167</v>
      </c>
      <c r="B34" s="3">
        <v>30</v>
      </c>
      <c r="C34" s="9" t="str" cm="1">
        <f t="array" ref="C34">_xlfn.IFS(B34&gt;65,"+65",B34&gt;54,"55-65",B34&gt;44,"45-54",B34&gt;35,"36-44",B34&gt;25,"26-35",B34&gt;=18,"18-25")</f>
        <v>26-35</v>
      </c>
      <c r="D34" s="4" t="s">
        <v>78</v>
      </c>
      <c r="E34" s="4" t="s">
        <v>72</v>
      </c>
      <c r="F34" s="4" t="s">
        <v>52</v>
      </c>
      <c r="G34" s="4" t="s">
        <v>80</v>
      </c>
      <c r="H34" s="4" t="s">
        <v>168</v>
      </c>
      <c r="I34" s="4" t="s">
        <v>169</v>
      </c>
      <c r="J34" s="5">
        <v>450.52</v>
      </c>
      <c r="K34" s="3">
        <v>8</v>
      </c>
      <c r="L34" s="4" t="str">
        <f>IF(AND(J34&gt;350,K34&gt;6), "True","False")</f>
        <v>True</v>
      </c>
      <c r="M34" s="4" t="s">
        <v>56</v>
      </c>
      <c r="N34" s="3">
        <v>2</v>
      </c>
      <c r="O34" s="4" t="str" cm="1">
        <f t="array" ref="O34">_xlfn.IFS(P34&lt;=2,"Poor",P34=3,"Average",P34&gt;=4,"Good")</f>
        <v>Poor</v>
      </c>
      <c r="P34" s="3">
        <v>2</v>
      </c>
      <c r="Q34" s="2">
        <v>0.2</v>
      </c>
      <c r="R34" s="4" t="s">
        <v>72</v>
      </c>
      <c r="S34" s="4" t="s">
        <v>84</v>
      </c>
      <c r="T34" s="3">
        <v>0</v>
      </c>
      <c r="U34" s="4" t="str" cm="1">
        <f t="array" ref="U34">_xlfn.IFS(V34&lt;=4, "Dissatisfied",V34&lt;=7,"Neutral",V34&gt;=8,"Satisfied")</f>
        <v>Neutral</v>
      </c>
      <c r="V34" s="3">
        <v>6</v>
      </c>
      <c r="W34" s="4" t="s">
        <v>59</v>
      </c>
      <c r="X34" s="4" t="s">
        <v>101</v>
      </c>
      <c r="Y34" s="4" t="s">
        <v>86</v>
      </c>
      <c r="Z34" s="1">
        <v>45304</v>
      </c>
      <c r="AA34" s="4" t="str" cm="1">
        <f t="array" ref="AA34">_xlfn.IFS(OR(AB34="December", AB34="February", AB34="January"), "Winter", OR(AB34="March", AB34="April", AB34="May"), "Spring", OR(AB34="June", AB34="July", AB34="August"), "Summer", TRUE, "Autumn")</f>
        <v>Winter</v>
      </c>
      <c r="AB34" s="7" t="str">
        <f>TEXT(Z34, "mmmm")</f>
        <v>January</v>
      </c>
      <c r="AC34" s="1" t="str">
        <f>TEXT(Z34, "dddd")</f>
        <v>Saturday</v>
      </c>
      <c r="AD34" s="4" t="s">
        <v>62</v>
      </c>
      <c r="AE34" s="4" t="s">
        <v>62</v>
      </c>
      <c r="AF34" s="4" t="s">
        <v>63</v>
      </c>
      <c r="AG34" s="4" t="s">
        <v>88</v>
      </c>
      <c r="AH34" s="3">
        <v>8</v>
      </c>
    </row>
    <row r="35" spans="1:34">
      <c r="A35" s="4" t="s">
        <v>170</v>
      </c>
      <c r="B35" s="3">
        <v>38</v>
      </c>
      <c r="C35" s="9" t="str" cm="1">
        <f t="array" ref="C35">_xlfn.IFS(B35&gt;65,"+65",B35&gt;54,"55-65",B35&gt;44,"45-54",B35&gt;35,"36-44",B35&gt;25,"26-35",B35&gt;=18,"18-25")</f>
        <v>36-44</v>
      </c>
      <c r="D35" s="4" t="s">
        <v>78</v>
      </c>
      <c r="E35" s="4" t="s">
        <v>51</v>
      </c>
      <c r="F35" s="4" t="s">
        <v>67</v>
      </c>
      <c r="G35" s="4" t="s">
        <v>68</v>
      </c>
      <c r="H35" s="4" t="s">
        <v>171</v>
      </c>
      <c r="I35" s="4" t="s">
        <v>172</v>
      </c>
      <c r="J35" s="5">
        <v>229.56</v>
      </c>
      <c r="K35" s="3">
        <v>9</v>
      </c>
      <c r="L35" s="4" t="str">
        <f>IF(AND(J35&gt;350,K35&gt;6), "True","False")</f>
        <v>False</v>
      </c>
      <c r="M35" s="4" t="s">
        <v>56</v>
      </c>
      <c r="N35" s="3">
        <v>1</v>
      </c>
      <c r="O35" s="4" t="str" cm="1">
        <f t="array" ref="O35">_xlfn.IFS(P35&lt;=2,"Poor",P35=3,"Average",P35&gt;=4,"Good")</f>
        <v>Poor</v>
      </c>
      <c r="P35" s="3">
        <v>2</v>
      </c>
      <c r="Q35" s="2">
        <v>1</v>
      </c>
      <c r="R35" s="4" t="s">
        <v>57</v>
      </c>
      <c r="S35" s="4" t="s">
        <v>84</v>
      </c>
      <c r="T35" s="3">
        <v>0</v>
      </c>
      <c r="U35" s="4" t="str" cm="1">
        <f t="array" ref="U35">_xlfn.IFS(V35&lt;=4, "Dissatisfied",V35&lt;=7,"Neutral",V35&gt;=8,"Satisfied")</f>
        <v>Satisfied</v>
      </c>
      <c r="V35" s="3">
        <v>9</v>
      </c>
      <c r="W35" s="4" t="s">
        <v>59</v>
      </c>
      <c r="X35" s="4" t="s">
        <v>74</v>
      </c>
      <c r="Y35" s="4" t="s">
        <v>86</v>
      </c>
      <c r="Z35" s="1">
        <v>45305</v>
      </c>
      <c r="AA35" s="4" t="str" cm="1">
        <f t="array" ref="AA35">_xlfn.IFS(OR(AB35="December", AB35="February", AB35="January"), "Winter", OR(AB35="March", AB35="April", AB35="May"), "Spring", OR(AB35="June", AB35="July", AB35="August"), "Summer", TRUE, "Autumn")</f>
        <v>Winter</v>
      </c>
      <c r="AB35" s="7" t="str">
        <f>TEXT(Z35, "mmmm")</f>
        <v>January</v>
      </c>
      <c r="AC35" s="1" t="str">
        <f>TEXT(Z35, "dddd")</f>
        <v>Sunday</v>
      </c>
      <c r="AD35" s="4" t="s">
        <v>62</v>
      </c>
      <c r="AE35" s="4" t="s">
        <v>62</v>
      </c>
      <c r="AF35" s="4" t="s">
        <v>63</v>
      </c>
      <c r="AG35" s="4" t="s">
        <v>88</v>
      </c>
      <c r="AH35" s="3">
        <v>11</v>
      </c>
    </row>
    <row r="36" spans="1:34">
      <c r="A36" s="4" t="s">
        <v>173</v>
      </c>
      <c r="B36" s="3">
        <v>27</v>
      </c>
      <c r="C36" s="9" t="str" cm="1">
        <f t="array" ref="C36">_xlfn.IFS(B36&gt;65,"+65",B36&gt;54,"55-65",B36&gt;44,"45-54",B36&gt;35,"36-44",B36&gt;25,"26-35",B36&gt;=18,"18-25")</f>
        <v>26-35</v>
      </c>
      <c r="D36" s="4" t="s">
        <v>66</v>
      </c>
      <c r="E36" s="4" t="s">
        <v>51</v>
      </c>
      <c r="F36" s="4" t="s">
        <v>79</v>
      </c>
      <c r="G36" s="4" t="s">
        <v>80</v>
      </c>
      <c r="H36" s="4" t="s">
        <v>174</v>
      </c>
      <c r="I36" s="4" t="s">
        <v>70</v>
      </c>
      <c r="J36" s="5">
        <v>166.74</v>
      </c>
      <c r="K36" s="3">
        <v>6</v>
      </c>
      <c r="L36" s="4" t="str">
        <f>IF(AND(J36&gt;350,K36&gt;6), "True","False")</f>
        <v>False</v>
      </c>
      <c r="M36" s="4" t="s">
        <v>83</v>
      </c>
      <c r="N36" s="3">
        <v>2</v>
      </c>
      <c r="O36" s="4" t="str" cm="1">
        <f t="array" ref="O36">_xlfn.IFS(P36&lt;=2,"Poor",P36=3,"Average",P36&gt;=4,"Good")</f>
        <v>Good</v>
      </c>
      <c r="P36" s="3">
        <v>5</v>
      </c>
      <c r="Q36" s="2">
        <v>0</v>
      </c>
      <c r="R36" s="4" t="s">
        <v>72</v>
      </c>
      <c r="S36" s="4" t="s">
        <v>58</v>
      </c>
      <c r="T36" s="3">
        <v>0</v>
      </c>
      <c r="U36" s="4" t="str" cm="1">
        <f t="array" ref="U36">_xlfn.IFS(V36&lt;=4, "Dissatisfied",V36&lt;=7,"Neutral",V36&gt;=8,"Satisfied")</f>
        <v>Neutral</v>
      </c>
      <c r="V36" s="3">
        <v>6</v>
      </c>
      <c r="W36" s="4" t="s">
        <v>59</v>
      </c>
      <c r="X36" s="4" t="s">
        <v>101</v>
      </c>
      <c r="Y36" s="4" t="s">
        <v>111</v>
      </c>
      <c r="Z36" s="1">
        <v>45305</v>
      </c>
      <c r="AA36" s="4" t="str" cm="1">
        <f t="array" ref="AA36">_xlfn.IFS(OR(AB36="December", AB36="February", AB36="January"), "Winter", OR(AB36="March", AB36="April", AB36="May"), "Spring", OR(AB36="June", AB36="July", AB36="August"), "Summer", TRUE, "Autumn")</f>
        <v>Winter</v>
      </c>
      <c r="AB36" s="7" t="str">
        <f>TEXT(Z36, "mmmm")</f>
        <v>January</v>
      </c>
      <c r="AC36" s="1" t="str">
        <f>TEXT(Z36, "dddd")</f>
        <v>Sunday</v>
      </c>
      <c r="AD36" s="4" t="s">
        <v>76</v>
      </c>
      <c r="AE36" s="4" t="s">
        <v>76</v>
      </c>
      <c r="AF36" s="4" t="s">
        <v>92</v>
      </c>
      <c r="AG36" s="4" t="s">
        <v>88</v>
      </c>
      <c r="AH36" s="3">
        <v>1</v>
      </c>
    </row>
    <row r="37" spans="1:34">
      <c r="A37" s="4" t="s">
        <v>175</v>
      </c>
      <c r="B37" s="3">
        <v>46</v>
      </c>
      <c r="C37" s="9" t="str" cm="1">
        <f t="array" ref="C37">_xlfn.IFS(B37&gt;65,"+65",B37&gt;54,"55-65",B37&gt;44,"45-54",B37&gt;35,"36-44",B37&gt;25,"26-35",B37&gt;=18,"18-25")</f>
        <v>45-54</v>
      </c>
      <c r="D37" s="4" t="s">
        <v>66</v>
      </c>
      <c r="E37" s="4" t="s">
        <v>51</v>
      </c>
      <c r="F37" s="4" t="s">
        <v>95</v>
      </c>
      <c r="G37" s="4" t="s">
        <v>68</v>
      </c>
      <c r="H37" s="4" t="s">
        <v>176</v>
      </c>
      <c r="I37" s="4" t="s">
        <v>110</v>
      </c>
      <c r="J37" s="5">
        <v>79.430000000000007</v>
      </c>
      <c r="K37" s="3">
        <v>3</v>
      </c>
      <c r="L37" s="4" t="str">
        <f>IF(AND(J37&gt;350,K37&gt;6), "True","False")</f>
        <v>False</v>
      </c>
      <c r="M37" s="4" t="s">
        <v>71</v>
      </c>
      <c r="N37" s="3">
        <v>1</v>
      </c>
      <c r="O37" s="4" t="str" cm="1">
        <f t="array" ref="O37">_xlfn.IFS(P37&lt;=2,"Poor",P37=3,"Average",P37&gt;=4,"Good")</f>
        <v>Good</v>
      </c>
      <c r="P37" s="3">
        <v>5</v>
      </c>
      <c r="Q37" s="2">
        <v>0</v>
      </c>
      <c r="R37" s="4" t="s">
        <v>85</v>
      </c>
      <c r="S37" s="4" t="s">
        <v>84</v>
      </c>
      <c r="T37" s="3">
        <v>2</v>
      </c>
      <c r="U37" s="4" t="str" cm="1">
        <f t="array" ref="U37">_xlfn.IFS(V37&lt;=4, "Dissatisfied",V37&lt;=7,"Neutral",V37&gt;=8,"Satisfied")</f>
        <v>Neutral</v>
      </c>
      <c r="V37" s="3">
        <v>7</v>
      </c>
      <c r="W37" s="4" t="s">
        <v>57</v>
      </c>
      <c r="X37" s="4" t="s">
        <v>60</v>
      </c>
      <c r="Y37" s="4" t="s">
        <v>86</v>
      </c>
      <c r="Z37" s="1">
        <v>45306</v>
      </c>
      <c r="AA37" s="4" t="str" cm="1">
        <f t="array" ref="AA37">_xlfn.IFS(OR(AB37="December", AB37="February", AB37="January"), "Winter", OR(AB37="March", AB37="April", AB37="May"), "Spring", OR(AB37="June", AB37="July", AB37="August"), "Summer", TRUE, "Autumn")</f>
        <v>Winter</v>
      </c>
      <c r="AB37" s="7" t="str">
        <f>TEXT(Z37, "mmmm")</f>
        <v>January</v>
      </c>
      <c r="AC37" s="1" t="str">
        <f>TEXT(Z37, "dddd")</f>
        <v>Monday</v>
      </c>
      <c r="AD37" s="4" t="s">
        <v>76</v>
      </c>
      <c r="AE37" s="4" t="s">
        <v>76</v>
      </c>
      <c r="AF37" s="4" t="s">
        <v>102</v>
      </c>
      <c r="AG37" s="4" t="s">
        <v>88</v>
      </c>
      <c r="AH37" s="3">
        <v>6</v>
      </c>
    </row>
    <row r="38" spans="1:34">
      <c r="A38" s="4" t="s">
        <v>177</v>
      </c>
      <c r="B38" s="3">
        <v>30</v>
      </c>
      <c r="C38" s="9" t="str" cm="1">
        <f t="array" ref="C38">_xlfn.IFS(B38&gt;65,"+65",B38&gt;54,"55-65",B38&gt;44,"45-54",B38&gt;35,"36-44",B38&gt;25,"26-35",B38&gt;=18,"18-25")</f>
        <v>26-35</v>
      </c>
      <c r="D38" s="4" t="s">
        <v>78</v>
      </c>
      <c r="E38" s="4" t="s">
        <v>72</v>
      </c>
      <c r="F38" s="4" t="s">
        <v>95</v>
      </c>
      <c r="G38" s="4" t="s">
        <v>80</v>
      </c>
      <c r="H38" s="4" t="s">
        <v>178</v>
      </c>
      <c r="I38" s="4" t="s">
        <v>151</v>
      </c>
      <c r="J38" s="5">
        <v>349</v>
      </c>
      <c r="K38" s="3">
        <v>10</v>
      </c>
      <c r="L38" s="4" t="str">
        <f>IF(AND(J38&gt;350,K38&gt;6), "True","False")</f>
        <v>False</v>
      </c>
      <c r="M38" s="4" t="s">
        <v>83</v>
      </c>
      <c r="N38" s="3">
        <v>3</v>
      </c>
      <c r="O38" s="4" t="str" cm="1">
        <f t="array" ref="O38">_xlfn.IFS(P38&lt;=2,"Poor",P38=3,"Average",P38&gt;=4,"Good")</f>
        <v>Good</v>
      </c>
      <c r="P38" s="3">
        <v>5</v>
      </c>
      <c r="Q38" s="2">
        <v>1</v>
      </c>
      <c r="R38" s="4" t="s">
        <v>59</v>
      </c>
      <c r="S38" s="4" t="s">
        <v>58</v>
      </c>
      <c r="T38" s="3">
        <v>1</v>
      </c>
      <c r="U38" s="4" t="str" cm="1">
        <f t="array" ref="U38">_xlfn.IFS(V38&lt;=4, "Dissatisfied",V38&lt;=7,"Neutral",V38&gt;=8,"Satisfied")</f>
        <v>Neutral</v>
      </c>
      <c r="V38" s="3">
        <v>5</v>
      </c>
      <c r="W38" s="4" t="s">
        <v>59</v>
      </c>
      <c r="X38" s="4" t="s">
        <v>101</v>
      </c>
      <c r="Y38" s="4" t="s">
        <v>86</v>
      </c>
      <c r="Z38" s="1">
        <v>45306</v>
      </c>
      <c r="AA38" s="4" t="str" cm="1">
        <f t="array" ref="AA38">_xlfn.IFS(OR(AB38="December", AB38="February", AB38="January"), "Winter", OR(AB38="March", AB38="April", AB38="May"), "Spring", OR(AB38="June", AB38="July", AB38="August"), "Summer", TRUE, "Autumn")</f>
        <v>Winter</v>
      </c>
      <c r="AB38" s="7" t="str">
        <f>TEXT(Z38, "mmmm")</f>
        <v>January</v>
      </c>
      <c r="AC38" s="1" t="str">
        <f>TEXT(Z38, "dddd")</f>
        <v>Monday</v>
      </c>
      <c r="AD38" s="4" t="s">
        <v>76</v>
      </c>
      <c r="AE38" s="4" t="s">
        <v>62</v>
      </c>
      <c r="AF38" s="4" t="s">
        <v>87</v>
      </c>
      <c r="AG38" s="4" t="s">
        <v>88</v>
      </c>
      <c r="AH38" s="3">
        <v>10</v>
      </c>
    </row>
    <row r="39" spans="1:34">
      <c r="A39" s="4" t="s">
        <v>179</v>
      </c>
      <c r="B39" s="3">
        <v>50</v>
      </c>
      <c r="C39" s="9" t="str" cm="1">
        <f t="array" ref="C39">_xlfn.IFS(B39&gt;65,"+65",B39&gt;54,"55-65",B39&gt;44,"45-54",B39&gt;35,"36-44",B39&gt;25,"26-35",B39&gt;=18,"18-25")</f>
        <v>45-54</v>
      </c>
      <c r="D39" s="4" t="s">
        <v>66</v>
      </c>
      <c r="E39" s="4" t="s">
        <v>72</v>
      </c>
      <c r="F39" s="4" t="s">
        <v>52</v>
      </c>
      <c r="G39" s="4" t="s">
        <v>53</v>
      </c>
      <c r="H39" s="4" t="s">
        <v>180</v>
      </c>
      <c r="I39" s="4" t="s">
        <v>164</v>
      </c>
      <c r="J39" s="5">
        <v>486.07</v>
      </c>
      <c r="K39" s="3">
        <v>11</v>
      </c>
      <c r="L39" s="4" t="str">
        <f>IF(AND(J39&gt;350,K39&gt;6), "True","False")</f>
        <v>True</v>
      </c>
      <c r="M39" s="4" t="s">
        <v>83</v>
      </c>
      <c r="N39" s="3">
        <v>5</v>
      </c>
      <c r="O39" s="4" t="str" cm="1">
        <f t="array" ref="O39">_xlfn.IFS(P39&lt;=2,"Poor",P39=3,"Average",P39&gt;=4,"Good")</f>
        <v>Poor</v>
      </c>
      <c r="P39" s="3">
        <v>1</v>
      </c>
      <c r="Q39" s="2">
        <v>0</v>
      </c>
      <c r="R39" s="4" t="s">
        <v>85</v>
      </c>
      <c r="S39" s="4" t="s">
        <v>84</v>
      </c>
      <c r="T39" s="3">
        <v>2</v>
      </c>
      <c r="U39" s="4" t="str" cm="1">
        <f t="array" ref="U39">_xlfn.IFS(V39&lt;=4, "Dissatisfied",V39&lt;=7,"Neutral",V39&gt;=8,"Satisfied")</f>
        <v>Neutral</v>
      </c>
      <c r="V39" s="3">
        <v>6</v>
      </c>
      <c r="W39" s="4" t="s">
        <v>57</v>
      </c>
      <c r="X39" s="4" t="s">
        <v>74</v>
      </c>
      <c r="Y39" s="4" t="s">
        <v>119</v>
      </c>
      <c r="Z39" s="1">
        <v>45307</v>
      </c>
      <c r="AA39" s="4" t="str" cm="1">
        <f t="array" ref="AA39">_xlfn.IFS(OR(AB39="December", AB39="February", AB39="January"), "Winter", OR(AB39="March", AB39="April", AB39="May"), "Spring", OR(AB39="June", AB39="July", AB39="August"), "Summer", TRUE, "Autumn")</f>
        <v>Winter</v>
      </c>
      <c r="AB39" s="7" t="str">
        <f>TEXT(Z39, "mmmm")</f>
        <v>January</v>
      </c>
      <c r="AC39" s="1" t="str">
        <f>TEXT(Z39, "dddd")</f>
        <v>Tuesday</v>
      </c>
      <c r="AD39" s="4" t="s">
        <v>76</v>
      </c>
      <c r="AE39" s="4" t="s">
        <v>76</v>
      </c>
      <c r="AF39" s="4" t="s">
        <v>87</v>
      </c>
      <c r="AG39" s="4" t="s">
        <v>64</v>
      </c>
      <c r="AH39" s="3">
        <v>12</v>
      </c>
    </row>
    <row r="40" spans="1:34">
      <c r="A40" s="4" t="s">
        <v>181</v>
      </c>
      <c r="B40" s="3">
        <v>34</v>
      </c>
      <c r="C40" s="9" t="str" cm="1">
        <f t="array" ref="C40">_xlfn.IFS(B40&gt;65,"+65",B40&gt;54,"55-65",B40&gt;44,"45-54",B40&gt;35,"36-44",B40&gt;25,"26-35",B40&gt;=18,"18-25")</f>
        <v>26-35</v>
      </c>
      <c r="D40" s="4" t="s">
        <v>66</v>
      </c>
      <c r="E40" s="4" t="s">
        <v>72</v>
      </c>
      <c r="F40" s="4" t="s">
        <v>52</v>
      </c>
      <c r="G40" s="4" t="s">
        <v>68</v>
      </c>
      <c r="H40" s="4" t="s">
        <v>182</v>
      </c>
      <c r="I40" s="4" t="s">
        <v>100</v>
      </c>
      <c r="J40" s="5">
        <v>217.84</v>
      </c>
      <c r="K40" s="3">
        <v>10</v>
      </c>
      <c r="L40" s="4" t="str">
        <f>IF(AND(J40&gt;350,K40&gt;6), "True","False")</f>
        <v>False</v>
      </c>
      <c r="M40" s="4" t="s">
        <v>56</v>
      </c>
      <c r="N40" s="3">
        <v>2</v>
      </c>
      <c r="O40" s="4" t="str" cm="1">
        <f t="array" ref="O40">_xlfn.IFS(P40&lt;=2,"Poor",P40=3,"Average",P40&gt;=4,"Good")</f>
        <v>Poor</v>
      </c>
      <c r="P40" s="3">
        <v>2</v>
      </c>
      <c r="Q40" s="2">
        <v>2</v>
      </c>
      <c r="R40" s="4" t="s">
        <v>57</v>
      </c>
      <c r="S40" s="4" t="s">
        <v>73</v>
      </c>
      <c r="T40" s="3">
        <v>0</v>
      </c>
      <c r="U40" s="4" t="str" cm="1">
        <f t="array" ref="U40">_xlfn.IFS(V40&lt;=4, "Dissatisfied",V40&lt;=7,"Neutral",V40&gt;=8,"Satisfied")</f>
        <v>Satisfied</v>
      </c>
      <c r="V40" s="3">
        <v>8</v>
      </c>
      <c r="W40" s="4" t="s">
        <v>72</v>
      </c>
      <c r="X40" s="4" t="s">
        <v>74</v>
      </c>
      <c r="Y40" s="4" t="s">
        <v>61</v>
      </c>
      <c r="Z40" s="1">
        <v>45307</v>
      </c>
      <c r="AA40" s="4" t="str" cm="1">
        <f t="array" ref="AA40">_xlfn.IFS(OR(AB40="December", AB40="February", AB40="January"), "Winter", OR(AB40="March", AB40="April", AB40="May"), "Spring", OR(AB40="June", AB40="July", AB40="August"), "Summer", TRUE, "Autumn")</f>
        <v>Winter</v>
      </c>
      <c r="AB40" s="7" t="str">
        <f>TEXT(Z40, "mmmm")</f>
        <v>January</v>
      </c>
      <c r="AC40" s="1" t="str">
        <f>TEXT(Z40, "dddd")</f>
        <v>Tuesday</v>
      </c>
      <c r="AD40" s="4" t="s">
        <v>62</v>
      </c>
      <c r="AE40" s="4" t="s">
        <v>62</v>
      </c>
      <c r="AF40" s="4" t="s">
        <v>102</v>
      </c>
      <c r="AG40" s="4" t="s">
        <v>64</v>
      </c>
      <c r="AH40" s="3">
        <v>11</v>
      </c>
    </row>
    <row r="41" spans="1:34">
      <c r="A41" s="4" t="s">
        <v>183</v>
      </c>
      <c r="B41" s="3">
        <v>19</v>
      </c>
      <c r="C41" s="9" t="str" cm="1">
        <f t="array" ref="C41">_xlfn.IFS(B41&gt;65,"+65",B41&gt;54,"55-65",B41&gt;44,"45-54",B41&gt;35,"36-44",B41&gt;25,"26-35",B41&gt;=18,"18-25")</f>
        <v>18-25</v>
      </c>
      <c r="D41" s="4" t="s">
        <v>78</v>
      </c>
      <c r="E41" s="4" t="s">
        <v>72</v>
      </c>
      <c r="F41" s="4" t="s">
        <v>79</v>
      </c>
      <c r="G41" s="4" t="s">
        <v>68</v>
      </c>
      <c r="H41" s="4" t="s">
        <v>184</v>
      </c>
      <c r="I41" s="4" t="s">
        <v>146</v>
      </c>
      <c r="J41" s="5">
        <v>311.74</v>
      </c>
      <c r="K41" s="3">
        <v>11</v>
      </c>
      <c r="L41" s="4" t="str">
        <f>IF(AND(J41&gt;350,K41&gt;6), "True","False")</f>
        <v>False</v>
      </c>
      <c r="M41" s="4" t="s">
        <v>83</v>
      </c>
      <c r="N41" s="3">
        <v>1</v>
      </c>
      <c r="O41" s="4" t="str" cm="1">
        <f t="array" ref="O41">_xlfn.IFS(P41&lt;=2,"Poor",P41=3,"Average",P41&gt;=4,"Good")</f>
        <v>Good</v>
      </c>
      <c r="P41" s="3">
        <v>4</v>
      </c>
      <c r="Q41" s="2">
        <v>2</v>
      </c>
      <c r="R41" s="4" t="s">
        <v>59</v>
      </c>
      <c r="S41" s="4" t="s">
        <v>84</v>
      </c>
      <c r="T41" s="3">
        <v>2</v>
      </c>
      <c r="U41" s="4" t="str" cm="1">
        <f t="array" ref="U41">_xlfn.IFS(V41&lt;=4, "Dissatisfied",V41&lt;=7,"Neutral",V41&gt;=8,"Satisfied")</f>
        <v>Satisfied</v>
      </c>
      <c r="V41" s="3">
        <v>10</v>
      </c>
      <c r="W41" s="4" t="s">
        <v>85</v>
      </c>
      <c r="X41" s="4" t="s">
        <v>60</v>
      </c>
      <c r="Y41" s="4" t="s">
        <v>86</v>
      </c>
      <c r="Z41" s="1">
        <v>45308</v>
      </c>
      <c r="AA41" s="4" t="str" cm="1">
        <f t="array" ref="AA41">_xlfn.IFS(OR(AB41="December", AB41="February", AB41="January"), "Winter", OR(AB41="March", AB41="April", AB41="May"), "Spring", OR(AB41="June", AB41="July", AB41="August"), "Summer", TRUE, "Autumn")</f>
        <v>Winter</v>
      </c>
      <c r="AB41" s="7" t="str">
        <f>TEXT(Z41, "mmmm")</f>
        <v>January</v>
      </c>
      <c r="AC41" s="1" t="str">
        <f>TEXT(Z41, "dddd")</f>
        <v>Wednesday</v>
      </c>
      <c r="AD41" s="4" t="s">
        <v>62</v>
      </c>
      <c r="AE41" s="4" t="s">
        <v>76</v>
      </c>
      <c r="AF41" s="4" t="s">
        <v>92</v>
      </c>
      <c r="AG41" s="4" t="s">
        <v>93</v>
      </c>
      <c r="AH41" s="3">
        <v>11</v>
      </c>
    </row>
    <row r="42" spans="1:34">
      <c r="A42" s="4" t="s">
        <v>185</v>
      </c>
      <c r="B42" s="3">
        <v>40</v>
      </c>
      <c r="C42" s="9" t="str" cm="1">
        <f t="array" ref="C42">_xlfn.IFS(B42&gt;65,"+65",B42&gt;54,"55-65",B42&gt;44,"45-54",B42&gt;35,"36-44",B42&gt;25,"26-35",B42&gt;=18,"18-25")</f>
        <v>36-44</v>
      </c>
      <c r="D42" s="4" t="s">
        <v>78</v>
      </c>
      <c r="E42" s="4" t="s">
        <v>72</v>
      </c>
      <c r="F42" s="4" t="s">
        <v>79</v>
      </c>
      <c r="G42" s="4" t="s">
        <v>68</v>
      </c>
      <c r="H42" s="4" t="s">
        <v>186</v>
      </c>
      <c r="I42" s="4" t="s">
        <v>172</v>
      </c>
      <c r="J42" s="5">
        <v>105.76</v>
      </c>
      <c r="K42" s="3">
        <v>8</v>
      </c>
      <c r="L42" s="4" t="str">
        <f>IF(AND(J42&gt;350,K42&gt;6), "True","False")</f>
        <v>False</v>
      </c>
      <c r="M42" s="4" t="s">
        <v>56</v>
      </c>
      <c r="N42" s="3">
        <v>4</v>
      </c>
      <c r="O42" s="4" t="str" cm="1">
        <f t="array" ref="O42">_xlfn.IFS(P42&lt;=2,"Poor",P42=3,"Average",P42&gt;=4,"Good")</f>
        <v>Good</v>
      </c>
      <c r="P42" s="3">
        <v>4</v>
      </c>
      <c r="Q42" s="2">
        <v>2</v>
      </c>
      <c r="R42" s="4" t="s">
        <v>57</v>
      </c>
      <c r="S42" s="4" t="s">
        <v>73</v>
      </c>
      <c r="T42" s="3">
        <v>1</v>
      </c>
      <c r="U42" s="4" t="str" cm="1">
        <f t="array" ref="U42">_xlfn.IFS(V42&lt;=4, "Dissatisfied",V42&lt;=7,"Neutral",V42&gt;=8,"Satisfied")</f>
        <v>Satisfied</v>
      </c>
      <c r="V42" s="3">
        <v>8</v>
      </c>
      <c r="W42" s="4" t="s">
        <v>85</v>
      </c>
      <c r="X42" s="4" t="s">
        <v>74</v>
      </c>
      <c r="Y42" s="4" t="s">
        <v>119</v>
      </c>
      <c r="Z42" s="1">
        <v>45309</v>
      </c>
      <c r="AA42" s="4" t="str" cm="1">
        <f t="array" ref="AA42">_xlfn.IFS(OR(AB42="December", AB42="February", AB42="January"), "Winter", OR(AB42="March", AB42="April", AB42="May"), "Spring", OR(AB42="June", AB42="July", AB42="August"), "Summer", TRUE, "Autumn")</f>
        <v>Winter</v>
      </c>
      <c r="AB42" s="7" t="str">
        <f>TEXT(Z42, "mmmm")</f>
        <v>January</v>
      </c>
      <c r="AC42" s="1" t="str">
        <f>TEXT(Z42, "dddd")</f>
        <v>Thursday</v>
      </c>
      <c r="AD42" s="4" t="s">
        <v>76</v>
      </c>
      <c r="AE42" s="4" t="s">
        <v>76</v>
      </c>
      <c r="AF42" s="4" t="s">
        <v>87</v>
      </c>
      <c r="AG42" s="4" t="s">
        <v>93</v>
      </c>
      <c r="AH42" s="3">
        <v>4</v>
      </c>
    </row>
    <row r="43" spans="1:34">
      <c r="A43" s="4" t="s">
        <v>187</v>
      </c>
      <c r="B43" s="3">
        <v>27</v>
      </c>
      <c r="C43" s="9" t="str" cm="1">
        <f t="array" ref="C43">_xlfn.IFS(B43&gt;65,"+65",B43&gt;54,"55-65",B43&gt;44,"45-54",B43&gt;35,"36-44",B43&gt;25,"26-35",B43&gt;=18,"18-25")</f>
        <v>26-35</v>
      </c>
      <c r="D43" s="4" t="s">
        <v>188</v>
      </c>
      <c r="E43" s="4" t="s">
        <v>72</v>
      </c>
      <c r="F43" s="4" t="s">
        <v>79</v>
      </c>
      <c r="G43" s="4" t="s">
        <v>53</v>
      </c>
      <c r="H43" s="4" t="s">
        <v>189</v>
      </c>
      <c r="I43" s="4" t="s">
        <v>97</v>
      </c>
      <c r="J43" s="5">
        <v>489.66</v>
      </c>
      <c r="K43" s="3">
        <v>11</v>
      </c>
      <c r="L43" s="4" t="str">
        <f>IF(AND(J43&gt;350,K43&gt;6), "True","False")</f>
        <v>True</v>
      </c>
      <c r="M43" s="4" t="s">
        <v>83</v>
      </c>
      <c r="N43" s="3">
        <v>5</v>
      </c>
      <c r="O43" s="4" t="str" cm="1">
        <f t="array" ref="O43">_xlfn.IFS(P43&lt;=2,"Poor",P43=3,"Average",P43&gt;=4,"Good")</f>
        <v>Poor</v>
      </c>
      <c r="P43" s="3">
        <v>1</v>
      </c>
      <c r="Q43" s="2">
        <v>0</v>
      </c>
      <c r="R43" s="4" t="s">
        <v>72</v>
      </c>
      <c r="S43" s="4" t="s">
        <v>58</v>
      </c>
      <c r="T43" s="3">
        <v>2</v>
      </c>
      <c r="U43" s="4" t="str" cm="1">
        <f t="array" ref="U43">_xlfn.IFS(V43&lt;=4, "Dissatisfied",V43&lt;=7,"Neutral",V43&gt;=8,"Satisfied")</f>
        <v>Neutral</v>
      </c>
      <c r="V43" s="3">
        <v>6</v>
      </c>
      <c r="W43" s="4" t="s">
        <v>57</v>
      </c>
      <c r="X43" s="4" t="s">
        <v>74</v>
      </c>
      <c r="Y43" s="4" t="s">
        <v>111</v>
      </c>
      <c r="Z43" s="1">
        <v>45309</v>
      </c>
      <c r="AA43" s="4" t="str" cm="1">
        <f t="array" ref="AA43">_xlfn.IFS(OR(AB43="December", AB43="February", AB43="January"), "Winter", OR(AB43="March", AB43="April", AB43="May"), "Spring", OR(AB43="June", AB43="July", AB43="August"), "Summer", TRUE, "Autumn")</f>
        <v>Winter</v>
      </c>
      <c r="AB43" s="7" t="str">
        <f>TEXT(Z43, "mmmm")</f>
        <v>January</v>
      </c>
      <c r="AC43" s="1" t="str">
        <f>TEXT(Z43, "dddd")</f>
        <v>Thursday</v>
      </c>
      <c r="AD43" s="4" t="s">
        <v>62</v>
      </c>
      <c r="AE43" s="4" t="s">
        <v>76</v>
      </c>
      <c r="AF43" s="4" t="s">
        <v>102</v>
      </c>
      <c r="AG43" s="4" t="s">
        <v>64</v>
      </c>
      <c r="AH43" s="3">
        <v>3</v>
      </c>
    </row>
    <row r="44" spans="1:34">
      <c r="A44" s="4" t="s">
        <v>190</v>
      </c>
      <c r="B44" s="3">
        <v>25</v>
      </c>
      <c r="C44" s="9" t="str" cm="1">
        <f t="array" ref="C44">_xlfn.IFS(B44&gt;65,"+65",B44&gt;54,"55-65",B44&gt;44,"45-54",B44&gt;35,"36-44",B44&gt;25,"26-35",B44&gt;=18,"18-25")</f>
        <v>18-25</v>
      </c>
      <c r="D44" s="4" t="s">
        <v>66</v>
      </c>
      <c r="E44" s="4" t="s">
        <v>51</v>
      </c>
      <c r="F44" s="4" t="s">
        <v>52</v>
      </c>
      <c r="G44" s="4" t="s">
        <v>80</v>
      </c>
      <c r="H44" s="4" t="s">
        <v>191</v>
      </c>
      <c r="I44" s="4" t="s">
        <v>156</v>
      </c>
      <c r="J44" s="5">
        <v>197.9</v>
      </c>
      <c r="K44" s="3">
        <v>3</v>
      </c>
      <c r="L44" s="4" t="str">
        <f>IF(AND(J44&gt;350,K44&gt;6), "True","False")</f>
        <v>False</v>
      </c>
      <c r="M44" s="4" t="s">
        <v>83</v>
      </c>
      <c r="N44" s="3">
        <v>2</v>
      </c>
      <c r="O44" s="4" t="str" cm="1">
        <f t="array" ref="O44">_xlfn.IFS(P44&lt;=2,"Poor",P44=3,"Average",P44&gt;=4,"Good")</f>
        <v>Poor</v>
      </c>
      <c r="P44" s="3">
        <v>1</v>
      </c>
      <c r="Q44" s="2">
        <v>2</v>
      </c>
      <c r="R44" s="4" t="s">
        <v>85</v>
      </c>
      <c r="S44" s="4" t="s">
        <v>58</v>
      </c>
      <c r="T44" s="3">
        <v>0</v>
      </c>
      <c r="U44" s="4" t="str" cm="1">
        <f t="array" ref="U44">_xlfn.IFS(V44&lt;=4, "Dissatisfied",V44&lt;=7,"Neutral",V44&gt;=8,"Satisfied")</f>
        <v>Satisfied</v>
      </c>
      <c r="V44" s="3">
        <v>8</v>
      </c>
      <c r="W44" s="4" t="s">
        <v>72</v>
      </c>
      <c r="X44" s="4" t="s">
        <v>101</v>
      </c>
      <c r="Y44" s="4" t="s">
        <v>75</v>
      </c>
      <c r="Z44" s="1">
        <v>45309</v>
      </c>
      <c r="AA44" s="4" t="str" cm="1">
        <f t="array" ref="AA44">_xlfn.IFS(OR(AB44="December", AB44="February", AB44="January"), "Winter", OR(AB44="March", AB44="April", AB44="May"), "Spring", OR(AB44="June", AB44="July", AB44="August"), "Summer", TRUE, "Autumn")</f>
        <v>Winter</v>
      </c>
      <c r="AB44" s="7" t="str">
        <f>TEXT(Z44, "mmmm")</f>
        <v>January</v>
      </c>
      <c r="AC44" s="1" t="str">
        <f>TEXT(Z44, "dddd")</f>
        <v>Thursday</v>
      </c>
      <c r="AD44" s="4" t="s">
        <v>62</v>
      </c>
      <c r="AE44" s="4" t="s">
        <v>62</v>
      </c>
      <c r="AF44" s="4" t="s">
        <v>102</v>
      </c>
      <c r="AG44" s="4" t="s">
        <v>64</v>
      </c>
      <c r="AH44" s="3">
        <v>14</v>
      </c>
    </row>
    <row r="45" spans="1:34">
      <c r="A45" s="4" t="s">
        <v>192</v>
      </c>
      <c r="B45" s="3">
        <v>50</v>
      </c>
      <c r="C45" s="9" t="str" cm="1">
        <f t="array" ref="C45">_xlfn.IFS(B45&gt;65,"+65",B45&gt;54,"55-65",B45&gt;44,"45-54",B45&gt;35,"36-44",B45&gt;25,"26-35",B45&gt;=18,"18-25")</f>
        <v>45-54</v>
      </c>
      <c r="D45" s="4" t="s">
        <v>78</v>
      </c>
      <c r="E45" s="4" t="s">
        <v>72</v>
      </c>
      <c r="F45" s="4" t="s">
        <v>67</v>
      </c>
      <c r="G45" s="4" t="s">
        <v>68</v>
      </c>
      <c r="H45" s="4" t="s">
        <v>193</v>
      </c>
      <c r="I45" s="4" t="s">
        <v>194</v>
      </c>
      <c r="J45" s="5">
        <v>443.11</v>
      </c>
      <c r="K45" s="3">
        <v>9</v>
      </c>
      <c r="L45" s="4" t="str">
        <f>IF(AND(J45&gt;350,K45&gt;6), "True","False")</f>
        <v>True</v>
      </c>
      <c r="M45" s="4" t="s">
        <v>71</v>
      </c>
      <c r="N45" s="3">
        <v>1</v>
      </c>
      <c r="O45" s="4" t="str" cm="1">
        <f t="array" ref="O45">_xlfn.IFS(P45&lt;=2,"Poor",P45=3,"Average",P45&gt;=4,"Good")</f>
        <v>Poor</v>
      </c>
      <c r="P45" s="3">
        <v>2</v>
      </c>
      <c r="Q45" s="2">
        <v>1</v>
      </c>
      <c r="R45" s="4" t="s">
        <v>57</v>
      </c>
      <c r="S45" s="4" t="s">
        <v>73</v>
      </c>
      <c r="T45" s="3">
        <v>0</v>
      </c>
      <c r="U45" s="4" t="str" cm="1">
        <f t="array" ref="U45">_xlfn.IFS(V45&lt;=4, "Dissatisfied",V45&lt;=7,"Neutral",V45&gt;=8,"Satisfied")</f>
        <v>Satisfied</v>
      </c>
      <c r="V45" s="3">
        <v>10</v>
      </c>
      <c r="W45" s="4" t="s">
        <v>59</v>
      </c>
      <c r="X45" s="4" t="s">
        <v>74</v>
      </c>
      <c r="Y45" s="4" t="s">
        <v>111</v>
      </c>
      <c r="Z45" s="1">
        <v>45310</v>
      </c>
      <c r="AA45" s="4" t="str" cm="1">
        <f t="array" ref="AA45">_xlfn.IFS(OR(AB45="December", AB45="February", AB45="January"), "Winter", OR(AB45="March", AB45="April", AB45="May"), "Spring", OR(AB45="June", AB45="July", AB45="August"), "Summer", TRUE, "Autumn")</f>
        <v>Winter</v>
      </c>
      <c r="AB45" s="7" t="str">
        <f>TEXT(Z45, "mmmm")</f>
        <v>January</v>
      </c>
      <c r="AC45" s="1" t="str">
        <f>TEXT(Z45, "dddd")</f>
        <v>Friday</v>
      </c>
      <c r="AD45" s="4" t="s">
        <v>62</v>
      </c>
      <c r="AE45" s="4" t="s">
        <v>62</v>
      </c>
      <c r="AF45" s="4" t="s">
        <v>102</v>
      </c>
      <c r="AG45" s="4" t="s">
        <v>88</v>
      </c>
      <c r="AH45" s="3">
        <v>1</v>
      </c>
    </row>
    <row r="46" spans="1:34">
      <c r="A46" s="4" t="s">
        <v>195</v>
      </c>
      <c r="B46" s="3">
        <v>41</v>
      </c>
      <c r="C46" s="9" t="str" cm="1">
        <f t="array" ref="C46">_xlfn.IFS(B46&gt;65,"+65",B46&gt;54,"55-65",B46&gt;44,"45-54",B46&gt;35,"36-44",B46&gt;25,"26-35",B46&gt;=18,"18-25")</f>
        <v>36-44</v>
      </c>
      <c r="D46" s="4" t="s">
        <v>78</v>
      </c>
      <c r="E46" s="4" t="s">
        <v>72</v>
      </c>
      <c r="F46" s="4" t="s">
        <v>95</v>
      </c>
      <c r="G46" s="4" t="s">
        <v>53</v>
      </c>
      <c r="H46" s="4" t="s">
        <v>196</v>
      </c>
      <c r="I46" s="4" t="s">
        <v>164</v>
      </c>
      <c r="J46" s="5">
        <v>152.33000000000001</v>
      </c>
      <c r="K46" s="3">
        <v>2</v>
      </c>
      <c r="L46" s="4" t="str">
        <f>IF(AND(J46&gt;350,K46&gt;6), "True","False")</f>
        <v>False</v>
      </c>
      <c r="M46" s="4" t="s">
        <v>71</v>
      </c>
      <c r="N46" s="3">
        <v>1</v>
      </c>
      <c r="O46" s="4" t="str" cm="1">
        <f t="array" ref="O46">_xlfn.IFS(P46&lt;=2,"Poor",P46=3,"Average",P46&gt;=4,"Good")</f>
        <v>Good</v>
      </c>
      <c r="P46" s="3">
        <v>5</v>
      </c>
      <c r="Q46" s="2">
        <v>1</v>
      </c>
      <c r="R46" s="4" t="s">
        <v>57</v>
      </c>
      <c r="S46" s="4" t="s">
        <v>58</v>
      </c>
      <c r="T46" s="3">
        <v>1</v>
      </c>
      <c r="U46" s="4" t="str" cm="1">
        <f t="array" ref="U46">_xlfn.IFS(V46&lt;=4, "Dissatisfied",V46&lt;=7,"Neutral",V46&gt;=8,"Satisfied")</f>
        <v>Neutral</v>
      </c>
      <c r="V46" s="3">
        <v>6</v>
      </c>
      <c r="W46" s="4" t="s">
        <v>72</v>
      </c>
      <c r="X46" s="4" t="s">
        <v>60</v>
      </c>
      <c r="Y46" s="4" t="s">
        <v>75</v>
      </c>
      <c r="Z46" s="1">
        <v>45310</v>
      </c>
      <c r="AA46" s="4" t="str" cm="1">
        <f t="array" ref="AA46">_xlfn.IFS(OR(AB46="December", AB46="February", AB46="January"), "Winter", OR(AB46="March", AB46="April", AB46="May"), "Spring", OR(AB46="June", AB46="July", AB46="August"), "Summer", TRUE, "Autumn")</f>
        <v>Winter</v>
      </c>
      <c r="AB46" s="7" t="str">
        <f>TEXT(Z46, "mmmm")</f>
        <v>January</v>
      </c>
      <c r="AC46" s="1" t="str">
        <f>TEXT(Z46, "dddd")</f>
        <v>Friday</v>
      </c>
      <c r="AD46" s="4" t="s">
        <v>76</v>
      </c>
      <c r="AE46" s="4" t="s">
        <v>62</v>
      </c>
      <c r="AF46" s="4" t="s">
        <v>92</v>
      </c>
      <c r="AG46" s="4" t="s">
        <v>88</v>
      </c>
      <c r="AH46" s="3">
        <v>8</v>
      </c>
    </row>
    <row r="47" spans="1:34">
      <c r="A47" s="4" t="s">
        <v>197</v>
      </c>
      <c r="B47" s="3">
        <v>37</v>
      </c>
      <c r="C47" s="9" t="str" cm="1">
        <f t="array" ref="C47">_xlfn.IFS(B47&gt;65,"+65",B47&gt;54,"55-65",B47&gt;44,"45-54",B47&gt;35,"36-44",B47&gt;25,"26-35",B47&gt;=18,"18-25")</f>
        <v>36-44</v>
      </c>
      <c r="D47" s="4" t="s">
        <v>78</v>
      </c>
      <c r="E47" s="4" t="s">
        <v>51</v>
      </c>
      <c r="F47" s="4" t="s">
        <v>67</v>
      </c>
      <c r="G47" s="4" t="s">
        <v>53</v>
      </c>
      <c r="H47" s="4" t="s">
        <v>198</v>
      </c>
      <c r="I47" s="4" t="s">
        <v>164</v>
      </c>
      <c r="J47" s="5">
        <v>242.79</v>
      </c>
      <c r="K47" s="3">
        <v>6</v>
      </c>
      <c r="L47" s="4" t="str">
        <f>IF(AND(J47&gt;350,K47&gt;6), "True","False")</f>
        <v>False</v>
      </c>
      <c r="M47" s="4" t="s">
        <v>83</v>
      </c>
      <c r="N47" s="3">
        <v>2</v>
      </c>
      <c r="O47" s="4" t="str" cm="1">
        <f t="array" ref="O47">_xlfn.IFS(P47&lt;=2,"Poor",P47=3,"Average",P47&gt;=4,"Good")</f>
        <v>Good</v>
      </c>
      <c r="P47" s="3">
        <v>4</v>
      </c>
      <c r="Q47" s="2">
        <v>0</v>
      </c>
      <c r="R47" s="4" t="s">
        <v>72</v>
      </c>
      <c r="S47" s="4" t="s">
        <v>84</v>
      </c>
      <c r="T47" s="3">
        <v>1</v>
      </c>
      <c r="U47" s="4" t="str" cm="1">
        <f t="array" ref="U47">_xlfn.IFS(V47&lt;=4, "Dissatisfied",V47&lt;=7,"Neutral",V47&gt;=8,"Satisfied")</f>
        <v>Neutral</v>
      </c>
      <c r="V47" s="3">
        <v>7</v>
      </c>
      <c r="W47" s="4" t="s">
        <v>57</v>
      </c>
      <c r="X47" s="4" t="s">
        <v>60</v>
      </c>
      <c r="Y47" s="4" t="s">
        <v>111</v>
      </c>
      <c r="Z47" s="1">
        <v>45311</v>
      </c>
      <c r="AA47" s="4" t="str" cm="1">
        <f t="array" ref="AA47">_xlfn.IFS(OR(AB47="December", AB47="February", AB47="January"), "Winter", OR(AB47="March", AB47="April", AB47="May"), "Spring", OR(AB47="June", AB47="July", AB47="August"), "Summer", TRUE, "Autumn")</f>
        <v>Winter</v>
      </c>
      <c r="AB47" s="7" t="str">
        <f>TEXT(Z47, "mmmm")</f>
        <v>January</v>
      </c>
      <c r="AC47" s="1" t="str">
        <f>TEXT(Z47, "dddd")</f>
        <v>Saturday</v>
      </c>
      <c r="AD47" s="4" t="s">
        <v>62</v>
      </c>
      <c r="AE47" s="4" t="s">
        <v>76</v>
      </c>
      <c r="AF47" s="4" t="s">
        <v>92</v>
      </c>
      <c r="AG47" s="4" t="s">
        <v>93</v>
      </c>
      <c r="AH47" s="3">
        <v>7</v>
      </c>
    </row>
    <row r="48" spans="1:34">
      <c r="A48" s="4" t="s">
        <v>199</v>
      </c>
      <c r="B48" s="3">
        <v>20</v>
      </c>
      <c r="C48" s="9" t="str" cm="1">
        <f t="array" ref="C48">_xlfn.IFS(B48&gt;65,"+65",B48&gt;54,"55-65",B48&gt;44,"45-54",B48&gt;35,"36-44",B48&gt;25,"26-35",B48&gt;=18,"18-25")</f>
        <v>18-25</v>
      </c>
      <c r="D48" s="4" t="s">
        <v>78</v>
      </c>
      <c r="E48" s="4" t="s">
        <v>51</v>
      </c>
      <c r="F48" s="4" t="s">
        <v>79</v>
      </c>
      <c r="G48" s="4" t="s">
        <v>53</v>
      </c>
      <c r="H48" s="4" t="s">
        <v>200</v>
      </c>
      <c r="I48" s="4" t="s">
        <v>97</v>
      </c>
      <c r="J48" s="5">
        <v>497.8</v>
      </c>
      <c r="K48" s="3">
        <v>2</v>
      </c>
      <c r="L48" s="4" t="str">
        <f>IF(AND(J48&gt;350,K48&gt;6), "True","False")</f>
        <v>False</v>
      </c>
      <c r="M48" s="4" t="s">
        <v>56</v>
      </c>
      <c r="N48" s="3">
        <v>3</v>
      </c>
      <c r="O48" s="4" t="str" cm="1">
        <f t="array" ref="O48">_xlfn.IFS(P48&lt;=2,"Poor",P48=3,"Average",P48&gt;=4,"Good")</f>
        <v>Good</v>
      </c>
      <c r="P48" s="3">
        <v>5</v>
      </c>
      <c r="Q48" s="2">
        <v>0.2</v>
      </c>
      <c r="R48" s="4" t="s">
        <v>72</v>
      </c>
      <c r="S48" s="4" t="s">
        <v>84</v>
      </c>
      <c r="T48" s="3">
        <v>1</v>
      </c>
      <c r="U48" s="4" t="str" cm="1">
        <f t="array" ref="U48">_xlfn.IFS(V48&lt;=4, "Dissatisfied",V48&lt;=7,"Neutral",V48&gt;=8,"Satisfied")</f>
        <v>Dissatisfied</v>
      </c>
      <c r="V48" s="3">
        <v>2</v>
      </c>
      <c r="W48" s="4" t="s">
        <v>85</v>
      </c>
      <c r="X48" s="4" t="s">
        <v>60</v>
      </c>
      <c r="Y48" s="4" t="s">
        <v>111</v>
      </c>
      <c r="Z48" s="1">
        <v>45312</v>
      </c>
      <c r="AA48" s="4" t="str" cm="1">
        <f t="array" ref="AA48">_xlfn.IFS(OR(AB48="December", AB48="February", AB48="January"), "Winter", OR(AB48="March", AB48="April", AB48="May"), "Spring", OR(AB48="June", AB48="July", AB48="August"), "Summer", TRUE, "Autumn")</f>
        <v>Winter</v>
      </c>
      <c r="AB48" s="7" t="str">
        <f>TEXT(Z48, "mmmm")</f>
        <v>January</v>
      </c>
      <c r="AC48" s="1" t="str">
        <f>TEXT(Z48, "dddd")</f>
        <v>Sunday</v>
      </c>
      <c r="AD48" s="4" t="s">
        <v>62</v>
      </c>
      <c r="AE48" s="4" t="s">
        <v>76</v>
      </c>
      <c r="AF48" s="4" t="s">
        <v>102</v>
      </c>
      <c r="AG48" s="4" t="s">
        <v>88</v>
      </c>
      <c r="AH48" s="3">
        <v>9</v>
      </c>
    </row>
    <row r="49" spans="1:34">
      <c r="A49" s="4" t="s">
        <v>201</v>
      </c>
      <c r="B49" s="3">
        <v>50</v>
      </c>
      <c r="C49" s="9" t="str" cm="1">
        <f t="array" ref="C49">_xlfn.IFS(B49&gt;65,"+65",B49&gt;54,"55-65",B49&gt;44,"45-54",B49&gt;35,"36-44",B49&gt;25,"26-35",B49&gt;=18,"18-25")</f>
        <v>45-54</v>
      </c>
      <c r="D49" s="4" t="s">
        <v>78</v>
      </c>
      <c r="E49" s="4" t="s">
        <v>51</v>
      </c>
      <c r="F49" s="4" t="s">
        <v>52</v>
      </c>
      <c r="G49" s="4" t="s">
        <v>68</v>
      </c>
      <c r="H49" s="4" t="s">
        <v>202</v>
      </c>
      <c r="I49" s="4" t="s">
        <v>164</v>
      </c>
      <c r="J49" s="5">
        <v>180.21</v>
      </c>
      <c r="K49" s="3">
        <v>2</v>
      </c>
      <c r="L49" s="4" t="str">
        <f>IF(AND(J49&gt;350,K49&gt;6), "True","False")</f>
        <v>False</v>
      </c>
      <c r="M49" s="4" t="s">
        <v>83</v>
      </c>
      <c r="N49" s="3">
        <v>5</v>
      </c>
      <c r="O49" s="4" t="str" cm="1">
        <f t="array" ref="O49">_xlfn.IFS(P49&lt;=2,"Poor",P49=3,"Average",P49&gt;=4,"Good")</f>
        <v>Good</v>
      </c>
      <c r="P49" s="3">
        <v>5</v>
      </c>
      <c r="Q49" s="2">
        <v>0</v>
      </c>
      <c r="R49" s="4" t="s">
        <v>57</v>
      </c>
      <c r="S49" s="4" t="s">
        <v>73</v>
      </c>
      <c r="T49" s="3">
        <v>1</v>
      </c>
      <c r="U49" s="4" t="str" cm="1">
        <f t="array" ref="U49">_xlfn.IFS(V49&lt;=4, "Dissatisfied",V49&lt;=7,"Neutral",V49&gt;=8,"Satisfied")</f>
        <v>Dissatisfied</v>
      </c>
      <c r="V49" s="3">
        <v>1</v>
      </c>
      <c r="W49" s="4" t="s">
        <v>85</v>
      </c>
      <c r="X49" s="4" t="s">
        <v>101</v>
      </c>
      <c r="Y49" s="4" t="s">
        <v>61</v>
      </c>
      <c r="Z49" s="1">
        <v>45313</v>
      </c>
      <c r="AA49" s="4" t="str" cm="1">
        <f t="array" ref="AA49">_xlfn.IFS(OR(AB49="December", AB49="February", AB49="January"), "Winter", OR(AB49="March", AB49="April", AB49="May"), "Spring", OR(AB49="June", AB49="July", AB49="August"), "Summer", TRUE, "Autumn")</f>
        <v>Winter</v>
      </c>
      <c r="AB49" s="7" t="str">
        <f>TEXT(Z49, "mmmm")</f>
        <v>January</v>
      </c>
      <c r="AC49" s="1" t="str">
        <f>TEXT(Z49, "dddd")</f>
        <v>Monday</v>
      </c>
      <c r="AD49" s="4" t="s">
        <v>76</v>
      </c>
      <c r="AE49" s="4" t="s">
        <v>62</v>
      </c>
      <c r="AF49" s="4" t="s">
        <v>63</v>
      </c>
      <c r="AG49" s="4" t="s">
        <v>93</v>
      </c>
      <c r="AH49" s="3">
        <v>14</v>
      </c>
    </row>
    <row r="50" spans="1:34">
      <c r="A50" s="4" t="s">
        <v>203</v>
      </c>
      <c r="B50" s="3">
        <v>36</v>
      </c>
      <c r="C50" s="9" t="str" cm="1">
        <f t="array" ref="C50">_xlfn.IFS(B50&gt;65,"+65",B50&gt;54,"55-65",B50&gt;44,"45-54",B50&gt;35,"36-44",B50&gt;25,"26-35",B50&gt;=18,"18-25")</f>
        <v>36-44</v>
      </c>
      <c r="D50" s="4" t="s">
        <v>78</v>
      </c>
      <c r="E50" s="4" t="s">
        <v>72</v>
      </c>
      <c r="F50" s="4" t="s">
        <v>79</v>
      </c>
      <c r="G50" s="4" t="s">
        <v>68</v>
      </c>
      <c r="H50" s="4" t="s">
        <v>204</v>
      </c>
      <c r="I50" s="4" t="s">
        <v>91</v>
      </c>
      <c r="J50" s="5">
        <v>273.48</v>
      </c>
      <c r="K50" s="3">
        <v>12</v>
      </c>
      <c r="L50" s="4" t="str">
        <f>IF(AND(J50&gt;350,K50&gt;6), "True","False")</f>
        <v>False</v>
      </c>
      <c r="M50" s="4" t="s">
        <v>56</v>
      </c>
      <c r="N50" s="3">
        <v>5</v>
      </c>
      <c r="O50" s="4" t="str" cm="1">
        <f t="array" ref="O50">_xlfn.IFS(P50&lt;=2,"Poor",P50=3,"Average",P50&gt;=4,"Good")</f>
        <v>Average</v>
      </c>
      <c r="P50" s="3">
        <v>3</v>
      </c>
      <c r="Q50" s="2">
        <v>2</v>
      </c>
      <c r="R50" s="4" t="s">
        <v>59</v>
      </c>
      <c r="S50" s="4" t="s">
        <v>73</v>
      </c>
      <c r="T50" s="3">
        <v>0</v>
      </c>
      <c r="U50" s="4" t="str" cm="1">
        <f t="array" ref="U50">_xlfn.IFS(V50&lt;=4, "Dissatisfied",V50&lt;=7,"Neutral",V50&gt;=8,"Satisfied")</f>
        <v>Neutral</v>
      </c>
      <c r="V50" s="3">
        <v>5</v>
      </c>
      <c r="W50" s="4" t="s">
        <v>85</v>
      </c>
      <c r="X50" s="4" t="s">
        <v>60</v>
      </c>
      <c r="Y50" s="4" t="s">
        <v>111</v>
      </c>
      <c r="Z50" s="1">
        <v>45313</v>
      </c>
      <c r="AA50" s="4" t="str" cm="1">
        <f t="array" ref="AA50">_xlfn.IFS(OR(AB50="December", AB50="February", AB50="January"), "Winter", OR(AB50="March", AB50="April", AB50="May"), "Spring", OR(AB50="June", AB50="July", AB50="August"), "Summer", TRUE, "Autumn")</f>
        <v>Winter</v>
      </c>
      <c r="AB50" s="7" t="str">
        <f>TEXT(Z50, "mmmm")</f>
        <v>January</v>
      </c>
      <c r="AC50" s="1" t="str">
        <f>TEXT(Z50, "dddd")</f>
        <v>Monday</v>
      </c>
      <c r="AD50" s="4" t="s">
        <v>62</v>
      </c>
      <c r="AE50" s="4" t="s">
        <v>76</v>
      </c>
      <c r="AF50" s="4" t="s">
        <v>102</v>
      </c>
      <c r="AG50" s="4" t="s">
        <v>93</v>
      </c>
      <c r="AH50" s="3">
        <v>5</v>
      </c>
    </row>
    <row r="51" spans="1:34">
      <c r="A51" s="4" t="s">
        <v>205</v>
      </c>
      <c r="B51" s="3">
        <v>32</v>
      </c>
      <c r="C51" s="9" t="str" cm="1">
        <f t="array" ref="C51">_xlfn.IFS(B51&gt;65,"+65",B51&gt;54,"55-65",B51&gt;44,"45-54",B51&gt;35,"36-44",B51&gt;25,"26-35",B51&gt;=18,"18-25")</f>
        <v>26-35</v>
      </c>
      <c r="D51" s="4" t="s">
        <v>78</v>
      </c>
      <c r="E51" s="4" t="s">
        <v>72</v>
      </c>
      <c r="F51" s="4" t="s">
        <v>95</v>
      </c>
      <c r="G51" s="4" t="s">
        <v>68</v>
      </c>
      <c r="H51" s="4" t="s">
        <v>206</v>
      </c>
      <c r="I51" s="4" t="s">
        <v>151</v>
      </c>
      <c r="J51" s="5">
        <v>468.16</v>
      </c>
      <c r="K51" s="3">
        <v>8</v>
      </c>
      <c r="L51" s="4" t="str">
        <f>IF(AND(J51&gt;350,K51&gt;6), "True","False")</f>
        <v>True</v>
      </c>
      <c r="M51" s="4" t="s">
        <v>56</v>
      </c>
      <c r="N51" s="3">
        <v>3</v>
      </c>
      <c r="O51" s="4" t="str" cm="1">
        <f t="array" ref="O51">_xlfn.IFS(P51&lt;=2,"Poor",P51=3,"Average",P51&gt;=4,"Good")</f>
        <v>Good</v>
      </c>
      <c r="P51" s="3">
        <v>5</v>
      </c>
      <c r="Q51" s="2">
        <v>1</v>
      </c>
      <c r="R51" s="4" t="s">
        <v>59</v>
      </c>
      <c r="S51" s="4" t="s">
        <v>84</v>
      </c>
      <c r="T51" s="3">
        <v>1</v>
      </c>
      <c r="U51" s="4" t="str" cm="1">
        <f t="array" ref="U51">_xlfn.IFS(V51&lt;=4, "Dissatisfied",V51&lt;=7,"Neutral",V51&gt;=8,"Satisfied")</f>
        <v>Neutral</v>
      </c>
      <c r="V51" s="3">
        <v>5</v>
      </c>
      <c r="W51" s="4" t="s">
        <v>72</v>
      </c>
      <c r="X51" s="4" t="s">
        <v>101</v>
      </c>
      <c r="Y51" s="4" t="s">
        <v>119</v>
      </c>
      <c r="Z51" s="1">
        <v>45313</v>
      </c>
      <c r="AA51" s="4" t="str" cm="1">
        <f t="array" ref="AA51">_xlfn.IFS(OR(AB51="December", AB51="February", AB51="January"), "Winter", OR(AB51="March", AB51="April", AB51="May"), "Spring", OR(AB51="June", AB51="July", AB51="August"), "Summer", TRUE, "Autumn")</f>
        <v>Winter</v>
      </c>
      <c r="AB51" s="7" t="str">
        <f>TEXT(Z51, "mmmm")</f>
        <v>January</v>
      </c>
      <c r="AC51" s="1" t="str">
        <f>TEXT(Z51, "dddd")</f>
        <v>Monday</v>
      </c>
      <c r="AD51" s="4" t="s">
        <v>76</v>
      </c>
      <c r="AE51" s="4" t="s">
        <v>76</v>
      </c>
      <c r="AF51" s="4" t="s">
        <v>87</v>
      </c>
      <c r="AG51" s="4" t="s">
        <v>64</v>
      </c>
      <c r="AH51" s="3">
        <v>2</v>
      </c>
    </row>
    <row r="52" spans="1:34">
      <c r="A52" s="4" t="s">
        <v>207</v>
      </c>
      <c r="B52" s="3">
        <v>27</v>
      </c>
      <c r="C52" s="9" t="str" cm="1">
        <f t="array" ref="C52">_xlfn.IFS(B52&gt;65,"+65",B52&gt;54,"55-65",B52&gt;44,"45-54",B52&gt;35,"36-44",B52&gt;25,"26-35",B52&gt;=18,"18-25")</f>
        <v>26-35</v>
      </c>
      <c r="D52" s="4" t="s">
        <v>66</v>
      </c>
      <c r="E52" s="4" t="s">
        <v>51</v>
      </c>
      <c r="F52" s="4" t="s">
        <v>79</v>
      </c>
      <c r="G52" s="4" t="s">
        <v>68</v>
      </c>
      <c r="H52" s="4" t="s">
        <v>208</v>
      </c>
      <c r="I52" s="4" t="s">
        <v>146</v>
      </c>
      <c r="J52" s="5">
        <v>146.59</v>
      </c>
      <c r="K52" s="3">
        <v>10</v>
      </c>
      <c r="L52" s="4" t="str">
        <f>IF(AND(J52&gt;350,K52&gt;6), "True","False")</f>
        <v>False</v>
      </c>
      <c r="M52" s="4" t="s">
        <v>83</v>
      </c>
      <c r="N52" s="3">
        <v>5</v>
      </c>
      <c r="O52" s="4" t="str" cm="1">
        <f t="array" ref="O52">_xlfn.IFS(P52&lt;=2,"Poor",P52=3,"Average",P52&gt;=4,"Good")</f>
        <v>Poor</v>
      </c>
      <c r="P52" s="3">
        <v>1</v>
      </c>
      <c r="Q52" s="2">
        <v>2</v>
      </c>
      <c r="R52" s="4" t="s">
        <v>59</v>
      </c>
      <c r="S52" s="4" t="s">
        <v>73</v>
      </c>
      <c r="T52" s="3">
        <v>0</v>
      </c>
      <c r="U52" s="4" t="str" cm="1">
        <f t="array" ref="U52">_xlfn.IFS(V52&lt;=4, "Dissatisfied",V52&lt;=7,"Neutral",V52&gt;=8,"Satisfied")</f>
        <v>Dissatisfied</v>
      </c>
      <c r="V52" s="3">
        <v>2</v>
      </c>
      <c r="W52" s="4" t="s">
        <v>57</v>
      </c>
      <c r="X52" s="4" t="s">
        <v>60</v>
      </c>
      <c r="Y52" s="4" t="s">
        <v>61</v>
      </c>
      <c r="Z52" s="1">
        <v>45313</v>
      </c>
      <c r="AA52" s="4" t="str" cm="1">
        <f t="array" ref="AA52">_xlfn.IFS(OR(AB52="December", AB52="February", AB52="January"), "Winter", OR(AB52="March", AB52="April", AB52="May"), "Spring", OR(AB52="June", AB52="July", AB52="August"), "Summer", TRUE, "Autumn")</f>
        <v>Winter</v>
      </c>
      <c r="AB52" s="7" t="str">
        <f>TEXT(Z52, "mmmm")</f>
        <v>January</v>
      </c>
      <c r="AC52" s="1" t="str">
        <f>TEXT(Z52, "dddd")</f>
        <v>Monday</v>
      </c>
      <c r="AD52" s="4" t="s">
        <v>76</v>
      </c>
      <c r="AE52" s="4" t="s">
        <v>62</v>
      </c>
      <c r="AF52" s="4" t="s">
        <v>92</v>
      </c>
      <c r="AG52" s="4" t="s">
        <v>88</v>
      </c>
      <c r="AH52" s="3">
        <v>3</v>
      </c>
    </row>
    <row r="53" spans="1:34">
      <c r="A53" s="4" t="s">
        <v>209</v>
      </c>
      <c r="B53" s="3">
        <v>46</v>
      </c>
      <c r="C53" s="9" t="str" cm="1">
        <f t="array" ref="C53">_xlfn.IFS(B53&gt;65,"+65",B53&gt;54,"55-65",B53&gt;44,"45-54",B53&gt;35,"36-44",B53&gt;25,"26-35",B53&gt;=18,"18-25")</f>
        <v>45-54</v>
      </c>
      <c r="D53" s="4" t="s">
        <v>78</v>
      </c>
      <c r="E53" s="4" t="s">
        <v>72</v>
      </c>
      <c r="F53" s="4" t="s">
        <v>67</v>
      </c>
      <c r="G53" s="4" t="s">
        <v>68</v>
      </c>
      <c r="H53" s="4" t="s">
        <v>210</v>
      </c>
      <c r="I53" s="4" t="s">
        <v>146</v>
      </c>
      <c r="J53" s="5">
        <v>359.75</v>
      </c>
      <c r="K53" s="3">
        <v>7</v>
      </c>
      <c r="L53" s="4" t="str">
        <f>IF(AND(J53&gt;350,K53&gt;6), "True","False")</f>
        <v>True</v>
      </c>
      <c r="M53" s="4" t="s">
        <v>71</v>
      </c>
      <c r="N53" s="3">
        <v>5</v>
      </c>
      <c r="O53" s="4" t="str" cm="1">
        <f t="array" ref="O53">_xlfn.IFS(P53&lt;=2,"Poor",P53=3,"Average",P53&gt;=4,"Good")</f>
        <v>Poor</v>
      </c>
      <c r="P53" s="3">
        <v>1</v>
      </c>
      <c r="Q53" s="2">
        <v>1</v>
      </c>
      <c r="R53" s="4" t="s">
        <v>72</v>
      </c>
      <c r="S53" s="4" t="s">
        <v>58</v>
      </c>
      <c r="T53" s="3">
        <v>1</v>
      </c>
      <c r="U53" s="4" t="str" cm="1">
        <f t="array" ref="U53">_xlfn.IFS(V53&lt;=4, "Dissatisfied",V53&lt;=7,"Neutral",V53&gt;=8,"Satisfied")</f>
        <v>Neutral</v>
      </c>
      <c r="V53" s="3">
        <v>6</v>
      </c>
      <c r="W53" s="4" t="s">
        <v>59</v>
      </c>
      <c r="X53" s="4" t="s">
        <v>74</v>
      </c>
      <c r="Y53" s="4" t="s">
        <v>111</v>
      </c>
      <c r="Z53" s="1">
        <v>45314</v>
      </c>
      <c r="AA53" s="4" t="str" cm="1">
        <f t="array" ref="AA53">_xlfn.IFS(OR(AB53="December", AB53="February", AB53="January"), "Winter", OR(AB53="March", AB53="April", AB53="May"), "Spring", OR(AB53="June", AB53="July", AB53="August"), "Summer", TRUE, "Autumn")</f>
        <v>Winter</v>
      </c>
      <c r="AB53" s="7" t="str">
        <f>TEXT(Z53, "mmmm")</f>
        <v>January</v>
      </c>
      <c r="AC53" s="1" t="str">
        <f>TEXT(Z53, "dddd")</f>
        <v>Tuesday</v>
      </c>
      <c r="AD53" s="4" t="s">
        <v>76</v>
      </c>
      <c r="AE53" s="4" t="s">
        <v>76</v>
      </c>
      <c r="AF53" s="4" t="s">
        <v>102</v>
      </c>
      <c r="AG53" s="4" t="s">
        <v>64</v>
      </c>
      <c r="AH53" s="3">
        <v>3</v>
      </c>
    </row>
    <row r="54" spans="1:34">
      <c r="A54" s="4" t="s">
        <v>211</v>
      </c>
      <c r="B54" s="3">
        <v>35</v>
      </c>
      <c r="C54" s="9" t="str" cm="1">
        <f t="array" ref="C54">_xlfn.IFS(B54&gt;65,"+65",B54&gt;54,"55-65",B54&gt;44,"45-54",B54&gt;35,"36-44",B54&gt;25,"26-35",B54&gt;=18,"18-25")</f>
        <v>26-35</v>
      </c>
      <c r="D54" s="4" t="s">
        <v>78</v>
      </c>
      <c r="E54" s="4" t="s">
        <v>51</v>
      </c>
      <c r="F54" s="4" t="s">
        <v>52</v>
      </c>
      <c r="G54" s="4" t="s">
        <v>53</v>
      </c>
      <c r="H54" s="4" t="s">
        <v>212</v>
      </c>
      <c r="I54" s="4" t="s">
        <v>82</v>
      </c>
      <c r="J54" s="5">
        <v>227.58</v>
      </c>
      <c r="K54" s="3">
        <v>11</v>
      </c>
      <c r="L54" s="4" t="str">
        <f>IF(AND(J54&gt;350,K54&gt;6), "True","False")</f>
        <v>False</v>
      </c>
      <c r="M54" s="4" t="s">
        <v>83</v>
      </c>
      <c r="N54" s="3">
        <v>3</v>
      </c>
      <c r="O54" s="4" t="str" cm="1">
        <f t="array" ref="O54">_xlfn.IFS(P54&lt;=2,"Poor",P54=3,"Average",P54&gt;=4,"Good")</f>
        <v>Poor</v>
      </c>
      <c r="P54" s="3">
        <v>1</v>
      </c>
      <c r="Q54" s="2">
        <v>1</v>
      </c>
      <c r="R54" s="4" t="s">
        <v>57</v>
      </c>
      <c r="S54" s="4" t="s">
        <v>58</v>
      </c>
      <c r="T54" s="3">
        <v>1</v>
      </c>
      <c r="U54" s="4" t="str" cm="1">
        <f t="array" ref="U54">_xlfn.IFS(V54&lt;=4, "Dissatisfied",V54&lt;=7,"Neutral",V54&gt;=8,"Satisfied")</f>
        <v>Satisfied</v>
      </c>
      <c r="V54" s="3">
        <v>8</v>
      </c>
      <c r="W54" s="4" t="s">
        <v>72</v>
      </c>
      <c r="X54" s="4" t="s">
        <v>60</v>
      </c>
      <c r="Y54" s="4" t="s">
        <v>119</v>
      </c>
      <c r="Z54" s="1">
        <v>45314</v>
      </c>
      <c r="AA54" s="4" t="str" cm="1">
        <f t="array" ref="AA54">_xlfn.IFS(OR(AB54="December", AB54="February", AB54="January"), "Winter", OR(AB54="March", AB54="April", AB54="May"), "Spring", OR(AB54="June", AB54="July", AB54="August"), "Summer", TRUE, "Autumn")</f>
        <v>Winter</v>
      </c>
      <c r="AB54" s="7" t="str">
        <f>TEXT(Z54, "mmmm")</f>
        <v>January</v>
      </c>
      <c r="AC54" s="1" t="str">
        <f>TEXT(Z54, "dddd")</f>
        <v>Tuesday</v>
      </c>
      <c r="AD54" s="4" t="s">
        <v>76</v>
      </c>
      <c r="AE54" s="4" t="s">
        <v>62</v>
      </c>
      <c r="AF54" s="4" t="s">
        <v>63</v>
      </c>
      <c r="AG54" s="4" t="s">
        <v>93</v>
      </c>
      <c r="AH54" s="3">
        <v>6</v>
      </c>
    </row>
    <row r="55" spans="1:34">
      <c r="A55" s="4" t="s">
        <v>213</v>
      </c>
      <c r="B55" s="3">
        <v>33</v>
      </c>
      <c r="C55" s="9" t="str" cm="1">
        <f t="array" ref="C55">_xlfn.IFS(B55&gt;65,"+65",B55&gt;54,"55-65",B55&gt;44,"45-54",B55&gt;35,"36-44",B55&gt;25,"26-35",B55&gt;=18,"18-25")</f>
        <v>26-35</v>
      </c>
      <c r="D55" s="4" t="s">
        <v>66</v>
      </c>
      <c r="E55" s="4" t="s">
        <v>72</v>
      </c>
      <c r="F55" s="4" t="s">
        <v>52</v>
      </c>
      <c r="G55" s="4" t="s">
        <v>80</v>
      </c>
      <c r="H55" s="4" t="s">
        <v>214</v>
      </c>
      <c r="I55" s="4" t="s">
        <v>100</v>
      </c>
      <c r="J55" s="5">
        <v>77.650000000000006</v>
      </c>
      <c r="K55" s="3">
        <v>6</v>
      </c>
      <c r="L55" s="4" t="str">
        <f>IF(AND(J55&gt;350,K55&gt;6), "True","False")</f>
        <v>False</v>
      </c>
      <c r="M55" s="4" t="s">
        <v>56</v>
      </c>
      <c r="N55" s="3">
        <v>1</v>
      </c>
      <c r="O55" s="4" t="str" cm="1">
        <f t="array" ref="O55">_xlfn.IFS(P55&lt;=2,"Poor",P55=3,"Average",P55&gt;=4,"Good")</f>
        <v>Good</v>
      </c>
      <c r="P55" s="3">
        <v>4</v>
      </c>
      <c r="Q55" s="2">
        <v>1</v>
      </c>
      <c r="R55" s="4" t="s">
        <v>85</v>
      </c>
      <c r="S55" s="4" t="s">
        <v>84</v>
      </c>
      <c r="T55" s="3">
        <v>2</v>
      </c>
      <c r="U55" s="4" t="str" cm="1">
        <f t="array" ref="U55">_xlfn.IFS(V55&lt;=4, "Dissatisfied",V55&lt;=7,"Neutral",V55&gt;=8,"Satisfied")</f>
        <v>Dissatisfied</v>
      </c>
      <c r="V55" s="3">
        <v>3</v>
      </c>
      <c r="W55" s="4" t="s">
        <v>57</v>
      </c>
      <c r="X55" s="4" t="s">
        <v>74</v>
      </c>
      <c r="Y55" s="4" t="s">
        <v>61</v>
      </c>
      <c r="Z55" s="1">
        <v>45315</v>
      </c>
      <c r="AA55" s="4" t="str" cm="1">
        <f t="array" ref="AA55">_xlfn.IFS(OR(AB55="December", AB55="February", AB55="January"), "Winter", OR(AB55="March", AB55="April", AB55="May"), "Spring", OR(AB55="June", AB55="July", AB55="August"), "Summer", TRUE, "Autumn")</f>
        <v>Winter</v>
      </c>
      <c r="AB55" s="7" t="str">
        <f>TEXT(Z55, "mmmm")</f>
        <v>January</v>
      </c>
      <c r="AC55" s="1" t="str">
        <f>TEXT(Z55, "dddd")</f>
        <v>Wednesday</v>
      </c>
      <c r="AD55" s="4" t="s">
        <v>62</v>
      </c>
      <c r="AE55" s="4" t="s">
        <v>62</v>
      </c>
      <c r="AF55" s="4" t="s">
        <v>87</v>
      </c>
      <c r="AG55" s="4" t="s">
        <v>88</v>
      </c>
      <c r="AH55" s="3">
        <v>1</v>
      </c>
    </row>
    <row r="56" spans="1:34">
      <c r="A56" s="4" t="s">
        <v>215</v>
      </c>
      <c r="B56" s="3">
        <v>24</v>
      </c>
      <c r="C56" s="9" t="str" cm="1">
        <f t="array" ref="C56">_xlfn.IFS(B56&gt;65,"+65",B56&gt;54,"55-65",B56&gt;44,"45-54",B56&gt;35,"36-44",B56&gt;25,"26-35",B56&gt;=18,"18-25")</f>
        <v>18-25</v>
      </c>
      <c r="D56" s="4" t="s">
        <v>78</v>
      </c>
      <c r="E56" s="4" t="s">
        <v>72</v>
      </c>
      <c r="F56" s="4" t="s">
        <v>67</v>
      </c>
      <c r="G56" s="4" t="s">
        <v>80</v>
      </c>
      <c r="H56" s="4" t="s">
        <v>216</v>
      </c>
      <c r="I56" s="4" t="s">
        <v>97</v>
      </c>
      <c r="J56" s="5">
        <v>472.52</v>
      </c>
      <c r="K56" s="3">
        <v>8</v>
      </c>
      <c r="L56" s="4" t="str">
        <f>IF(AND(J56&gt;350,K56&gt;6), "True","False")</f>
        <v>True</v>
      </c>
      <c r="M56" s="4" t="s">
        <v>56</v>
      </c>
      <c r="N56" s="3">
        <v>2</v>
      </c>
      <c r="O56" s="4" t="str" cm="1">
        <f t="array" ref="O56">_xlfn.IFS(P56&lt;=2,"Poor",P56=3,"Average",P56&gt;=4,"Good")</f>
        <v>Good</v>
      </c>
      <c r="P56" s="3">
        <v>4</v>
      </c>
      <c r="Q56" s="2">
        <v>0</v>
      </c>
      <c r="R56" s="4" t="s">
        <v>59</v>
      </c>
      <c r="S56" s="4" t="s">
        <v>84</v>
      </c>
      <c r="T56" s="3">
        <v>2</v>
      </c>
      <c r="U56" s="4" t="str" cm="1">
        <f t="array" ref="U56">_xlfn.IFS(V56&lt;=4, "Dissatisfied",V56&lt;=7,"Neutral",V56&gt;=8,"Satisfied")</f>
        <v>Satisfied</v>
      </c>
      <c r="V56" s="3">
        <v>8</v>
      </c>
      <c r="W56" s="4" t="s">
        <v>85</v>
      </c>
      <c r="X56" s="4" t="s">
        <v>74</v>
      </c>
      <c r="Y56" s="4" t="s">
        <v>61</v>
      </c>
      <c r="Z56" s="1">
        <v>45315</v>
      </c>
      <c r="AA56" s="4" t="str" cm="1">
        <f t="array" ref="AA56">_xlfn.IFS(OR(AB56="December", AB56="February", AB56="January"), "Winter", OR(AB56="March", AB56="April", AB56="May"), "Spring", OR(AB56="June", AB56="July", AB56="August"), "Summer", TRUE, "Autumn")</f>
        <v>Winter</v>
      </c>
      <c r="AB56" s="7" t="str">
        <f>TEXT(Z56, "mmmm")</f>
        <v>January</v>
      </c>
      <c r="AC56" s="1" t="str">
        <f>TEXT(Z56, "dddd")</f>
        <v>Wednesday</v>
      </c>
      <c r="AD56" s="4" t="s">
        <v>76</v>
      </c>
      <c r="AE56" s="4" t="s">
        <v>62</v>
      </c>
      <c r="AF56" s="4" t="s">
        <v>87</v>
      </c>
      <c r="AG56" s="4" t="s">
        <v>88</v>
      </c>
      <c r="AH56" s="3">
        <v>14</v>
      </c>
    </row>
    <row r="57" spans="1:34">
      <c r="A57" s="4" t="s">
        <v>217</v>
      </c>
      <c r="B57" s="3">
        <v>50</v>
      </c>
      <c r="C57" s="9" t="str" cm="1">
        <f t="array" ref="C57">_xlfn.IFS(B57&gt;65,"+65",B57&gt;54,"55-65",B57&gt;44,"45-54",B57&gt;35,"36-44",B57&gt;25,"26-35",B57&gt;=18,"18-25")</f>
        <v>45-54</v>
      </c>
      <c r="D57" s="4" t="s">
        <v>66</v>
      </c>
      <c r="E57" s="4" t="s">
        <v>72</v>
      </c>
      <c r="F57" s="4" t="s">
        <v>67</v>
      </c>
      <c r="G57" s="4" t="s">
        <v>68</v>
      </c>
      <c r="H57" s="4" t="s">
        <v>218</v>
      </c>
      <c r="I57" s="4" t="s">
        <v>100</v>
      </c>
      <c r="J57" s="5">
        <v>66.86</v>
      </c>
      <c r="K57" s="3">
        <v>3</v>
      </c>
      <c r="L57" s="4" t="str">
        <f>IF(AND(J57&gt;350,K57&gt;6), "True","False")</f>
        <v>False</v>
      </c>
      <c r="M57" s="4" t="s">
        <v>83</v>
      </c>
      <c r="N57" s="3">
        <v>1</v>
      </c>
      <c r="O57" s="4" t="str" cm="1">
        <f t="array" ref="O57">_xlfn.IFS(P57&lt;=2,"Poor",P57=3,"Average",P57&gt;=4,"Good")</f>
        <v>Poor</v>
      </c>
      <c r="P57" s="3">
        <v>1</v>
      </c>
      <c r="Q57" s="2">
        <v>1</v>
      </c>
      <c r="R57" s="4" t="s">
        <v>85</v>
      </c>
      <c r="S57" s="4" t="s">
        <v>73</v>
      </c>
      <c r="T57" s="3">
        <v>0</v>
      </c>
      <c r="U57" s="4" t="str" cm="1">
        <f t="array" ref="U57">_xlfn.IFS(V57&lt;=4, "Dissatisfied",V57&lt;=7,"Neutral",V57&gt;=8,"Satisfied")</f>
        <v>Satisfied</v>
      </c>
      <c r="V57" s="3">
        <v>10</v>
      </c>
      <c r="W57" s="4" t="s">
        <v>85</v>
      </c>
      <c r="X57" s="4" t="s">
        <v>101</v>
      </c>
      <c r="Y57" s="4" t="s">
        <v>111</v>
      </c>
      <c r="Z57" s="1">
        <v>45316</v>
      </c>
      <c r="AA57" s="4" t="str" cm="1">
        <f t="array" ref="AA57">_xlfn.IFS(OR(AB57="December", AB57="February", AB57="January"), "Winter", OR(AB57="March", AB57="April", AB57="May"), "Spring", OR(AB57="June", AB57="July", AB57="August"), "Summer", TRUE, "Autumn")</f>
        <v>Winter</v>
      </c>
      <c r="AB57" s="7" t="str">
        <f>TEXT(Z57, "mmmm")</f>
        <v>January</v>
      </c>
      <c r="AC57" s="1" t="str">
        <f>TEXT(Z57, "dddd")</f>
        <v>Thursday</v>
      </c>
      <c r="AD57" s="4" t="s">
        <v>62</v>
      </c>
      <c r="AE57" s="4" t="s">
        <v>62</v>
      </c>
      <c r="AF57" s="4" t="s">
        <v>102</v>
      </c>
      <c r="AG57" s="4" t="s">
        <v>93</v>
      </c>
      <c r="AH57" s="3">
        <v>9</v>
      </c>
    </row>
    <row r="58" spans="1:34">
      <c r="A58" s="4" t="s">
        <v>219</v>
      </c>
      <c r="B58" s="3">
        <v>47</v>
      </c>
      <c r="C58" s="9" t="str" cm="1">
        <f t="array" ref="C58">_xlfn.IFS(B58&gt;65,"+65",B58&gt;54,"55-65",B58&gt;44,"45-54",B58&gt;35,"36-44",B58&gt;25,"26-35",B58&gt;=18,"18-25")</f>
        <v>45-54</v>
      </c>
      <c r="D58" s="4" t="s">
        <v>78</v>
      </c>
      <c r="E58" s="4" t="s">
        <v>72</v>
      </c>
      <c r="F58" s="4" t="s">
        <v>52</v>
      </c>
      <c r="G58" s="4" t="s">
        <v>53</v>
      </c>
      <c r="H58" s="4" t="s">
        <v>220</v>
      </c>
      <c r="I58" s="4" t="s">
        <v>91</v>
      </c>
      <c r="J58" s="5">
        <v>402.82</v>
      </c>
      <c r="K58" s="3">
        <v>7</v>
      </c>
      <c r="L58" s="4" t="str">
        <f>IF(AND(J58&gt;350,K58&gt;6), "True","False")</f>
        <v>True</v>
      </c>
      <c r="M58" s="4" t="s">
        <v>56</v>
      </c>
      <c r="N58" s="3">
        <v>4</v>
      </c>
      <c r="O58" s="4" t="str" cm="1">
        <f t="array" ref="O58">_xlfn.IFS(P58&lt;=2,"Poor",P58=3,"Average",P58&gt;=4,"Good")</f>
        <v>Good</v>
      </c>
      <c r="P58" s="3">
        <v>5</v>
      </c>
      <c r="Q58" s="2">
        <v>0</v>
      </c>
      <c r="R58" s="4" t="s">
        <v>57</v>
      </c>
      <c r="S58" s="4" t="s">
        <v>84</v>
      </c>
      <c r="T58" s="3">
        <v>2</v>
      </c>
      <c r="U58" s="4" t="str" cm="1">
        <f t="array" ref="U58">_xlfn.IFS(V58&lt;=4, "Dissatisfied",V58&lt;=7,"Neutral",V58&gt;=8,"Satisfied")</f>
        <v>Dissatisfied</v>
      </c>
      <c r="V58" s="3">
        <v>2</v>
      </c>
      <c r="W58" s="4" t="s">
        <v>59</v>
      </c>
      <c r="X58" s="4" t="s">
        <v>60</v>
      </c>
      <c r="Y58" s="4" t="s">
        <v>75</v>
      </c>
      <c r="Z58" s="1">
        <v>45316</v>
      </c>
      <c r="AA58" s="4" t="str" cm="1">
        <f t="array" ref="AA58">_xlfn.IFS(OR(AB58="December", AB58="February", AB58="January"), "Winter", OR(AB58="March", AB58="April", AB58="May"), "Spring", OR(AB58="June", AB58="July", AB58="August"), "Summer", TRUE, "Autumn")</f>
        <v>Winter</v>
      </c>
      <c r="AB58" s="7" t="str">
        <f>TEXT(Z58, "mmmm")</f>
        <v>January</v>
      </c>
      <c r="AC58" s="1" t="str">
        <f>TEXT(Z58, "dddd")</f>
        <v>Thursday</v>
      </c>
      <c r="AD58" s="4" t="s">
        <v>76</v>
      </c>
      <c r="AE58" s="4" t="s">
        <v>76</v>
      </c>
      <c r="AF58" s="4" t="s">
        <v>102</v>
      </c>
      <c r="AG58" s="4" t="s">
        <v>88</v>
      </c>
      <c r="AH58" s="3">
        <v>13</v>
      </c>
    </row>
    <row r="59" spans="1:34">
      <c r="A59" s="4" t="s">
        <v>221</v>
      </c>
      <c r="B59" s="3">
        <v>38</v>
      </c>
      <c r="C59" s="9" t="str" cm="1">
        <f t="array" ref="C59">_xlfn.IFS(B59&gt;65,"+65",B59&gt;54,"55-65",B59&gt;44,"45-54",B59&gt;35,"36-44",B59&gt;25,"26-35",B59&gt;=18,"18-25")</f>
        <v>36-44</v>
      </c>
      <c r="D59" s="4" t="s">
        <v>78</v>
      </c>
      <c r="E59" s="4" t="s">
        <v>51</v>
      </c>
      <c r="F59" s="4" t="s">
        <v>52</v>
      </c>
      <c r="G59" s="4" t="s">
        <v>53</v>
      </c>
      <c r="H59" s="4" t="s">
        <v>222</v>
      </c>
      <c r="I59" s="4" t="s">
        <v>223</v>
      </c>
      <c r="J59" s="5">
        <v>195.83</v>
      </c>
      <c r="K59" s="3">
        <v>10</v>
      </c>
      <c r="L59" s="4" t="str">
        <f>IF(AND(J59&gt;350,K59&gt;6), "True","False")</f>
        <v>False</v>
      </c>
      <c r="M59" s="4" t="s">
        <v>83</v>
      </c>
      <c r="N59" s="3">
        <v>1</v>
      </c>
      <c r="O59" s="4" t="str" cm="1">
        <f t="array" ref="O59">_xlfn.IFS(P59&lt;=2,"Poor",P59=3,"Average",P59&gt;=4,"Good")</f>
        <v>Poor</v>
      </c>
      <c r="P59" s="3">
        <v>2</v>
      </c>
      <c r="Q59" s="2">
        <v>2</v>
      </c>
      <c r="R59" s="4" t="s">
        <v>57</v>
      </c>
      <c r="S59" s="4" t="s">
        <v>58</v>
      </c>
      <c r="T59" s="3">
        <v>1</v>
      </c>
      <c r="U59" s="4" t="str" cm="1">
        <f t="array" ref="U59">_xlfn.IFS(V59&lt;=4, "Dissatisfied",V59&lt;=7,"Neutral",V59&gt;=8,"Satisfied")</f>
        <v>Neutral</v>
      </c>
      <c r="V59" s="3">
        <v>7</v>
      </c>
      <c r="W59" s="4" t="s">
        <v>72</v>
      </c>
      <c r="X59" s="4" t="s">
        <v>101</v>
      </c>
      <c r="Y59" s="4" t="s">
        <v>75</v>
      </c>
      <c r="Z59" s="1">
        <v>45316</v>
      </c>
      <c r="AA59" s="4" t="str" cm="1">
        <f t="array" ref="AA59">_xlfn.IFS(OR(AB59="December", AB59="February", AB59="January"), "Winter", OR(AB59="March", AB59="April", AB59="May"), "Spring", OR(AB59="June", AB59="July", AB59="August"), "Summer", TRUE, "Autumn")</f>
        <v>Winter</v>
      </c>
      <c r="AB59" s="7" t="str">
        <f>TEXT(Z59, "mmmm")</f>
        <v>January</v>
      </c>
      <c r="AC59" s="1" t="str">
        <f>TEXT(Z59, "dddd")</f>
        <v>Thursday</v>
      </c>
      <c r="AD59" s="4" t="s">
        <v>62</v>
      </c>
      <c r="AE59" s="4" t="s">
        <v>76</v>
      </c>
      <c r="AF59" s="4" t="s">
        <v>63</v>
      </c>
      <c r="AG59" s="4" t="s">
        <v>88</v>
      </c>
      <c r="AH59" s="3">
        <v>13</v>
      </c>
    </row>
    <row r="60" spans="1:34">
      <c r="A60" s="4" t="s">
        <v>224</v>
      </c>
      <c r="B60" s="3">
        <v>37</v>
      </c>
      <c r="C60" s="9" t="str" cm="1">
        <f t="array" ref="C60">_xlfn.IFS(B60&gt;65,"+65",B60&gt;54,"55-65",B60&gt;44,"45-54",B60&gt;35,"36-44",B60&gt;25,"26-35",B60&gt;=18,"18-25")</f>
        <v>36-44</v>
      </c>
      <c r="D60" s="4" t="s">
        <v>225</v>
      </c>
      <c r="E60" s="4" t="s">
        <v>72</v>
      </c>
      <c r="F60" s="4" t="s">
        <v>95</v>
      </c>
      <c r="G60" s="4" t="s">
        <v>53</v>
      </c>
      <c r="H60" s="4" t="s">
        <v>226</v>
      </c>
      <c r="I60" s="4" t="s">
        <v>110</v>
      </c>
      <c r="J60" s="5">
        <v>442.18</v>
      </c>
      <c r="K60" s="3">
        <v>5</v>
      </c>
      <c r="L60" s="4" t="str">
        <f>IF(AND(J60&gt;350,K60&gt;6), "True","False")</f>
        <v>False</v>
      </c>
      <c r="M60" s="4" t="s">
        <v>71</v>
      </c>
      <c r="N60" s="3">
        <v>4</v>
      </c>
      <c r="O60" s="4" t="str" cm="1">
        <f t="array" ref="O60">_xlfn.IFS(P60&lt;=2,"Poor",P60=3,"Average",P60&gt;=4,"Good")</f>
        <v>Average</v>
      </c>
      <c r="P60" s="3">
        <v>3</v>
      </c>
      <c r="Q60" s="2">
        <v>1</v>
      </c>
      <c r="R60" s="4" t="s">
        <v>57</v>
      </c>
      <c r="S60" s="4" t="s">
        <v>73</v>
      </c>
      <c r="T60" s="3">
        <v>2</v>
      </c>
      <c r="U60" s="4" t="str" cm="1">
        <f t="array" ref="U60">_xlfn.IFS(V60&lt;=4, "Dissatisfied",V60&lt;=7,"Neutral",V60&gt;=8,"Satisfied")</f>
        <v>Satisfied</v>
      </c>
      <c r="V60" s="3">
        <v>10</v>
      </c>
      <c r="W60" s="4" t="s">
        <v>72</v>
      </c>
      <c r="X60" s="4" t="s">
        <v>60</v>
      </c>
      <c r="Y60" s="4" t="s">
        <v>86</v>
      </c>
      <c r="Z60" s="1">
        <v>45316</v>
      </c>
      <c r="AA60" s="4" t="str" cm="1">
        <f t="array" ref="AA60">_xlfn.IFS(OR(AB60="December", AB60="February", AB60="January"), "Winter", OR(AB60="March", AB60="April", AB60="May"), "Spring", OR(AB60="June", AB60="July", AB60="August"), "Summer", TRUE, "Autumn")</f>
        <v>Winter</v>
      </c>
      <c r="AB60" s="7" t="str">
        <f>TEXT(Z60, "mmmm")</f>
        <v>January</v>
      </c>
      <c r="AC60" s="1" t="str">
        <f>TEXT(Z60, "dddd")</f>
        <v>Thursday</v>
      </c>
      <c r="AD60" s="4" t="s">
        <v>76</v>
      </c>
      <c r="AE60" s="4" t="s">
        <v>76</v>
      </c>
      <c r="AF60" s="4" t="s">
        <v>92</v>
      </c>
      <c r="AG60" s="4" t="s">
        <v>93</v>
      </c>
      <c r="AH60" s="3">
        <v>12</v>
      </c>
    </row>
    <row r="61" spans="1:34">
      <c r="A61" s="4" t="s">
        <v>227</v>
      </c>
      <c r="B61" s="3">
        <v>21</v>
      </c>
      <c r="C61" s="9" t="str" cm="1">
        <f t="array" ref="C61">_xlfn.IFS(B61&gt;65,"+65",B61&gt;54,"55-65",B61&gt;44,"45-54",B61&gt;35,"36-44",B61&gt;25,"26-35",B61&gt;=18,"18-25")</f>
        <v>18-25</v>
      </c>
      <c r="D61" s="4" t="s">
        <v>66</v>
      </c>
      <c r="E61" s="4" t="s">
        <v>51</v>
      </c>
      <c r="F61" s="4" t="s">
        <v>79</v>
      </c>
      <c r="G61" s="4" t="s">
        <v>68</v>
      </c>
      <c r="H61" s="4" t="s">
        <v>228</v>
      </c>
      <c r="I61" s="4" t="s">
        <v>156</v>
      </c>
      <c r="J61" s="5">
        <v>83.5</v>
      </c>
      <c r="K61" s="3">
        <v>12</v>
      </c>
      <c r="L61" s="4" t="str">
        <f>IF(AND(J61&gt;350,K61&gt;6), "True","False")</f>
        <v>False</v>
      </c>
      <c r="M61" s="4" t="s">
        <v>71</v>
      </c>
      <c r="N61" s="3">
        <v>2</v>
      </c>
      <c r="O61" s="4" t="str" cm="1">
        <f t="array" ref="O61">_xlfn.IFS(P61&lt;=2,"Poor",P61=3,"Average",P61&gt;=4,"Good")</f>
        <v>Good</v>
      </c>
      <c r="P61" s="3">
        <v>4</v>
      </c>
      <c r="Q61" s="2">
        <v>0</v>
      </c>
      <c r="R61" s="4" t="s">
        <v>57</v>
      </c>
      <c r="S61" s="4" t="s">
        <v>58</v>
      </c>
      <c r="T61" s="3">
        <v>2</v>
      </c>
      <c r="U61" s="4" t="str" cm="1">
        <f t="array" ref="U61">_xlfn.IFS(V61&lt;=4, "Dissatisfied",V61&lt;=7,"Neutral",V61&gt;=8,"Satisfied")</f>
        <v>Neutral</v>
      </c>
      <c r="V61" s="3">
        <v>7</v>
      </c>
      <c r="W61" s="4" t="s">
        <v>59</v>
      </c>
      <c r="X61" s="4" t="s">
        <v>60</v>
      </c>
      <c r="Y61" s="4" t="s">
        <v>61</v>
      </c>
      <c r="Z61" s="1">
        <v>45316</v>
      </c>
      <c r="AA61" s="4" t="str" cm="1">
        <f t="array" ref="AA61">_xlfn.IFS(OR(AB61="December", AB61="February", AB61="January"), "Winter", OR(AB61="March", AB61="April", AB61="May"), "Spring", OR(AB61="June", AB61="July", AB61="August"), "Summer", TRUE, "Autumn")</f>
        <v>Winter</v>
      </c>
      <c r="AB61" s="7" t="str">
        <f>TEXT(Z61, "mmmm")</f>
        <v>January</v>
      </c>
      <c r="AC61" s="1" t="str">
        <f>TEXT(Z61, "dddd")</f>
        <v>Thursday</v>
      </c>
      <c r="AD61" s="4" t="s">
        <v>62</v>
      </c>
      <c r="AE61" s="4" t="s">
        <v>62</v>
      </c>
      <c r="AF61" s="4" t="s">
        <v>63</v>
      </c>
      <c r="AG61" s="4" t="s">
        <v>64</v>
      </c>
      <c r="AH61" s="3">
        <v>10</v>
      </c>
    </row>
    <row r="62" spans="1:34">
      <c r="A62" s="4" t="s">
        <v>229</v>
      </c>
      <c r="B62" s="3">
        <v>48</v>
      </c>
      <c r="C62" s="9" t="str" cm="1">
        <f t="array" ref="C62">_xlfn.IFS(B62&gt;65,"+65",B62&gt;54,"55-65",B62&gt;44,"45-54",B62&gt;35,"36-44",B62&gt;25,"26-35",B62&gt;=18,"18-25")</f>
        <v>45-54</v>
      </c>
      <c r="D62" s="4" t="s">
        <v>78</v>
      </c>
      <c r="E62" s="4" t="s">
        <v>72</v>
      </c>
      <c r="F62" s="4" t="s">
        <v>95</v>
      </c>
      <c r="G62" s="4" t="s">
        <v>68</v>
      </c>
      <c r="H62" s="4" t="s">
        <v>230</v>
      </c>
      <c r="I62" s="4" t="s">
        <v>97</v>
      </c>
      <c r="J62" s="5">
        <v>347.09</v>
      </c>
      <c r="K62" s="3">
        <v>5</v>
      </c>
      <c r="L62" s="4" t="str">
        <f>IF(AND(J62&gt;350,K62&gt;6), "True","False")</f>
        <v>False</v>
      </c>
      <c r="M62" s="4" t="s">
        <v>71</v>
      </c>
      <c r="N62" s="3">
        <v>5</v>
      </c>
      <c r="O62" s="4" t="str" cm="1">
        <f t="array" ref="O62">_xlfn.IFS(P62&lt;=2,"Poor",P62=3,"Average",P62&gt;=4,"Good")</f>
        <v>Poor</v>
      </c>
      <c r="P62" s="3">
        <v>2</v>
      </c>
      <c r="Q62" s="2">
        <v>0</v>
      </c>
      <c r="R62" s="4" t="s">
        <v>85</v>
      </c>
      <c r="S62" s="4" t="s">
        <v>84</v>
      </c>
      <c r="T62" s="3">
        <v>2</v>
      </c>
      <c r="U62" s="4" t="str" cm="1">
        <f t="array" ref="U62">_xlfn.IFS(V62&lt;=4, "Dissatisfied",V62&lt;=7,"Neutral",V62&gt;=8,"Satisfied")</f>
        <v>Dissatisfied</v>
      </c>
      <c r="V62" s="3">
        <v>1</v>
      </c>
      <c r="W62" s="4" t="s">
        <v>57</v>
      </c>
      <c r="X62" s="4" t="s">
        <v>60</v>
      </c>
      <c r="Y62" s="4" t="s">
        <v>111</v>
      </c>
      <c r="Z62" s="1">
        <v>45317</v>
      </c>
      <c r="AA62" s="4" t="str" cm="1">
        <f t="array" ref="AA62">_xlfn.IFS(OR(AB62="December", AB62="February", AB62="January"), "Winter", OR(AB62="March", AB62="April", AB62="May"), "Spring", OR(AB62="June", AB62="July", AB62="August"), "Summer", TRUE, "Autumn")</f>
        <v>Winter</v>
      </c>
      <c r="AB62" s="7" t="str">
        <f>TEXT(Z62, "mmmm")</f>
        <v>January</v>
      </c>
      <c r="AC62" s="1" t="str">
        <f>TEXT(Z62, "dddd")</f>
        <v>Friday</v>
      </c>
      <c r="AD62" s="4" t="s">
        <v>76</v>
      </c>
      <c r="AE62" s="4" t="s">
        <v>76</v>
      </c>
      <c r="AF62" s="4" t="s">
        <v>87</v>
      </c>
      <c r="AG62" s="4" t="s">
        <v>88</v>
      </c>
      <c r="AH62" s="3">
        <v>7</v>
      </c>
    </row>
    <row r="63" spans="1:34">
      <c r="A63" s="4" t="s">
        <v>231</v>
      </c>
      <c r="B63" s="3">
        <v>39</v>
      </c>
      <c r="C63" s="9" t="str" cm="1">
        <f t="array" ref="C63">_xlfn.IFS(B63&gt;65,"+65",B63&gt;54,"55-65",B63&gt;44,"45-54",B63&gt;35,"36-44",B63&gt;25,"26-35",B63&gt;=18,"18-25")</f>
        <v>36-44</v>
      </c>
      <c r="D63" s="4" t="s">
        <v>232</v>
      </c>
      <c r="E63" s="4" t="s">
        <v>72</v>
      </c>
      <c r="F63" s="4" t="s">
        <v>67</v>
      </c>
      <c r="G63" s="4" t="s">
        <v>53</v>
      </c>
      <c r="H63" s="4" t="s">
        <v>233</v>
      </c>
      <c r="I63" s="4" t="s">
        <v>234</v>
      </c>
      <c r="J63" s="5">
        <v>282.13</v>
      </c>
      <c r="K63" s="3">
        <v>5</v>
      </c>
      <c r="L63" s="4" t="str">
        <f>IF(AND(J63&gt;350,K63&gt;6), "True","False")</f>
        <v>False</v>
      </c>
      <c r="M63" s="4" t="s">
        <v>83</v>
      </c>
      <c r="N63" s="3">
        <v>4</v>
      </c>
      <c r="O63" s="4" t="str" cm="1">
        <f t="array" ref="O63">_xlfn.IFS(P63&lt;=2,"Poor",P63=3,"Average",P63&gt;=4,"Good")</f>
        <v>Good</v>
      </c>
      <c r="P63" s="3">
        <v>5</v>
      </c>
      <c r="Q63" s="2">
        <v>1</v>
      </c>
      <c r="R63" s="4" t="s">
        <v>57</v>
      </c>
      <c r="S63" s="4" t="s">
        <v>84</v>
      </c>
      <c r="T63" s="3">
        <v>1</v>
      </c>
      <c r="U63" s="4" t="str" cm="1">
        <f t="array" ref="U63">_xlfn.IFS(V63&lt;=4, "Dissatisfied",V63&lt;=7,"Neutral",V63&gt;=8,"Satisfied")</f>
        <v>Dissatisfied</v>
      </c>
      <c r="V63" s="3">
        <v>2</v>
      </c>
      <c r="W63" s="4" t="s">
        <v>57</v>
      </c>
      <c r="X63" s="4" t="s">
        <v>74</v>
      </c>
      <c r="Y63" s="4" t="s">
        <v>111</v>
      </c>
      <c r="Z63" s="1">
        <v>45317</v>
      </c>
      <c r="AA63" s="4" t="str" cm="1">
        <f t="array" ref="AA63">_xlfn.IFS(OR(AB63="December", AB63="February", AB63="January"), "Winter", OR(AB63="March", AB63="April", AB63="May"), "Spring", OR(AB63="June", AB63="July", AB63="August"), "Summer", TRUE, "Autumn")</f>
        <v>Winter</v>
      </c>
      <c r="AB63" s="7" t="str">
        <f>TEXT(Z63, "mmmm")</f>
        <v>January</v>
      </c>
      <c r="AC63" s="1" t="str">
        <f>TEXT(Z63, "dddd")</f>
        <v>Friday</v>
      </c>
      <c r="AD63" s="4" t="s">
        <v>62</v>
      </c>
      <c r="AE63" s="4" t="s">
        <v>76</v>
      </c>
      <c r="AF63" s="4" t="s">
        <v>63</v>
      </c>
      <c r="AG63" s="4" t="s">
        <v>64</v>
      </c>
      <c r="AH63" s="3">
        <v>9</v>
      </c>
    </row>
    <row r="64" spans="1:34">
      <c r="A64" s="4" t="s">
        <v>235</v>
      </c>
      <c r="B64" s="3">
        <v>37</v>
      </c>
      <c r="C64" s="9" t="str" cm="1">
        <f t="array" ref="C64">_xlfn.IFS(B64&gt;65,"+65",B64&gt;54,"55-65",B64&gt;44,"45-54",B64&gt;35,"36-44",B64&gt;25,"26-35",B64&gt;=18,"18-25")</f>
        <v>36-44</v>
      </c>
      <c r="D64" s="4" t="s">
        <v>78</v>
      </c>
      <c r="E64" s="4" t="s">
        <v>51</v>
      </c>
      <c r="F64" s="4" t="s">
        <v>52</v>
      </c>
      <c r="G64" s="4" t="s">
        <v>53</v>
      </c>
      <c r="H64" s="4" t="s">
        <v>236</v>
      </c>
      <c r="I64" s="4" t="s">
        <v>100</v>
      </c>
      <c r="J64" s="5">
        <v>61.5</v>
      </c>
      <c r="K64" s="3">
        <v>11</v>
      </c>
      <c r="L64" s="4" t="str">
        <f>IF(AND(J64&gt;350,K64&gt;6), "True","False")</f>
        <v>False</v>
      </c>
      <c r="M64" s="4" t="s">
        <v>83</v>
      </c>
      <c r="N64" s="3">
        <v>4</v>
      </c>
      <c r="O64" s="4" t="str" cm="1">
        <f t="array" ref="O64">_xlfn.IFS(P64&lt;=2,"Poor",P64=3,"Average",P64&gt;=4,"Good")</f>
        <v>Poor</v>
      </c>
      <c r="P64" s="3">
        <v>2</v>
      </c>
      <c r="Q64" s="2">
        <v>0</v>
      </c>
      <c r="R64" s="4" t="s">
        <v>85</v>
      </c>
      <c r="S64" s="4" t="s">
        <v>73</v>
      </c>
      <c r="T64" s="3">
        <v>0</v>
      </c>
      <c r="U64" s="4" t="str" cm="1">
        <f t="array" ref="U64">_xlfn.IFS(V64&lt;=4, "Dissatisfied",V64&lt;=7,"Neutral",V64&gt;=8,"Satisfied")</f>
        <v>Dissatisfied</v>
      </c>
      <c r="V64" s="3">
        <v>1</v>
      </c>
      <c r="W64" s="4" t="s">
        <v>72</v>
      </c>
      <c r="X64" s="4" t="s">
        <v>60</v>
      </c>
      <c r="Y64" s="4" t="s">
        <v>111</v>
      </c>
      <c r="Z64" s="1">
        <v>45317</v>
      </c>
      <c r="AA64" s="4" t="str" cm="1">
        <f t="array" ref="AA64">_xlfn.IFS(OR(AB64="December", AB64="February", AB64="January"), "Winter", OR(AB64="March", AB64="April", AB64="May"), "Spring", OR(AB64="June", AB64="July", AB64="August"), "Summer", TRUE, "Autumn")</f>
        <v>Winter</v>
      </c>
      <c r="AB64" s="7" t="str">
        <f>TEXT(Z64, "mmmm")</f>
        <v>January</v>
      </c>
      <c r="AC64" s="1" t="str">
        <f>TEXT(Z64, "dddd")</f>
        <v>Friday</v>
      </c>
      <c r="AD64" s="4" t="s">
        <v>62</v>
      </c>
      <c r="AE64" s="4" t="s">
        <v>62</v>
      </c>
      <c r="AF64" s="4" t="s">
        <v>87</v>
      </c>
      <c r="AG64" s="4" t="s">
        <v>93</v>
      </c>
      <c r="AH64" s="3">
        <v>8</v>
      </c>
    </row>
    <row r="65" spans="1:34">
      <c r="A65" s="4" t="s">
        <v>237</v>
      </c>
      <c r="B65" s="3">
        <v>26</v>
      </c>
      <c r="C65" s="9" t="str" cm="1">
        <f t="array" ref="C65">_xlfn.IFS(B65&gt;65,"+65",B65&gt;54,"55-65",B65&gt;44,"45-54",B65&gt;35,"36-44",B65&gt;25,"26-35",B65&gt;=18,"18-25")</f>
        <v>26-35</v>
      </c>
      <c r="D65" s="4" t="s">
        <v>66</v>
      </c>
      <c r="E65" s="4" t="s">
        <v>72</v>
      </c>
      <c r="F65" s="4" t="s">
        <v>79</v>
      </c>
      <c r="G65" s="4" t="s">
        <v>68</v>
      </c>
      <c r="H65" s="4" t="s">
        <v>238</v>
      </c>
      <c r="I65" s="4" t="s">
        <v>70</v>
      </c>
      <c r="J65" s="5">
        <v>73.319999999999993</v>
      </c>
      <c r="K65" s="3">
        <v>10</v>
      </c>
      <c r="L65" s="4" t="str">
        <f>IF(AND(J65&gt;350,K65&gt;6), "True","False")</f>
        <v>False</v>
      </c>
      <c r="M65" s="4" t="s">
        <v>71</v>
      </c>
      <c r="N65" s="3">
        <v>5</v>
      </c>
      <c r="O65" s="4" t="str" cm="1">
        <f t="array" ref="O65">_xlfn.IFS(P65&lt;=2,"Poor",P65=3,"Average",P65&gt;=4,"Good")</f>
        <v>Poor</v>
      </c>
      <c r="P65" s="3">
        <v>1</v>
      </c>
      <c r="Q65" s="2">
        <v>1</v>
      </c>
      <c r="R65" s="4" t="s">
        <v>57</v>
      </c>
      <c r="S65" s="4" t="s">
        <v>58</v>
      </c>
      <c r="T65" s="3">
        <v>1</v>
      </c>
      <c r="U65" s="4" t="str" cm="1">
        <f t="array" ref="U65">_xlfn.IFS(V65&lt;=4, "Dissatisfied",V65&lt;=7,"Neutral",V65&gt;=8,"Satisfied")</f>
        <v>Dissatisfied</v>
      </c>
      <c r="V65" s="3">
        <v>1</v>
      </c>
      <c r="W65" s="4" t="s">
        <v>85</v>
      </c>
      <c r="X65" s="4" t="s">
        <v>60</v>
      </c>
      <c r="Y65" s="4" t="s">
        <v>75</v>
      </c>
      <c r="Z65" s="1">
        <v>45318</v>
      </c>
      <c r="AA65" s="4" t="str" cm="1">
        <f t="array" ref="AA65">_xlfn.IFS(OR(AB65="December", AB65="February", AB65="January"), "Winter", OR(AB65="March", AB65="April", AB65="May"), "Spring", OR(AB65="June", AB65="July", AB65="August"), "Summer", TRUE, "Autumn")</f>
        <v>Winter</v>
      </c>
      <c r="AB65" s="7" t="str">
        <f>TEXT(Z65, "mmmm")</f>
        <v>January</v>
      </c>
      <c r="AC65" s="1" t="str">
        <f>TEXT(Z65, "dddd")</f>
        <v>Saturday</v>
      </c>
      <c r="AD65" s="4" t="s">
        <v>62</v>
      </c>
      <c r="AE65" s="4" t="s">
        <v>76</v>
      </c>
      <c r="AF65" s="4" t="s">
        <v>102</v>
      </c>
      <c r="AG65" s="4" t="s">
        <v>64</v>
      </c>
      <c r="AH65" s="3">
        <v>14</v>
      </c>
    </row>
    <row r="66" spans="1:34">
      <c r="A66" s="4" t="s">
        <v>239</v>
      </c>
      <c r="B66" s="3">
        <v>22</v>
      </c>
      <c r="C66" s="9" t="str" cm="1">
        <f t="array" ref="C66">_xlfn.IFS(B66&gt;65,"+65",B66&gt;54,"55-65",B66&gt;44,"45-54",B66&gt;35,"36-44",B66&gt;25,"26-35",B66&gt;=18,"18-25")</f>
        <v>18-25</v>
      </c>
      <c r="D66" s="4" t="s">
        <v>66</v>
      </c>
      <c r="E66" s="4" t="s">
        <v>51</v>
      </c>
      <c r="F66" s="4" t="s">
        <v>67</v>
      </c>
      <c r="G66" s="4" t="s">
        <v>68</v>
      </c>
      <c r="H66" s="4" t="s">
        <v>240</v>
      </c>
      <c r="I66" s="4" t="s">
        <v>146</v>
      </c>
      <c r="J66" s="5">
        <v>277.29000000000002</v>
      </c>
      <c r="K66" s="3">
        <v>4</v>
      </c>
      <c r="L66" s="4" t="str">
        <f>IF(AND(J66&gt;350,K66&gt;6), "True","False")</f>
        <v>False</v>
      </c>
      <c r="M66" s="4" t="s">
        <v>83</v>
      </c>
      <c r="N66" s="3">
        <v>1</v>
      </c>
      <c r="O66" s="4" t="str" cm="1">
        <f t="array" ref="O66">_xlfn.IFS(P66&lt;=2,"Poor",P66=3,"Average",P66&gt;=4,"Good")</f>
        <v>Good</v>
      </c>
      <c r="P66" s="3">
        <v>4</v>
      </c>
      <c r="Q66" s="2">
        <v>1</v>
      </c>
      <c r="R66" s="4" t="s">
        <v>57</v>
      </c>
      <c r="S66" s="4" t="s">
        <v>84</v>
      </c>
      <c r="T66" s="3">
        <v>2</v>
      </c>
      <c r="U66" s="4" t="str" cm="1">
        <f t="array" ref="U66">_xlfn.IFS(V66&lt;=4, "Dissatisfied",V66&lt;=7,"Neutral",V66&gt;=8,"Satisfied")</f>
        <v>Satisfied</v>
      </c>
      <c r="V66" s="3">
        <v>8</v>
      </c>
      <c r="W66" s="4" t="s">
        <v>59</v>
      </c>
      <c r="X66" s="4" t="s">
        <v>60</v>
      </c>
      <c r="Y66" s="4" t="s">
        <v>119</v>
      </c>
      <c r="Z66" s="1">
        <v>45318</v>
      </c>
      <c r="AA66" s="4" t="str" cm="1">
        <f t="array" ref="AA66">_xlfn.IFS(OR(AB66="December", AB66="February", AB66="January"), "Winter", OR(AB66="March", AB66="April", AB66="May"), "Spring", OR(AB66="June", AB66="July", AB66="August"), "Summer", TRUE, "Autumn")</f>
        <v>Winter</v>
      </c>
      <c r="AB66" s="7" t="str">
        <f>TEXT(Z66, "mmmm")</f>
        <v>January</v>
      </c>
      <c r="AC66" s="1" t="str">
        <f>TEXT(Z66, "dddd")</f>
        <v>Saturday</v>
      </c>
      <c r="AD66" s="4" t="s">
        <v>62</v>
      </c>
      <c r="AE66" s="4" t="s">
        <v>62</v>
      </c>
      <c r="AF66" s="4" t="s">
        <v>102</v>
      </c>
      <c r="AG66" s="4" t="s">
        <v>88</v>
      </c>
      <c r="AH66" s="3">
        <v>4</v>
      </c>
    </row>
    <row r="67" spans="1:34">
      <c r="A67" s="4" t="s">
        <v>241</v>
      </c>
      <c r="B67" s="3">
        <v>48</v>
      </c>
      <c r="C67" s="9" t="str" cm="1">
        <f t="array" ref="C67">_xlfn.IFS(B67&gt;65,"+65",B67&gt;54,"55-65",B67&gt;44,"45-54",B67&gt;35,"36-44",B67&gt;25,"26-35",B67&gt;=18,"18-25")</f>
        <v>45-54</v>
      </c>
      <c r="D67" s="4" t="s">
        <v>66</v>
      </c>
      <c r="E67" s="4" t="s">
        <v>51</v>
      </c>
      <c r="F67" s="4" t="s">
        <v>67</v>
      </c>
      <c r="G67" s="4" t="s">
        <v>53</v>
      </c>
      <c r="H67" s="4" t="s">
        <v>242</v>
      </c>
      <c r="I67" s="4" t="s">
        <v>118</v>
      </c>
      <c r="J67" s="5">
        <v>69.41</v>
      </c>
      <c r="K67" s="3">
        <v>8</v>
      </c>
      <c r="L67" s="4" t="str">
        <f>IF(AND(J67&gt;350,K67&gt;6), "True","False")</f>
        <v>False</v>
      </c>
      <c r="M67" s="4" t="s">
        <v>83</v>
      </c>
      <c r="N67" s="3">
        <v>5</v>
      </c>
      <c r="O67" s="4" t="str" cm="1">
        <f t="array" ref="O67">_xlfn.IFS(P67&lt;=2,"Poor",P67=3,"Average",P67&gt;=4,"Good")</f>
        <v>Average</v>
      </c>
      <c r="P67" s="3">
        <v>3</v>
      </c>
      <c r="Q67" s="2">
        <v>0</v>
      </c>
      <c r="R67" s="4" t="s">
        <v>72</v>
      </c>
      <c r="S67" s="4" t="s">
        <v>84</v>
      </c>
      <c r="T67" s="3">
        <v>1</v>
      </c>
      <c r="U67" s="4" t="str" cm="1">
        <f t="array" ref="U67">_xlfn.IFS(V67&lt;=4, "Dissatisfied",V67&lt;=7,"Neutral",V67&gt;=8,"Satisfied")</f>
        <v>Satisfied</v>
      </c>
      <c r="V67" s="3">
        <v>9</v>
      </c>
      <c r="W67" s="4" t="s">
        <v>72</v>
      </c>
      <c r="X67" s="4" t="s">
        <v>74</v>
      </c>
      <c r="Y67" s="4" t="s">
        <v>61</v>
      </c>
      <c r="Z67" s="1">
        <v>45319</v>
      </c>
      <c r="AA67" s="4" t="str" cm="1">
        <f t="array" ref="AA67">_xlfn.IFS(OR(AB67="December", AB67="February", AB67="January"), "Winter", OR(AB67="March", AB67="April", AB67="May"), "Spring", OR(AB67="June", AB67="July", AB67="August"), "Summer", TRUE, "Autumn")</f>
        <v>Winter</v>
      </c>
      <c r="AB67" s="7" t="str">
        <f>TEXT(Z67, "mmmm")</f>
        <v>January</v>
      </c>
      <c r="AC67" s="1" t="str">
        <f>TEXT(Z67, "dddd")</f>
        <v>Sunday</v>
      </c>
      <c r="AD67" s="4" t="s">
        <v>76</v>
      </c>
      <c r="AE67" s="4" t="s">
        <v>76</v>
      </c>
      <c r="AF67" s="4" t="s">
        <v>102</v>
      </c>
      <c r="AG67" s="4" t="s">
        <v>64</v>
      </c>
      <c r="AH67" s="3">
        <v>5</v>
      </c>
    </row>
    <row r="68" spans="1:34">
      <c r="A68" s="4" t="s">
        <v>243</v>
      </c>
      <c r="B68" s="3">
        <v>47</v>
      </c>
      <c r="C68" s="9" t="str" cm="1">
        <f t="array" ref="C68">_xlfn.IFS(B68&gt;65,"+65",B68&gt;54,"55-65",B68&gt;44,"45-54",B68&gt;35,"36-44",B68&gt;25,"26-35",B68&gt;=18,"18-25")</f>
        <v>45-54</v>
      </c>
      <c r="D68" s="4" t="s">
        <v>66</v>
      </c>
      <c r="E68" s="4" t="s">
        <v>51</v>
      </c>
      <c r="F68" s="4" t="s">
        <v>95</v>
      </c>
      <c r="G68" s="4" t="s">
        <v>80</v>
      </c>
      <c r="H68" s="4" t="s">
        <v>244</v>
      </c>
      <c r="I68" s="4" t="s">
        <v>82</v>
      </c>
      <c r="J68" s="5">
        <v>255.1</v>
      </c>
      <c r="K68" s="3">
        <v>5</v>
      </c>
      <c r="L68" s="4" t="str">
        <f>IF(AND(J68&gt;350,K68&gt;6), "True","False")</f>
        <v>False</v>
      </c>
      <c r="M68" s="4" t="s">
        <v>83</v>
      </c>
      <c r="N68" s="3">
        <v>5</v>
      </c>
      <c r="O68" s="4" t="str" cm="1">
        <f t="array" ref="O68">_xlfn.IFS(P68&lt;=2,"Poor",P68=3,"Average",P68&gt;=4,"Good")</f>
        <v>Poor</v>
      </c>
      <c r="P68" s="3">
        <v>1</v>
      </c>
      <c r="Q68" s="2">
        <v>2</v>
      </c>
      <c r="R68" s="4" t="s">
        <v>72</v>
      </c>
      <c r="S68" s="4" t="s">
        <v>73</v>
      </c>
      <c r="T68" s="3">
        <v>1</v>
      </c>
      <c r="U68" s="4" t="str" cm="1">
        <f t="array" ref="U68">_xlfn.IFS(V68&lt;=4, "Dissatisfied",V68&lt;=7,"Neutral",V68&gt;=8,"Satisfied")</f>
        <v>Dissatisfied</v>
      </c>
      <c r="V68" s="3">
        <v>1</v>
      </c>
      <c r="W68" s="4" t="s">
        <v>59</v>
      </c>
      <c r="X68" s="4" t="s">
        <v>101</v>
      </c>
      <c r="Y68" s="4" t="s">
        <v>86</v>
      </c>
      <c r="Z68" s="1">
        <v>45319</v>
      </c>
      <c r="AA68" s="4" t="str" cm="1">
        <f t="array" ref="AA68">_xlfn.IFS(OR(AB68="December", AB68="February", AB68="January"), "Winter", OR(AB68="March", AB68="April", AB68="May"), "Spring", OR(AB68="June", AB68="July", AB68="August"), "Summer", TRUE, "Autumn")</f>
        <v>Winter</v>
      </c>
      <c r="AB68" s="7" t="str">
        <f>TEXT(Z68, "mmmm")</f>
        <v>January</v>
      </c>
      <c r="AC68" s="1" t="str">
        <f>TEXT(Z68, "dddd")</f>
        <v>Sunday</v>
      </c>
      <c r="AD68" s="4" t="s">
        <v>62</v>
      </c>
      <c r="AE68" s="4" t="s">
        <v>76</v>
      </c>
      <c r="AF68" s="4" t="s">
        <v>87</v>
      </c>
      <c r="AG68" s="4" t="s">
        <v>88</v>
      </c>
      <c r="AH68" s="3">
        <v>14</v>
      </c>
    </row>
    <row r="69" spans="1:34">
      <c r="A69" s="4" t="s">
        <v>245</v>
      </c>
      <c r="B69" s="3">
        <v>47</v>
      </c>
      <c r="C69" s="9" t="str" cm="1">
        <f t="array" ref="C69">_xlfn.IFS(B69&gt;65,"+65",B69&gt;54,"55-65",B69&gt;44,"45-54",B69&gt;35,"36-44",B69&gt;25,"26-35",B69&gt;=18,"18-25")</f>
        <v>45-54</v>
      </c>
      <c r="D69" s="4" t="s">
        <v>78</v>
      </c>
      <c r="E69" s="4" t="s">
        <v>51</v>
      </c>
      <c r="F69" s="4" t="s">
        <v>79</v>
      </c>
      <c r="G69" s="4" t="s">
        <v>80</v>
      </c>
      <c r="H69" s="4" t="s">
        <v>246</v>
      </c>
      <c r="I69" s="4" t="s">
        <v>223</v>
      </c>
      <c r="J69" s="5">
        <v>467.32</v>
      </c>
      <c r="K69" s="3">
        <v>12</v>
      </c>
      <c r="L69" s="4" t="str">
        <f>IF(AND(J69&gt;350,K69&gt;6), "True","False")</f>
        <v>True</v>
      </c>
      <c r="M69" s="4" t="s">
        <v>71</v>
      </c>
      <c r="N69" s="3">
        <v>4</v>
      </c>
      <c r="O69" s="4" t="str" cm="1">
        <f t="array" ref="O69">_xlfn.IFS(P69&lt;=2,"Poor",P69=3,"Average",P69&gt;=4,"Good")</f>
        <v>Good</v>
      </c>
      <c r="P69" s="3">
        <v>4</v>
      </c>
      <c r="Q69" s="2">
        <v>2</v>
      </c>
      <c r="R69" s="4" t="s">
        <v>85</v>
      </c>
      <c r="S69" s="4" t="s">
        <v>84</v>
      </c>
      <c r="T69" s="3">
        <v>2</v>
      </c>
      <c r="U69" s="4" t="str" cm="1">
        <f t="array" ref="U69">_xlfn.IFS(V69&lt;=4, "Dissatisfied",V69&lt;=7,"Neutral",V69&gt;=8,"Satisfied")</f>
        <v>Dissatisfied</v>
      </c>
      <c r="V69" s="3">
        <v>4</v>
      </c>
      <c r="W69" s="4" t="s">
        <v>59</v>
      </c>
      <c r="X69" s="4" t="s">
        <v>60</v>
      </c>
      <c r="Y69" s="4" t="s">
        <v>86</v>
      </c>
      <c r="Z69" s="1">
        <v>45319</v>
      </c>
      <c r="AA69" s="4" t="str" cm="1">
        <f t="array" ref="AA69">_xlfn.IFS(OR(AB69="December", AB69="February", AB69="January"), "Winter", OR(AB69="March", AB69="April", AB69="May"), "Spring", OR(AB69="June", AB69="July", AB69="August"), "Summer", TRUE, "Autumn")</f>
        <v>Winter</v>
      </c>
      <c r="AB69" s="7" t="str">
        <f>TEXT(Z69, "mmmm")</f>
        <v>January</v>
      </c>
      <c r="AC69" s="1" t="str">
        <f>TEXT(Z69, "dddd")</f>
        <v>Sunday</v>
      </c>
      <c r="AD69" s="4" t="s">
        <v>76</v>
      </c>
      <c r="AE69" s="4" t="s">
        <v>62</v>
      </c>
      <c r="AF69" s="4" t="s">
        <v>63</v>
      </c>
      <c r="AG69" s="4" t="s">
        <v>88</v>
      </c>
      <c r="AH69" s="3">
        <v>11</v>
      </c>
    </row>
    <row r="70" spans="1:34">
      <c r="A70" s="4" t="s">
        <v>247</v>
      </c>
      <c r="B70" s="3">
        <v>47</v>
      </c>
      <c r="C70" s="9" t="str" cm="1">
        <f t="array" ref="C70">_xlfn.IFS(B70&gt;65,"+65",B70&gt;54,"55-65",B70&gt;44,"45-54",B70&gt;35,"36-44",B70&gt;25,"26-35",B70&gt;=18,"18-25")</f>
        <v>45-54</v>
      </c>
      <c r="D70" s="4" t="s">
        <v>66</v>
      </c>
      <c r="E70" s="4" t="s">
        <v>51</v>
      </c>
      <c r="F70" s="4" t="s">
        <v>52</v>
      </c>
      <c r="G70" s="4" t="s">
        <v>80</v>
      </c>
      <c r="H70" s="4" t="s">
        <v>248</v>
      </c>
      <c r="I70" s="4" t="s">
        <v>91</v>
      </c>
      <c r="J70" s="5">
        <v>276.08</v>
      </c>
      <c r="K70" s="3">
        <v>4</v>
      </c>
      <c r="L70" s="4" t="str">
        <f>IF(AND(J70&gt;350,K70&gt;6), "True","False")</f>
        <v>False</v>
      </c>
      <c r="M70" s="4" t="s">
        <v>83</v>
      </c>
      <c r="N70" s="3">
        <v>4</v>
      </c>
      <c r="O70" s="4" t="str" cm="1">
        <f t="array" ref="O70">_xlfn.IFS(P70&lt;=2,"Poor",P70=3,"Average",P70&gt;=4,"Good")</f>
        <v>Good</v>
      </c>
      <c r="P70" s="3">
        <v>5</v>
      </c>
      <c r="Q70" s="2">
        <v>0.3</v>
      </c>
      <c r="R70" s="4" t="s">
        <v>72</v>
      </c>
      <c r="S70" s="4" t="s">
        <v>84</v>
      </c>
      <c r="T70" s="3">
        <v>2</v>
      </c>
      <c r="U70" s="4" t="str" cm="1">
        <f t="array" ref="U70">_xlfn.IFS(V70&lt;=4, "Dissatisfied",V70&lt;=7,"Neutral",V70&gt;=8,"Satisfied")</f>
        <v>Satisfied</v>
      </c>
      <c r="V70" s="3">
        <v>10</v>
      </c>
      <c r="W70" s="4" t="s">
        <v>59</v>
      </c>
      <c r="X70" s="4" t="s">
        <v>60</v>
      </c>
      <c r="Y70" s="4" t="s">
        <v>119</v>
      </c>
      <c r="Z70" s="1">
        <v>45320</v>
      </c>
      <c r="AA70" s="4" t="str" cm="1">
        <f t="array" ref="AA70">_xlfn.IFS(OR(AB70="December", AB70="February", AB70="January"), "Winter", OR(AB70="March", AB70="April", AB70="May"), "Spring", OR(AB70="June", AB70="July", AB70="August"), "Summer", TRUE, "Autumn")</f>
        <v>Winter</v>
      </c>
      <c r="AB70" s="7" t="str">
        <f>TEXT(Z70, "mmmm")</f>
        <v>January</v>
      </c>
      <c r="AC70" s="1" t="str">
        <f>TEXT(Z70, "dddd")</f>
        <v>Monday</v>
      </c>
      <c r="AD70" s="4" t="s">
        <v>76</v>
      </c>
      <c r="AE70" s="4" t="s">
        <v>62</v>
      </c>
      <c r="AF70" s="4" t="s">
        <v>63</v>
      </c>
      <c r="AG70" s="4" t="s">
        <v>88</v>
      </c>
      <c r="AH70" s="3">
        <v>10</v>
      </c>
    </row>
    <row r="71" spans="1:34">
      <c r="A71" s="4" t="s">
        <v>249</v>
      </c>
      <c r="B71" s="3">
        <v>40</v>
      </c>
      <c r="C71" s="9" t="str" cm="1">
        <f t="array" ref="C71">_xlfn.IFS(B71&gt;65,"+65",B71&gt;54,"55-65",B71&gt;44,"45-54",B71&gt;35,"36-44",B71&gt;25,"26-35",B71&gt;=18,"18-25")</f>
        <v>36-44</v>
      </c>
      <c r="D71" s="4" t="s">
        <v>78</v>
      </c>
      <c r="E71" s="4" t="s">
        <v>72</v>
      </c>
      <c r="F71" s="4" t="s">
        <v>79</v>
      </c>
      <c r="G71" s="4" t="s">
        <v>80</v>
      </c>
      <c r="H71" s="4" t="s">
        <v>250</v>
      </c>
      <c r="I71" s="4" t="s">
        <v>234</v>
      </c>
      <c r="J71" s="5">
        <v>306.17</v>
      </c>
      <c r="K71" s="3">
        <v>4</v>
      </c>
      <c r="L71" s="4" t="str">
        <f>IF(AND(J71&gt;350,K71&gt;6), "True","False")</f>
        <v>False</v>
      </c>
      <c r="M71" s="4" t="s">
        <v>71</v>
      </c>
      <c r="N71" s="3">
        <v>3</v>
      </c>
      <c r="O71" s="4" t="str" cm="1">
        <f t="array" ref="O71">_xlfn.IFS(P71&lt;=2,"Poor",P71=3,"Average",P71&gt;=4,"Good")</f>
        <v>Good</v>
      </c>
      <c r="P71" s="3">
        <v>5</v>
      </c>
      <c r="Q71" s="2">
        <v>1</v>
      </c>
      <c r="R71" s="4" t="s">
        <v>85</v>
      </c>
      <c r="S71" s="4" t="s">
        <v>84</v>
      </c>
      <c r="T71" s="3">
        <v>0</v>
      </c>
      <c r="U71" s="4" t="str" cm="1">
        <f t="array" ref="U71">_xlfn.IFS(V71&lt;=4, "Dissatisfied",V71&lt;=7,"Neutral",V71&gt;=8,"Satisfied")</f>
        <v>Neutral</v>
      </c>
      <c r="V71" s="3">
        <v>6</v>
      </c>
      <c r="W71" s="4" t="s">
        <v>85</v>
      </c>
      <c r="X71" s="4" t="s">
        <v>74</v>
      </c>
      <c r="Y71" s="4" t="s">
        <v>86</v>
      </c>
      <c r="Z71" s="1">
        <v>45320</v>
      </c>
      <c r="AA71" s="4" t="str" cm="1">
        <f t="array" ref="AA71">_xlfn.IFS(OR(AB71="December", AB71="February", AB71="January"), "Winter", OR(AB71="March", AB71="April", AB71="May"), "Spring", OR(AB71="June", AB71="July", AB71="August"), "Summer", TRUE, "Autumn")</f>
        <v>Winter</v>
      </c>
      <c r="AB71" s="7" t="str">
        <f>TEXT(Z71, "mmmm")</f>
        <v>January</v>
      </c>
      <c r="AC71" s="1" t="str">
        <f>TEXT(Z71, "dddd")</f>
        <v>Monday</v>
      </c>
      <c r="AD71" s="4" t="s">
        <v>76</v>
      </c>
      <c r="AE71" s="4" t="s">
        <v>62</v>
      </c>
      <c r="AF71" s="4" t="s">
        <v>102</v>
      </c>
      <c r="AG71" s="4" t="s">
        <v>93</v>
      </c>
      <c r="AH71" s="3">
        <v>8</v>
      </c>
    </row>
    <row r="72" spans="1:34">
      <c r="A72" s="4" t="s">
        <v>251</v>
      </c>
      <c r="B72" s="3">
        <v>33</v>
      </c>
      <c r="C72" s="9" t="str" cm="1">
        <f t="array" ref="C72">_xlfn.IFS(B72&gt;65,"+65",B72&gt;54,"55-65",B72&gt;44,"45-54",B72&gt;35,"36-44",B72&gt;25,"26-35",B72&gt;=18,"18-25")</f>
        <v>26-35</v>
      </c>
      <c r="D72" s="4" t="s">
        <v>66</v>
      </c>
      <c r="E72" s="4" t="s">
        <v>72</v>
      </c>
      <c r="F72" s="4" t="s">
        <v>67</v>
      </c>
      <c r="G72" s="4" t="s">
        <v>53</v>
      </c>
      <c r="H72" s="4" t="s">
        <v>252</v>
      </c>
      <c r="I72" s="4" t="s">
        <v>91</v>
      </c>
      <c r="J72" s="5">
        <v>122.58</v>
      </c>
      <c r="K72" s="3">
        <v>2</v>
      </c>
      <c r="L72" s="4" t="str">
        <f>IF(AND(J72&gt;350,K72&gt;6), "True","False")</f>
        <v>False</v>
      </c>
      <c r="M72" s="4" t="s">
        <v>71</v>
      </c>
      <c r="N72" s="3">
        <v>5</v>
      </c>
      <c r="O72" s="4" t="str" cm="1">
        <f t="array" ref="O72">_xlfn.IFS(P72&lt;=2,"Poor",P72=3,"Average",P72&gt;=4,"Good")</f>
        <v>Good</v>
      </c>
      <c r="P72" s="3">
        <v>4</v>
      </c>
      <c r="Q72" s="2">
        <v>1.5</v>
      </c>
      <c r="R72" s="4" t="s">
        <v>59</v>
      </c>
      <c r="S72" s="4" t="s">
        <v>58</v>
      </c>
      <c r="T72" s="3">
        <v>2</v>
      </c>
      <c r="U72" s="4" t="str" cm="1">
        <f t="array" ref="U72">_xlfn.IFS(V72&lt;=4, "Dissatisfied",V72&lt;=7,"Neutral",V72&gt;=8,"Satisfied")</f>
        <v>Neutral</v>
      </c>
      <c r="V72" s="3">
        <v>5</v>
      </c>
      <c r="W72" s="4" t="s">
        <v>57</v>
      </c>
      <c r="X72" s="4" t="s">
        <v>74</v>
      </c>
      <c r="Y72" s="4" t="s">
        <v>111</v>
      </c>
      <c r="Z72" s="1">
        <v>45320</v>
      </c>
      <c r="AA72" s="4" t="str" cm="1">
        <f t="array" ref="AA72">_xlfn.IFS(OR(AB72="December", AB72="February", AB72="January"), "Winter", OR(AB72="March", AB72="April", AB72="May"), "Spring", OR(AB72="June", AB72="July", AB72="August"), "Summer", TRUE, "Autumn")</f>
        <v>Winter</v>
      </c>
      <c r="AB72" s="7" t="str">
        <f>TEXT(Z72, "mmmm")</f>
        <v>January</v>
      </c>
      <c r="AC72" s="1" t="str">
        <f>TEXT(Z72, "dddd")</f>
        <v>Monday</v>
      </c>
      <c r="AD72" s="4" t="s">
        <v>62</v>
      </c>
      <c r="AE72" s="4" t="s">
        <v>76</v>
      </c>
      <c r="AF72" s="4" t="s">
        <v>92</v>
      </c>
      <c r="AG72" s="4" t="s">
        <v>93</v>
      </c>
      <c r="AH72" s="3">
        <v>12</v>
      </c>
    </row>
    <row r="73" spans="1:34">
      <c r="A73" s="4" t="s">
        <v>253</v>
      </c>
      <c r="B73" s="3">
        <v>44</v>
      </c>
      <c r="C73" s="9" t="str" cm="1">
        <f t="array" ref="C73">_xlfn.IFS(B73&gt;65,"+65",B73&gt;54,"55-65",B73&gt;44,"45-54",B73&gt;35,"36-44",B73&gt;25,"26-35",B73&gt;=18,"18-25")</f>
        <v>36-44</v>
      </c>
      <c r="D73" s="4" t="s">
        <v>66</v>
      </c>
      <c r="E73" s="4" t="s">
        <v>51</v>
      </c>
      <c r="F73" s="4" t="s">
        <v>52</v>
      </c>
      <c r="G73" s="4" t="s">
        <v>80</v>
      </c>
      <c r="H73" s="4" t="s">
        <v>254</v>
      </c>
      <c r="I73" s="4" t="s">
        <v>100</v>
      </c>
      <c r="J73" s="5">
        <v>492.51</v>
      </c>
      <c r="K73" s="3">
        <v>7</v>
      </c>
      <c r="L73" s="4" t="str">
        <f>IF(AND(J73&gt;350,K73&gt;6), "True","False")</f>
        <v>True</v>
      </c>
      <c r="M73" s="4" t="s">
        <v>56</v>
      </c>
      <c r="N73" s="3">
        <v>1</v>
      </c>
      <c r="O73" s="4" t="str" cm="1">
        <f t="array" ref="O73">_xlfn.IFS(P73&lt;=2,"Poor",P73=3,"Average",P73&gt;=4,"Good")</f>
        <v>Good</v>
      </c>
      <c r="P73" s="3">
        <v>4</v>
      </c>
      <c r="Q73" s="2">
        <v>1</v>
      </c>
      <c r="R73" s="4" t="s">
        <v>59</v>
      </c>
      <c r="S73" s="4" t="s">
        <v>58</v>
      </c>
      <c r="T73" s="3">
        <v>0</v>
      </c>
      <c r="U73" s="4" t="str" cm="1">
        <f t="array" ref="U73">_xlfn.IFS(V73&lt;=4, "Dissatisfied",V73&lt;=7,"Neutral",V73&gt;=8,"Satisfied")</f>
        <v>Dissatisfied</v>
      </c>
      <c r="V73" s="3">
        <v>2</v>
      </c>
      <c r="W73" s="4" t="s">
        <v>85</v>
      </c>
      <c r="X73" s="4" t="s">
        <v>101</v>
      </c>
      <c r="Y73" s="4" t="s">
        <v>86</v>
      </c>
      <c r="Z73" s="1">
        <v>45321</v>
      </c>
      <c r="AA73" s="4" t="str" cm="1">
        <f t="array" ref="AA73">_xlfn.IFS(OR(AB73="December", AB73="February", AB73="January"), "Winter", OR(AB73="March", AB73="April", AB73="May"), "Spring", OR(AB73="June", AB73="July", AB73="August"), "Summer", TRUE, "Autumn")</f>
        <v>Winter</v>
      </c>
      <c r="AB73" s="7" t="str">
        <f>TEXT(Z73, "mmmm")</f>
        <v>January</v>
      </c>
      <c r="AC73" s="1" t="str">
        <f>TEXT(Z73, "dddd")</f>
        <v>Tuesday</v>
      </c>
      <c r="AD73" s="4" t="s">
        <v>62</v>
      </c>
      <c r="AE73" s="4" t="s">
        <v>62</v>
      </c>
      <c r="AF73" s="4" t="s">
        <v>102</v>
      </c>
      <c r="AG73" s="4" t="s">
        <v>64</v>
      </c>
      <c r="AH73" s="3">
        <v>4</v>
      </c>
    </row>
    <row r="74" spans="1:34">
      <c r="A74" s="4" t="s">
        <v>255</v>
      </c>
      <c r="B74" s="3">
        <v>43</v>
      </c>
      <c r="C74" s="9" t="str" cm="1">
        <f t="array" ref="C74">_xlfn.IFS(B74&gt;65,"+65",B74&gt;54,"55-65",B74&gt;44,"45-54",B74&gt;35,"36-44",B74&gt;25,"26-35",B74&gt;=18,"18-25")</f>
        <v>36-44</v>
      </c>
      <c r="D74" s="4" t="s">
        <v>66</v>
      </c>
      <c r="E74" s="4" t="s">
        <v>72</v>
      </c>
      <c r="F74" s="4" t="s">
        <v>95</v>
      </c>
      <c r="G74" s="4" t="s">
        <v>80</v>
      </c>
      <c r="H74" s="4" t="s">
        <v>256</v>
      </c>
      <c r="I74" s="4" t="s">
        <v>133</v>
      </c>
      <c r="J74" s="5">
        <v>414.8</v>
      </c>
      <c r="K74" s="3">
        <v>9</v>
      </c>
      <c r="L74" s="4" t="str">
        <f>IF(AND(J74&gt;350,K74&gt;6), "True","False")</f>
        <v>True</v>
      </c>
      <c r="M74" s="4" t="s">
        <v>83</v>
      </c>
      <c r="N74" s="3">
        <v>2</v>
      </c>
      <c r="O74" s="4" t="str" cm="1">
        <f t="array" ref="O74">_xlfn.IFS(P74&lt;=2,"Poor",P74=3,"Average",P74&gt;=4,"Good")</f>
        <v>Average</v>
      </c>
      <c r="P74" s="3">
        <v>3</v>
      </c>
      <c r="Q74" s="2">
        <v>2</v>
      </c>
      <c r="R74" s="4" t="s">
        <v>59</v>
      </c>
      <c r="S74" s="4" t="s">
        <v>73</v>
      </c>
      <c r="T74" s="3">
        <v>2</v>
      </c>
      <c r="U74" s="4" t="str" cm="1">
        <f t="array" ref="U74">_xlfn.IFS(V74&lt;=4, "Dissatisfied",V74&lt;=7,"Neutral",V74&gt;=8,"Satisfied")</f>
        <v>Satisfied</v>
      </c>
      <c r="V74" s="3">
        <v>9</v>
      </c>
      <c r="W74" s="4" t="s">
        <v>57</v>
      </c>
      <c r="X74" s="4" t="s">
        <v>101</v>
      </c>
      <c r="Y74" s="4" t="s">
        <v>86</v>
      </c>
      <c r="Z74" s="1">
        <v>45321</v>
      </c>
      <c r="AA74" s="4" t="str" cm="1">
        <f t="array" ref="AA74">_xlfn.IFS(OR(AB74="December", AB74="February", AB74="January"), "Winter", OR(AB74="March", AB74="April", AB74="May"), "Spring", OR(AB74="June", AB74="July", AB74="August"), "Summer", TRUE, "Autumn")</f>
        <v>Winter</v>
      </c>
      <c r="AB74" s="7" t="str">
        <f>TEXT(Z74, "mmmm")</f>
        <v>January</v>
      </c>
      <c r="AC74" s="1" t="str">
        <f>TEXT(Z74, "dddd")</f>
        <v>Tuesday</v>
      </c>
      <c r="AD74" s="4" t="s">
        <v>76</v>
      </c>
      <c r="AE74" s="4" t="s">
        <v>62</v>
      </c>
      <c r="AF74" s="4" t="s">
        <v>87</v>
      </c>
      <c r="AG74" s="4" t="s">
        <v>88</v>
      </c>
      <c r="AH74" s="3">
        <v>7</v>
      </c>
    </row>
    <row r="75" spans="1:34">
      <c r="A75" s="4" t="s">
        <v>257</v>
      </c>
      <c r="B75" s="3">
        <v>33</v>
      </c>
      <c r="C75" s="9" t="str" cm="1">
        <f t="array" ref="C75">_xlfn.IFS(B75&gt;65,"+65",B75&gt;54,"55-65",B75&gt;44,"45-54",B75&gt;35,"36-44",B75&gt;25,"26-35",B75&gt;=18,"18-25")</f>
        <v>26-35</v>
      </c>
      <c r="D75" s="4" t="s">
        <v>78</v>
      </c>
      <c r="E75" s="4" t="s">
        <v>51</v>
      </c>
      <c r="F75" s="4" t="s">
        <v>79</v>
      </c>
      <c r="G75" s="4" t="s">
        <v>80</v>
      </c>
      <c r="H75" s="4" t="s">
        <v>258</v>
      </c>
      <c r="I75" s="4" t="s">
        <v>223</v>
      </c>
      <c r="J75" s="5">
        <v>211.7</v>
      </c>
      <c r="K75" s="3">
        <v>6</v>
      </c>
      <c r="L75" s="4" t="str">
        <f>IF(AND(J75&gt;350,K75&gt;6), "True","False")</f>
        <v>False</v>
      </c>
      <c r="M75" s="4" t="s">
        <v>83</v>
      </c>
      <c r="N75" s="3">
        <v>3</v>
      </c>
      <c r="O75" s="4" t="str" cm="1">
        <f t="array" ref="O75">_xlfn.IFS(P75&lt;=2,"Poor",P75=3,"Average",P75&gt;=4,"Good")</f>
        <v>Good</v>
      </c>
      <c r="P75" s="3">
        <v>4</v>
      </c>
      <c r="Q75" s="2">
        <v>0</v>
      </c>
      <c r="R75" s="4" t="s">
        <v>85</v>
      </c>
      <c r="S75" s="4" t="s">
        <v>58</v>
      </c>
      <c r="T75" s="3">
        <v>2</v>
      </c>
      <c r="U75" s="4" t="str" cm="1">
        <f t="array" ref="U75">_xlfn.IFS(V75&lt;=4, "Dissatisfied",V75&lt;=7,"Neutral",V75&gt;=8,"Satisfied")</f>
        <v>Satisfied</v>
      </c>
      <c r="V75" s="3">
        <v>10</v>
      </c>
      <c r="W75" s="4" t="s">
        <v>57</v>
      </c>
      <c r="X75" s="4" t="s">
        <v>60</v>
      </c>
      <c r="Y75" s="4" t="s">
        <v>75</v>
      </c>
      <c r="Z75" s="1">
        <v>45321</v>
      </c>
      <c r="AA75" s="4" t="str" cm="1">
        <f t="array" ref="AA75">_xlfn.IFS(OR(AB75="December", AB75="February", AB75="January"), "Winter", OR(AB75="March", AB75="April", AB75="May"), "Spring", OR(AB75="June", AB75="July", AB75="August"), "Summer", TRUE, "Autumn")</f>
        <v>Winter</v>
      </c>
      <c r="AB75" s="7" t="str">
        <f>TEXT(Z75, "mmmm")</f>
        <v>January</v>
      </c>
      <c r="AC75" s="1" t="str">
        <f>TEXT(Z75, "dddd")</f>
        <v>Tuesday</v>
      </c>
      <c r="AD75" s="4" t="s">
        <v>76</v>
      </c>
      <c r="AE75" s="4" t="s">
        <v>76</v>
      </c>
      <c r="AF75" s="4" t="s">
        <v>102</v>
      </c>
      <c r="AG75" s="4" t="s">
        <v>88</v>
      </c>
      <c r="AH75" s="3">
        <v>4</v>
      </c>
    </row>
    <row r="76" spans="1:34">
      <c r="A76" s="4" t="s">
        <v>259</v>
      </c>
      <c r="B76" s="3">
        <v>42</v>
      </c>
      <c r="C76" s="9" t="str" cm="1">
        <f t="array" ref="C76">_xlfn.IFS(B76&gt;65,"+65",B76&gt;54,"55-65",B76&gt;44,"45-54",B76&gt;35,"36-44",B76&gt;25,"26-35",B76&gt;=18,"18-25")</f>
        <v>36-44</v>
      </c>
      <c r="D76" s="4" t="s">
        <v>66</v>
      </c>
      <c r="E76" s="4" t="s">
        <v>72</v>
      </c>
      <c r="F76" s="4" t="s">
        <v>52</v>
      </c>
      <c r="G76" s="4" t="s">
        <v>68</v>
      </c>
      <c r="H76" s="4" t="s">
        <v>260</v>
      </c>
      <c r="I76" s="4" t="s">
        <v>110</v>
      </c>
      <c r="J76" s="5">
        <v>333.41</v>
      </c>
      <c r="K76" s="3">
        <v>3</v>
      </c>
      <c r="L76" s="4" t="str">
        <f>IF(AND(J76&gt;350,K76&gt;6), "True","False")</f>
        <v>False</v>
      </c>
      <c r="M76" s="4" t="s">
        <v>56</v>
      </c>
      <c r="N76" s="3">
        <v>2</v>
      </c>
      <c r="O76" s="4" t="str" cm="1">
        <f t="array" ref="O76">_xlfn.IFS(P76&lt;=2,"Poor",P76=3,"Average",P76&gt;=4,"Good")</f>
        <v>Good</v>
      </c>
      <c r="P76" s="3">
        <v>5</v>
      </c>
      <c r="Q76" s="2">
        <v>1</v>
      </c>
      <c r="R76" s="4" t="s">
        <v>72</v>
      </c>
      <c r="S76" s="4" t="s">
        <v>73</v>
      </c>
      <c r="T76" s="3">
        <v>1</v>
      </c>
      <c r="U76" s="4" t="str" cm="1">
        <f t="array" ref="U76">_xlfn.IFS(V76&lt;=4, "Dissatisfied",V76&lt;=7,"Neutral",V76&gt;=8,"Satisfied")</f>
        <v>Neutral</v>
      </c>
      <c r="V76" s="3">
        <v>6</v>
      </c>
      <c r="W76" s="4" t="s">
        <v>57</v>
      </c>
      <c r="X76" s="4" t="s">
        <v>74</v>
      </c>
      <c r="Y76" s="4" t="s">
        <v>86</v>
      </c>
      <c r="Z76" s="1">
        <v>45322</v>
      </c>
      <c r="AA76" s="4" t="str" cm="1">
        <f t="array" ref="AA76">_xlfn.IFS(OR(AB76="December", AB76="February", AB76="January"), "Winter", OR(AB76="March", AB76="April", AB76="May"), "Spring", OR(AB76="June", AB76="July", AB76="August"), "Summer", TRUE, "Autumn")</f>
        <v>Winter</v>
      </c>
      <c r="AB76" s="7" t="str">
        <f>TEXT(Z76, "mmmm")</f>
        <v>January</v>
      </c>
      <c r="AC76" s="1" t="str">
        <f>TEXT(Z76, "dddd")</f>
        <v>Wednesday</v>
      </c>
      <c r="AD76" s="4" t="s">
        <v>76</v>
      </c>
      <c r="AE76" s="4" t="s">
        <v>76</v>
      </c>
      <c r="AF76" s="4" t="s">
        <v>87</v>
      </c>
      <c r="AG76" s="4" t="s">
        <v>64</v>
      </c>
      <c r="AH76" s="3">
        <v>3</v>
      </c>
    </row>
    <row r="77" spans="1:34">
      <c r="A77" s="4" t="s">
        <v>261</v>
      </c>
      <c r="B77" s="3">
        <v>45</v>
      </c>
      <c r="C77" s="9" t="str" cm="1">
        <f t="array" ref="C77">_xlfn.IFS(B77&gt;65,"+65",B77&gt;54,"55-65",B77&gt;44,"45-54",B77&gt;35,"36-44",B77&gt;25,"26-35",B77&gt;=18,"18-25")</f>
        <v>45-54</v>
      </c>
      <c r="D77" s="4" t="s">
        <v>160</v>
      </c>
      <c r="E77" s="4" t="s">
        <v>51</v>
      </c>
      <c r="F77" s="4" t="s">
        <v>52</v>
      </c>
      <c r="G77" s="4" t="s">
        <v>80</v>
      </c>
      <c r="H77" s="4" t="s">
        <v>262</v>
      </c>
      <c r="I77" s="4" t="s">
        <v>118</v>
      </c>
      <c r="J77" s="5">
        <v>440.62</v>
      </c>
      <c r="K77" s="3">
        <v>8</v>
      </c>
      <c r="L77" s="4" t="str">
        <f>IF(AND(J77&gt;350,K77&gt;6), "True","False")</f>
        <v>True</v>
      </c>
      <c r="M77" s="4" t="s">
        <v>83</v>
      </c>
      <c r="N77" s="3">
        <v>2</v>
      </c>
      <c r="O77" s="4" t="str" cm="1">
        <f t="array" ref="O77">_xlfn.IFS(P77&lt;=2,"Poor",P77=3,"Average",P77&gt;=4,"Good")</f>
        <v>Poor</v>
      </c>
      <c r="P77" s="3">
        <v>2</v>
      </c>
      <c r="Q77" s="2">
        <v>2</v>
      </c>
      <c r="R77" s="4" t="s">
        <v>57</v>
      </c>
      <c r="S77" s="4" t="s">
        <v>73</v>
      </c>
      <c r="T77" s="3">
        <v>1</v>
      </c>
      <c r="U77" s="4" t="str" cm="1">
        <f t="array" ref="U77">_xlfn.IFS(V77&lt;=4, "Dissatisfied",V77&lt;=7,"Neutral",V77&gt;=8,"Satisfied")</f>
        <v>Dissatisfied</v>
      </c>
      <c r="V77" s="3">
        <v>3</v>
      </c>
      <c r="W77" s="4" t="s">
        <v>85</v>
      </c>
      <c r="X77" s="4" t="s">
        <v>74</v>
      </c>
      <c r="Y77" s="4" t="s">
        <v>75</v>
      </c>
      <c r="Z77" s="1">
        <v>45323</v>
      </c>
      <c r="AA77" s="4" t="str" cm="1">
        <f t="array" ref="AA77">_xlfn.IFS(OR(AB77="December", AB77="February", AB77="January"), "Winter", OR(AB77="March", AB77="April", AB77="May"), "Spring", OR(AB77="June", AB77="July", AB77="August"), "Summer", TRUE, "Autumn")</f>
        <v>Winter</v>
      </c>
      <c r="AB77" s="7" t="str">
        <f>TEXT(Z77, "mmmm")</f>
        <v>February</v>
      </c>
      <c r="AC77" s="1" t="str">
        <f>TEXT(Z77, "dddd")</f>
        <v>Thursday</v>
      </c>
      <c r="AD77" s="4" t="s">
        <v>62</v>
      </c>
      <c r="AE77" s="4" t="s">
        <v>62</v>
      </c>
      <c r="AF77" s="4" t="s">
        <v>63</v>
      </c>
      <c r="AG77" s="4" t="s">
        <v>93</v>
      </c>
      <c r="AH77" s="3">
        <v>6</v>
      </c>
    </row>
    <row r="78" spans="1:34">
      <c r="A78" s="4" t="s">
        <v>263</v>
      </c>
      <c r="B78" s="3">
        <v>37</v>
      </c>
      <c r="C78" s="9" t="str" cm="1">
        <f t="array" ref="C78">_xlfn.IFS(B78&gt;65,"+65",B78&gt;54,"55-65",B78&gt;44,"45-54",B78&gt;35,"36-44",B78&gt;25,"26-35",B78&gt;=18,"18-25")</f>
        <v>36-44</v>
      </c>
      <c r="D78" s="4" t="s">
        <v>78</v>
      </c>
      <c r="E78" s="4" t="s">
        <v>51</v>
      </c>
      <c r="F78" s="4" t="s">
        <v>52</v>
      </c>
      <c r="G78" s="4" t="s">
        <v>53</v>
      </c>
      <c r="H78" s="4" t="s">
        <v>264</v>
      </c>
      <c r="I78" s="4" t="s">
        <v>110</v>
      </c>
      <c r="J78" s="5">
        <v>299.31</v>
      </c>
      <c r="K78" s="3">
        <v>7</v>
      </c>
      <c r="L78" s="4" t="str">
        <f>IF(AND(J78&gt;350,K78&gt;6), "True","False")</f>
        <v>False</v>
      </c>
      <c r="M78" s="4" t="s">
        <v>83</v>
      </c>
      <c r="N78" s="3">
        <v>2</v>
      </c>
      <c r="O78" s="4" t="str" cm="1">
        <f t="array" ref="O78">_xlfn.IFS(P78&lt;=2,"Poor",P78=3,"Average",P78&gt;=4,"Good")</f>
        <v>Good</v>
      </c>
      <c r="P78" s="3">
        <v>4</v>
      </c>
      <c r="Q78" s="2">
        <v>1</v>
      </c>
      <c r="R78" s="4" t="s">
        <v>85</v>
      </c>
      <c r="S78" s="4" t="s">
        <v>73</v>
      </c>
      <c r="T78" s="3">
        <v>2</v>
      </c>
      <c r="U78" s="4" t="str" cm="1">
        <f t="array" ref="U78">_xlfn.IFS(V78&lt;=4, "Dissatisfied",V78&lt;=7,"Neutral",V78&gt;=8,"Satisfied")</f>
        <v>Dissatisfied</v>
      </c>
      <c r="V78" s="3">
        <v>3</v>
      </c>
      <c r="W78" s="4" t="s">
        <v>57</v>
      </c>
      <c r="X78" s="4" t="s">
        <v>101</v>
      </c>
      <c r="Y78" s="4" t="s">
        <v>75</v>
      </c>
      <c r="Z78" s="1">
        <v>45323</v>
      </c>
      <c r="AA78" s="4" t="str" cm="1">
        <f t="array" ref="AA78">_xlfn.IFS(OR(AB78="December", AB78="February", AB78="January"), "Winter", OR(AB78="March", AB78="April", AB78="May"), "Spring", OR(AB78="June", AB78="July", AB78="August"), "Summer", TRUE, "Autumn")</f>
        <v>Winter</v>
      </c>
      <c r="AB78" s="7" t="str">
        <f>TEXT(Z78, "mmmm")</f>
        <v>February</v>
      </c>
      <c r="AC78" s="1" t="str">
        <f>TEXT(Z78, "dddd")</f>
        <v>Thursday</v>
      </c>
      <c r="AD78" s="4" t="s">
        <v>62</v>
      </c>
      <c r="AE78" s="4" t="s">
        <v>76</v>
      </c>
      <c r="AF78" s="4" t="s">
        <v>63</v>
      </c>
      <c r="AG78" s="4" t="s">
        <v>93</v>
      </c>
      <c r="AH78" s="3">
        <v>3</v>
      </c>
    </row>
    <row r="79" spans="1:34">
      <c r="A79" s="4" t="s">
        <v>265</v>
      </c>
      <c r="B79" s="3">
        <v>26</v>
      </c>
      <c r="C79" s="9" t="str" cm="1">
        <f t="array" ref="C79">_xlfn.IFS(B79&gt;65,"+65",B79&gt;54,"55-65",B79&gt;44,"45-54",B79&gt;35,"36-44",B79&gt;25,"26-35",B79&gt;=18,"18-25")</f>
        <v>26-35</v>
      </c>
      <c r="D79" s="4" t="s">
        <v>66</v>
      </c>
      <c r="E79" s="4" t="s">
        <v>72</v>
      </c>
      <c r="F79" s="4" t="s">
        <v>52</v>
      </c>
      <c r="G79" s="4" t="s">
        <v>68</v>
      </c>
      <c r="H79" s="4" t="s">
        <v>266</v>
      </c>
      <c r="I79" s="4" t="s">
        <v>133</v>
      </c>
      <c r="J79" s="5">
        <v>382.49</v>
      </c>
      <c r="K79" s="3">
        <v>6</v>
      </c>
      <c r="L79" s="4" t="str">
        <f>IF(AND(J79&gt;350,K79&gt;6), "True","False")</f>
        <v>False</v>
      </c>
      <c r="M79" s="4" t="s">
        <v>71</v>
      </c>
      <c r="N79" s="3">
        <v>4</v>
      </c>
      <c r="O79" s="4" t="str" cm="1">
        <f t="array" ref="O79">_xlfn.IFS(P79&lt;=2,"Poor",P79=3,"Average",P79&gt;=4,"Good")</f>
        <v>Poor</v>
      </c>
      <c r="P79" s="3">
        <v>2</v>
      </c>
      <c r="Q79" s="2">
        <v>2</v>
      </c>
      <c r="R79" s="4" t="s">
        <v>57</v>
      </c>
      <c r="S79" s="4" t="s">
        <v>73</v>
      </c>
      <c r="T79" s="3">
        <v>2</v>
      </c>
      <c r="U79" s="4" t="str" cm="1">
        <f t="array" ref="U79">_xlfn.IFS(V79&lt;=4, "Dissatisfied",V79&lt;=7,"Neutral",V79&gt;=8,"Satisfied")</f>
        <v>Dissatisfied</v>
      </c>
      <c r="V79" s="3">
        <v>3</v>
      </c>
      <c r="W79" s="4" t="s">
        <v>85</v>
      </c>
      <c r="X79" s="4" t="s">
        <v>74</v>
      </c>
      <c r="Y79" s="4" t="s">
        <v>75</v>
      </c>
      <c r="Z79" s="1">
        <v>45323</v>
      </c>
      <c r="AA79" s="4" t="str" cm="1">
        <f t="array" ref="AA79">_xlfn.IFS(OR(AB79="December", AB79="February", AB79="January"), "Winter", OR(AB79="March", AB79="April", AB79="May"), "Spring", OR(AB79="June", AB79="July", AB79="August"), "Summer", TRUE, "Autumn")</f>
        <v>Winter</v>
      </c>
      <c r="AB79" s="7" t="str">
        <f>TEXT(Z79, "mmmm")</f>
        <v>February</v>
      </c>
      <c r="AC79" s="1" t="str">
        <f>TEXT(Z79, "dddd")</f>
        <v>Thursday</v>
      </c>
      <c r="AD79" s="4" t="s">
        <v>62</v>
      </c>
      <c r="AE79" s="4" t="s">
        <v>76</v>
      </c>
      <c r="AF79" s="4" t="s">
        <v>92</v>
      </c>
      <c r="AG79" s="4" t="s">
        <v>88</v>
      </c>
      <c r="AH79" s="3">
        <v>1</v>
      </c>
    </row>
    <row r="80" spans="1:34">
      <c r="A80" s="4" t="s">
        <v>267</v>
      </c>
      <c r="B80" s="3">
        <v>18</v>
      </c>
      <c r="C80" s="9" t="str" cm="1">
        <f t="array" ref="C80">_xlfn.IFS(B80&gt;65,"+65",B80&gt;54,"55-65",B80&gt;44,"45-54",B80&gt;35,"36-44",B80&gt;25,"26-35",B80&gt;=18,"18-25")</f>
        <v>18-25</v>
      </c>
      <c r="D80" s="4" t="s">
        <v>78</v>
      </c>
      <c r="E80" s="4" t="s">
        <v>72</v>
      </c>
      <c r="F80" s="4" t="s">
        <v>95</v>
      </c>
      <c r="G80" s="4" t="s">
        <v>80</v>
      </c>
      <c r="H80" s="4" t="s">
        <v>268</v>
      </c>
      <c r="I80" s="4" t="s">
        <v>156</v>
      </c>
      <c r="J80" s="5">
        <v>257.37</v>
      </c>
      <c r="K80" s="3">
        <v>7</v>
      </c>
      <c r="L80" s="4" t="str">
        <f>IF(AND(J80&gt;350,K80&gt;6), "True","False")</f>
        <v>False</v>
      </c>
      <c r="M80" s="4" t="s">
        <v>56</v>
      </c>
      <c r="N80" s="3">
        <v>3</v>
      </c>
      <c r="O80" s="4" t="str" cm="1">
        <f t="array" ref="O80">_xlfn.IFS(P80&lt;=2,"Poor",P80=3,"Average",P80&gt;=4,"Good")</f>
        <v>Average</v>
      </c>
      <c r="P80" s="3">
        <v>3</v>
      </c>
      <c r="Q80" s="2">
        <v>0</v>
      </c>
      <c r="R80" s="4" t="s">
        <v>85</v>
      </c>
      <c r="S80" s="4" t="s">
        <v>73</v>
      </c>
      <c r="T80" s="3">
        <v>2</v>
      </c>
      <c r="U80" s="4" t="str" cm="1">
        <f t="array" ref="U80">_xlfn.IFS(V80&lt;=4, "Dissatisfied",V80&lt;=7,"Neutral",V80&gt;=8,"Satisfied")</f>
        <v>Neutral</v>
      </c>
      <c r="V80" s="3">
        <v>5</v>
      </c>
      <c r="W80" s="4" t="s">
        <v>85</v>
      </c>
      <c r="X80" s="4" t="s">
        <v>60</v>
      </c>
      <c r="Y80" s="4" t="s">
        <v>86</v>
      </c>
      <c r="Z80" s="1">
        <v>45323</v>
      </c>
      <c r="AA80" s="4" t="str" cm="1">
        <f t="array" ref="AA80">_xlfn.IFS(OR(AB80="December", AB80="February", AB80="January"), "Winter", OR(AB80="March", AB80="April", AB80="May"), "Spring", OR(AB80="June", AB80="July", AB80="August"), "Summer", TRUE, "Autumn")</f>
        <v>Winter</v>
      </c>
      <c r="AB80" s="7" t="str">
        <f>TEXT(Z80, "mmmm")</f>
        <v>February</v>
      </c>
      <c r="AC80" s="1" t="str">
        <f>TEXT(Z80, "dddd")</f>
        <v>Thursday</v>
      </c>
      <c r="AD80" s="4" t="s">
        <v>62</v>
      </c>
      <c r="AE80" s="4" t="s">
        <v>76</v>
      </c>
      <c r="AF80" s="4" t="s">
        <v>102</v>
      </c>
      <c r="AG80" s="4" t="s">
        <v>93</v>
      </c>
      <c r="AH80" s="3">
        <v>13</v>
      </c>
    </row>
    <row r="81" spans="1:34">
      <c r="A81" s="4" t="s">
        <v>269</v>
      </c>
      <c r="B81" s="3">
        <v>48</v>
      </c>
      <c r="C81" s="9" t="str" cm="1">
        <f t="array" ref="C81">_xlfn.IFS(B81&gt;65,"+65",B81&gt;54,"55-65",B81&gt;44,"45-54",B81&gt;35,"36-44",B81&gt;25,"26-35",B81&gt;=18,"18-25")</f>
        <v>45-54</v>
      </c>
      <c r="D81" s="4" t="s">
        <v>78</v>
      </c>
      <c r="E81" s="4" t="s">
        <v>72</v>
      </c>
      <c r="F81" s="4" t="s">
        <v>95</v>
      </c>
      <c r="G81" s="4" t="s">
        <v>80</v>
      </c>
      <c r="H81" s="4" t="s">
        <v>270</v>
      </c>
      <c r="I81" s="4" t="s">
        <v>151</v>
      </c>
      <c r="J81" s="5">
        <v>198.73</v>
      </c>
      <c r="K81" s="3">
        <v>10</v>
      </c>
      <c r="L81" s="4" t="str">
        <f>IF(AND(J81&gt;350,K81&gt;6), "True","False")</f>
        <v>False</v>
      </c>
      <c r="M81" s="4" t="s">
        <v>71</v>
      </c>
      <c r="N81" s="3">
        <v>1</v>
      </c>
      <c r="O81" s="4" t="str" cm="1">
        <f t="array" ref="O81">_xlfn.IFS(P81&lt;=2,"Poor",P81=3,"Average",P81&gt;=4,"Good")</f>
        <v>Good</v>
      </c>
      <c r="P81" s="3">
        <v>5</v>
      </c>
      <c r="Q81" s="2">
        <v>2</v>
      </c>
      <c r="R81" s="4" t="s">
        <v>72</v>
      </c>
      <c r="S81" s="4" t="s">
        <v>73</v>
      </c>
      <c r="T81" s="3">
        <v>1</v>
      </c>
      <c r="U81" s="4" t="str" cm="1">
        <f t="array" ref="U81">_xlfn.IFS(V81&lt;=4, "Dissatisfied",V81&lt;=7,"Neutral",V81&gt;=8,"Satisfied")</f>
        <v>Neutral</v>
      </c>
      <c r="V81" s="3">
        <v>5</v>
      </c>
      <c r="W81" s="4" t="s">
        <v>57</v>
      </c>
      <c r="X81" s="4" t="s">
        <v>101</v>
      </c>
      <c r="Y81" s="4" t="s">
        <v>111</v>
      </c>
      <c r="Z81" s="1">
        <v>45324</v>
      </c>
      <c r="AA81" s="4" t="str" cm="1">
        <f t="array" ref="AA81">_xlfn.IFS(OR(AB81="December", AB81="February", AB81="January"), "Winter", OR(AB81="March", AB81="April", AB81="May"), "Spring", OR(AB81="June", AB81="July", AB81="August"), "Summer", TRUE, "Autumn")</f>
        <v>Winter</v>
      </c>
      <c r="AB81" s="7" t="str">
        <f>TEXT(Z81, "mmmm")</f>
        <v>February</v>
      </c>
      <c r="AC81" s="1" t="str">
        <f>TEXT(Z81, "dddd")</f>
        <v>Friday</v>
      </c>
      <c r="AD81" s="4" t="s">
        <v>62</v>
      </c>
      <c r="AE81" s="4" t="s">
        <v>76</v>
      </c>
      <c r="AF81" s="4" t="s">
        <v>92</v>
      </c>
      <c r="AG81" s="4" t="s">
        <v>64</v>
      </c>
      <c r="AH81" s="3">
        <v>4</v>
      </c>
    </row>
    <row r="82" spans="1:34">
      <c r="A82" s="4" t="s">
        <v>271</v>
      </c>
      <c r="B82" s="3">
        <v>43</v>
      </c>
      <c r="C82" s="9" t="str" cm="1">
        <f t="array" ref="C82">_xlfn.IFS(B82&gt;65,"+65",B82&gt;54,"55-65",B82&gt;44,"45-54",B82&gt;35,"36-44",B82&gt;25,"26-35",B82&gt;=18,"18-25")</f>
        <v>36-44</v>
      </c>
      <c r="D82" s="4" t="s">
        <v>66</v>
      </c>
      <c r="E82" s="4" t="s">
        <v>72</v>
      </c>
      <c r="F82" s="4" t="s">
        <v>67</v>
      </c>
      <c r="G82" s="4" t="s">
        <v>53</v>
      </c>
      <c r="H82" s="4" t="s">
        <v>272</v>
      </c>
      <c r="I82" s="4" t="s">
        <v>146</v>
      </c>
      <c r="J82" s="5">
        <v>436.57</v>
      </c>
      <c r="K82" s="3">
        <v>4</v>
      </c>
      <c r="L82" s="4" t="str">
        <f>IF(AND(J82&gt;350,K82&gt;6), "True","False")</f>
        <v>False</v>
      </c>
      <c r="M82" s="4" t="s">
        <v>83</v>
      </c>
      <c r="N82" s="3">
        <v>5</v>
      </c>
      <c r="O82" s="4" t="str" cm="1">
        <f t="array" ref="O82">_xlfn.IFS(P82&lt;=2,"Poor",P82=3,"Average",P82&gt;=4,"Good")</f>
        <v>Average</v>
      </c>
      <c r="P82" s="3">
        <v>3</v>
      </c>
      <c r="Q82" s="2">
        <v>1</v>
      </c>
      <c r="R82" s="4" t="s">
        <v>72</v>
      </c>
      <c r="S82" s="4" t="s">
        <v>58</v>
      </c>
      <c r="T82" s="3">
        <v>2</v>
      </c>
      <c r="U82" s="4" t="str" cm="1">
        <f t="array" ref="U82">_xlfn.IFS(V82&lt;=4, "Dissatisfied",V82&lt;=7,"Neutral",V82&gt;=8,"Satisfied")</f>
        <v>Satisfied</v>
      </c>
      <c r="V82" s="3">
        <v>10</v>
      </c>
      <c r="W82" s="4" t="s">
        <v>59</v>
      </c>
      <c r="X82" s="4" t="s">
        <v>101</v>
      </c>
      <c r="Y82" s="4" t="s">
        <v>75</v>
      </c>
      <c r="Z82" s="1">
        <v>45324</v>
      </c>
      <c r="AA82" s="4" t="str" cm="1">
        <f t="array" ref="AA82">_xlfn.IFS(OR(AB82="December", AB82="February", AB82="January"), "Winter", OR(AB82="March", AB82="April", AB82="May"), "Spring", OR(AB82="June", AB82="July", AB82="August"), "Summer", TRUE, "Autumn")</f>
        <v>Winter</v>
      </c>
      <c r="AB82" s="7" t="str">
        <f>TEXT(Z82, "mmmm")</f>
        <v>February</v>
      </c>
      <c r="AC82" s="1" t="str">
        <f>TEXT(Z82, "dddd")</f>
        <v>Friday</v>
      </c>
      <c r="AD82" s="4" t="s">
        <v>76</v>
      </c>
      <c r="AE82" s="4" t="s">
        <v>76</v>
      </c>
      <c r="AF82" s="4" t="s">
        <v>102</v>
      </c>
      <c r="AG82" s="4" t="s">
        <v>64</v>
      </c>
      <c r="AH82" s="3">
        <v>3</v>
      </c>
    </row>
    <row r="83" spans="1:34">
      <c r="A83" s="4" t="s">
        <v>273</v>
      </c>
      <c r="B83" s="3">
        <v>39</v>
      </c>
      <c r="C83" s="9" t="str" cm="1">
        <f t="array" ref="C83">_xlfn.IFS(B83&gt;65,"+65",B83&gt;54,"55-65",B83&gt;44,"45-54",B83&gt;35,"36-44",B83&gt;25,"26-35",B83&gt;=18,"18-25")</f>
        <v>36-44</v>
      </c>
      <c r="D83" s="4" t="s">
        <v>78</v>
      </c>
      <c r="E83" s="4" t="s">
        <v>51</v>
      </c>
      <c r="F83" s="4" t="s">
        <v>52</v>
      </c>
      <c r="G83" s="4" t="s">
        <v>80</v>
      </c>
      <c r="H83" s="4" t="s">
        <v>274</v>
      </c>
      <c r="I83" s="4" t="s">
        <v>275</v>
      </c>
      <c r="J83" s="5">
        <v>190.06</v>
      </c>
      <c r="K83" s="3">
        <v>9</v>
      </c>
      <c r="L83" s="4" t="str">
        <f>IF(AND(J83&gt;350,K83&gt;6), "True","False")</f>
        <v>False</v>
      </c>
      <c r="M83" s="4" t="s">
        <v>71</v>
      </c>
      <c r="N83" s="3">
        <v>5</v>
      </c>
      <c r="O83" s="4" t="str" cm="1">
        <f t="array" ref="O83">_xlfn.IFS(P83&lt;=2,"Poor",P83=3,"Average",P83&gt;=4,"Good")</f>
        <v>Poor</v>
      </c>
      <c r="P83" s="3">
        <v>1</v>
      </c>
      <c r="Q83" s="2">
        <v>1</v>
      </c>
      <c r="R83" s="4" t="s">
        <v>57</v>
      </c>
      <c r="S83" s="4" t="s">
        <v>84</v>
      </c>
      <c r="T83" s="3">
        <v>1</v>
      </c>
      <c r="U83" s="4" t="str" cm="1">
        <f t="array" ref="U83">_xlfn.IFS(V83&lt;=4, "Dissatisfied",V83&lt;=7,"Neutral",V83&gt;=8,"Satisfied")</f>
        <v>Dissatisfied</v>
      </c>
      <c r="V83" s="3">
        <v>2</v>
      </c>
      <c r="W83" s="4" t="s">
        <v>59</v>
      </c>
      <c r="X83" s="4" t="s">
        <v>60</v>
      </c>
      <c r="Y83" s="4" t="s">
        <v>111</v>
      </c>
      <c r="Z83" s="1">
        <v>45325</v>
      </c>
      <c r="AA83" s="4" t="str" cm="1">
        <f t="array" ref="AA83">_xlfn.IFS(OR(AB83="December", AB83="February", AB83="January"), "Winter", OR(AB83="March", AB83="April", AB83="May"), "Spring", OR(AB83="June", AB83="July", AB83="August"), "Summer", TRUE, "Autumn")</f>
        <v>Winter</v>
      </c>
      <c r="AB83" s="7" t="str">
        <f>TEXT(Z83, "mmmm")</f>
        <v>February</v>
      </c>
      <c r="AC83" s="1" t="str">
        <f>TEXT(Z83, "dddd")</f>
        <v>Saturday</v>
      </c>
      <c r="AD83" s="4" t="s">
        <v>62</v>
      </c>
      <c r="AE83" s="4" t="s">
        <v>62</v>
      </c>
      <c r="AF83" s="4" t="s">
        <v>87</v>
      </c>
      <c r="AG83" s="4" t="s">
        <v>64</v>
      </c>
      <c r="AH83" s="3">
        <v>12</v>
      </c>
    </row>
    <row r="84" spans="1:34">
      <c r="A84" s="4" t="s">
        <v>276</v>
      </c>
      <c r="B84" s="3">
        <v>33</v>
      </c>
      <c r="C84" s="9" t="str" cm="1">
        <f t="array" ref="C84">_xlfn.IFS(B84&gt;65,"+65",B84&gt;54,"55-65",B84&gt;44,"45-54",B84&gt;35,"36-44",B84&gt;25,"26-35",B84&gt;=18,"18-25")</f>
        <v>26-35</v>
      </c>
      <c r="D84" s="4" t="s">
        <v>78</v>
      </c>
      <c r="E84" s="4" t="s">
        <v>51</v>
      </c>
      <c r="F84" s="4" t="s">
        <v>67</v>
      </c>
      <c r="G84" s="4" t="s">
        <v>68</v>
      </c>
      <c r="H84" s="4" t="s">
        <v>277</v>
      </c>
      <c r="I84" s="4" t="s">
        <v>156</v>
      </c>
      <c r="J84" s="5">
        <v>193.76</v>
      </c>
      <c r="K84" s="3">
        <v>10</v>
      </c>
      <c r="L84" s="4" t="str">
        <f>IF(AND(J84&gt;350,K84&gt;6), "True","False")</f>
        <v>False</v>
      </c>
      <c r="M84" s="4" t="s">
        <v>83</v>
      </c>
      <c r="N84" s="3">
        <v>4</v>
      </c>
      <c r="O84" s="4" t="str" cm="1">
        <f t="array" ref="O84">_xlfn.IFS(P84&lt;=2,"Poor",P84=3,"Average",P84&gt;=4,"Good")</f>
        <v>Average</v>
      </c>
      <c r="P84" s="3">
        <v>3</v>
      </c>
      <c r="Q84" s="2">
        <v>1</v>
      </c>
      <c r="R84" s="4" t="s">
        <v>85</v>
      </c>
      <c r="S84" s="4" t="s">
        <v>58</v>
      </c>
      <c r="T84" s="3">
        <v>0</v>
      </c>
      <c r="U84" s="4" t="str" cm="1">
        <f t="array" ref="U84">_xlfn.IFS(V84&lt;=4, "Dissatisfied",V84&lt;=7,"Neutral",V84&gt;=8,"Satisfied")</f>
        <v>Dissatisfied</v>
      </c>
      <c r="V84" s="3">
        <v>2</v>
      </c>
      <c r="W84" s="4" t="s">
        <v>59</v>
      </c>
      <c r="X84" s="4" t="s">
        <v>101</v>
      </c>
      <c r="Y84" s="4" t="s">
        <v>75</v>
      </c>
      <c r="Z84" s="1">
        <v>45325</v>
      </c>
      <c r="AA84" s="4" t="str" cm="1">
        <f t="array" ref="AA84">_xlfn.IFS(OR(AB84="December", AB84="February", AB84="January"), "Winter", OR(AB84="March", AB84="April", AB84="May"), "Spring", OR(AB84="June", AB84="July", AB84="August"), "Summer", TRUE, "Autumn")</f>
        <v>Winter</v>
      </c>
      <c r="AB84" s="7" t="str">
        <f>TEXT(Z84, "mmmm")</f>
        <v>February</v>
      </c>
      <c r="AC84" s="1" t="str">
        <f>TEXT(Z84, "dddd")</f>
        <v>Saturday</v>
      </c>
      <c r="AD84" s="4" t="s">
        <v>76</v>
      </c>
      <c r="AE84" s="4" t="s">
        <v>76</v>
      </c>
      <c r="AF84" s="4" t="s">
        <v>102</v>
      </c>
      <c r="AG84" s="4" t="s">
        <v>88</v>
      </c>
      <c r="AH84" s="3">
        <v>12</v>
      </c>
    </row>
    <row r="85" spans="1:34">
      <c r="A85" s="4" t="s">
        <v>278</v>
      </c>
      <c r="B85" s="3">
        <v>50</v>
      </c>
      <c r="C85" s="9" t="str" cm="1">
        <f t="array" ref="C85">_xlfn.IFS(B85&gt;65,"+65",B85&gt;54,"55-65",B85&gt;44,"45-54",B85&gt;35,"36-44",B85&gt;25,"26-35",B85&gt;=18,"18-25")</f>
        <v>45-54</v>
      </c>
      <c r="D85" s="4" t="s">
        <v>78</v>
      </c>
      <c r="E85" s="4" t="s">
        <v>51</v>
      </c>
      <c r="F85" s="4" t="s">
        <v>52</v>
      </c>
      <c r="G85" s="4" t="s">
        <v>80</v>
      </c>
      <c r="H85" s="4" t="s">
        <v>279</v>
      </c>
      <c r="I85" s="4" t="s">
        <v>100</v>
      </c>
      <c r="J85" s="5">
        <v>369.73</v>
      </c>
      <c r="K85" s="3">
        <v>2</v>
      </c>
      <c r="L85" s="4" t="str">
        <f>IF(AND(J85&gt;350,K85&gt;6), "True","False")</f>
        <v>False</v>
      </c>
      <c r="M85" s="4" t="s">
        <v>56</v>
      </c>
      <c r="N85" s="3">
        <v>1</v>
      </c>
      <c r="O85" s="4" t="str" cm="1">
        <f t="array" ref="O85">_xlfn.IFS(P85&lt;=2,"Poor",P85=3,"Average",P85&gt;=4,"Good")</f>
        <v>Poor</v>
      </c>
      <c r="P85" s="3">
        <v>2</v>
      </c>
      <c r="Q85" s="2">
        <v>2</v>
      </c>
      <c r="R85" s="4" t="s">
        <v>57</v>
      </c>
      <c r="S85" s="4" t="s">
        <v>58</v>
      </c>
      <c r="T85" s="3">
        <v>0</v>
      </c>
      <c r="U85" s="4" t="str" cm="1">
        <f t="array" ref="U85">_xlfn.IFS(V85&lt;=4, "Dissatisfied",V85&lt;=7,"Neutral",V85&gt;=8,"Satisfied")</f>
        <v>Dissatisfied</v>
      </c>
      <c r="V85" s="3">
        <v>3</v>
      </c>
      <c r="W85" s="4" t="s">
        <v>57</v>
      </c>
      <c r="X85" s="4" t="s">
        <v>74</v>
      </c>
      <c r="Y85" s="4" t="s">
        <v>75</v>
      </c>
      <c r="Z85" s="1">
        <v>45326</v>
      </c>
      <c r="AA85" s="4" t="str" cm="1">
        <f t="array" ref="AA85">_xlfn.IFS(OR(AB85="December", AB85="February", AB85="January"), "Winter", OR(AB85="March", AB85="April", AB85="May"), "Spring", OR(AB85="June", AB85="July", AB85="August"), "Summer", TRUE, "Autumn")</f>
        <v>Winter</v>
      </c>
      <c r="AB85" s="7" t="str">
        <f>TEXT(Z85, "mmmm")</f>
        <v>February</v>
      </c>
      <c r="AC85" s="1" t="str">
        <f>TEXT(Z85, "dddd")</f>
        <v>Sunday</v>
      </c>
      <c r="AD85" s="4" t="s">
        <v>62</v>
      </c>
      <c r="AE85" s="4" t="s">
        <v>62</v>
      </c>
      <c r="AF85" s="4" t="s">
        <v>102</v>
      </c>
      <c r="AG85" s="4" t="s">
        <v>88</v>
      </c>
      <c r="AH85" s="3">
        <v>12</v>
      </c>
    </row>
    <row r="86" spans="1:34">
      <c r="A86" s="4" t="s">
        <v>280</v>
      </c>
      <c r="B86" s="3">
        <v>28</v>
      </c>
      <c r="C86" s="9" t="str" cm="1">
        <f t="array" ref="C86">_xlfn.IFS(B86&gt;65,"+65",B86&gt;54,"55-65",B86&gt;44,"45-54",B86&gt;35,"36-44",B86&gt;25,"26-35",B86&gt;=18,"18-25")</f>
        <v>26-35</v>
      </c>
      <c r="D86" s="4" t="s">
        <v>78</v>
      </c>
      <c r="E86" s="4" t="s">
        <v>72</v>
      </c>
      <c r="F86" s="4" t="s">
        <v>95</v>
      </c>
      <c r="G86" s="4" t="s">
        <v>68</v>
      </c>
      <c r="H86" s="4" t="s">
        <v>281</v>
      </c>
      <c r="I86" s="4" t="s">
        <v>146</v>
      </c>
      <c r="J86" s="5">
        <v>464.76</v>
      </c>
      <c r="K86" s="3">
        <v>2</v>
      </c>
      <c r="L86" s="4" t="str">
        <f>IF(AND(J86&gt;350,K86&gt;6), "True","False")</f>
        <v>False</v>
      </c>
      <c r="M86" s="4" t="s">
        <v>83</v>
      </c>
      <c r="N86" s="3">
        <v>5</v>
      </c>
      <c r="O86" s="4" t="str" cm="1">
        <f t="array" ref="O86">_xlfn.IFS(P86&lt;=2,"Poor",P86=3,"Average",P86&gt;=4,"Good")</f>
        <v>Poor</v>
      </c>
      <c r="P86" s="3">
        <v>1</v>
      </c>
      <c r="Q86" s="2">
        <v>0</v>
      </c>
      <c r="R86" s="4" t="s">
        <v>59</v>
      </c>
      <c r="S86" s="4" t="s">
        <v>73</v>
      </c>
      <c r="T86" s="3">
        <v>0</v>
      </c>
      <c r="U86" s="4" t="str" cm="1">
        <f t="array" ref="U86">_xlfn.IFS(V86&lt;=4, "Dissatisfied",V86&lt;=7,"Neutral",V86&gt;=8,"Satisfied")</f>
        <v>Dissatisfied</v>
      </c>
      <c r="V86" s="3">
        <v>3</v>
      </c>
      <c r="W86" s="4" t="s">
        <v>59</v>
      </c>
      <c r="X86" s="4" t="s">
        <v>101</v>
      </c>
      <c r="Y86" s="4" t="s">
        <v>75</v>
      </c>
      <c r="Z86" s="1">
        <v>45326</v>
      </c>
      <c r="AA86" s="4" t="str" cm="1">
        <f t="array" ref="AA86">_xlfn.IFS(OR(AB86="December", AB86="February", AB86="January"), "Winter", OR(AB86="March", AB86="April", AB86="May"), "Spring", OR(AB86="June", AB86="July", AB86="August"), "Summer", TRUE, "Autumn")</f>
        <v>Winter</v>
      </c>
      <c r="AB86" s="7" t="str">
        <f>TEXT(Z86, "mmmm")</f>
        <v>February</v>
      </c>
      <c r="AC86" s="1" t="str">
        <f>TEXT(Z86, "dddd")</f>
        <v>Sunday</v>
      </c>
      <c r="AD86" s="4" t="s">
        <v>76</v>
      </c>
      <c r="AE86" s="4" t="s">
        <v>62</v>
      </c>
      <c r="AF86" s="4" t="s">
        <v>63</v>
      </c>
      <c r="AG86" s="4" t="s">
        <v>88</v>
      </c>
      <c r="AH86" s="3">
        <v>3</v>
      </c>
    </row>
    <row r="87" spans="1:34">
      <c r="A87" s="4" t="s">
        <v>282</v>
      </c>
      <c r="B87" s="3">
        <v>25</v>
      </c>
      <c r="C87" s="9" t="str" cm="1">
        <f t="array" ref="C87">_xlfn.IFS(B87&gt;65,"+65",B87&gt;54,"55-65",B87&gt;44,"45-54",B87&gt;35,"36-44",B87&gt;25,"26-35",B87&gt;=18,"18-25")</f>
        <v>18-25</v>
      </c>
      <c r="D87" s="4" t="s">
        <v>78</v>
      </c>
      <c r="E87" s="4" t="s">
        <v>72</v>
      </c>
      <c r="F87" s="4" t="s">
        <v>52</v>
      </c>
      <c r="G87" s="4" t="s">
        <v>80</v>
      </c>
      <c r="H87" s="4" t="s">
        <v>283</v>
      </c>
      <c r="I87" s="4" t="s">
        <v>275</v>
      </c>
      <c r="J87" s="5">
        <v>441.73</v>
      </c>
      <c r="K87" s="3">
        <v>12</v>
      </c>
      <c r="L87" s="4" t="str">
        <f>IF(AND(J87&gt;350,K87&gt;6), "True","False")</f>
        <v>True</v>
      </c>
      <c r="M87" s="4" t="s">
        <v>56</v>
      </c>
      <c r="N87" s="3">
        <v>1</v>
      </c>
      <c r="O87" s="4" t="str" cm="1">
        <f t="array" ref="O87">_xlfn.IFS(P87&lt;=2,"Poor",P87=3,"Average",P87&gt;=4,"Good")</f>
        <v>Good</v>
      </c>
      <c r="P87" s="3">
        <v>4</v>
      </c>
      <c r="Q87" s="2">
        <v>2</v>
      </c>
      <c r="R87" s="4" t="s">
        <v>59</v>
      </c>
      <c r="S87" s="4" t="s">
        <v>84</v>
      </c>
      <c r="T87" s="3">
        <v>0</v>
      </c>
      <c r="U87" s="4" t="str" cm="1">
        <f t="array" ref="U87">_xlfn.IFS(V87&lt;=4, "Dissatisfied",V87&lt;=7,"Neutral",V87&gt;=8,"Satisfied")</f>
        <v>Satisfied</v>
      </c>
      <c r="V87" s="3">
        <v>8</v>
      </c>
      <c r="W87" s="4" t="s">
        <v>85</v>
      </c>
      <c r="X87" s="4" t="s">
        <v>60</v>
      </c>
      <c r="Y87" s="4" t="s">
        <v>119</v>
      </c>
      <c r="Z87" s="1">
        <v>45326</v>
      </c>
      <c r="AA87" s="4" t="str" cm="1">
        <f t="array" ref="AA87">_xlfn.IFS(OR(AB87="December", AB87="February", AB87="January"), "Winter", OR(AB87="March", AB87="April", AB87="May"), "Spring", OR(AB87="June", AB87="July", AB87="August"), "Summer", TRUE, "Autumn")</f>
        <v>Winter</v>
      </c>
      <c r="AB87" s="7" t="str">
        <f>TEXT(Z87, "mmmm")</f>
        <v>February</v>
      </c>
      <c r="AC87" s="1" t="str">
        <f>TEXT(Z87, "dddd")</f>
        <v>Sunday</v>
      </c>
      <c r="AD87" s="4" t="s">
        <v>62</v>
      </c>
      <c r="AE87" s="4" t="s">
        <v>76</v>
      </c>
      <c r="AF87" s="4" t="s">
        <v>87</v>
      </c>
      <c r="AG87" s="4" t="s">
        <v>64</v>
      </c>
      <c r="AH87" s="3">
        <v>8</v>
      </c>
    </row>
    <row r="88" spans="1:34">
      <c r="A88" s="4" t="s">
        <v>284</v>
      </c>
      <c r="B88" s="3">
        <v>22</v>
      </c>
      <c r="C88" s="9" t="str" cm="1">
        <f t="array" ref="C88">_xlfn.IFS(B88&gt;65,"+65",B88&gt;54,"55-65",B88&gt;44,"45-54",B88&gt;35,"36-44",B88&gt;25,"26-35",B88&gt;=18,"18-25")</f>
        <v>18-25</v>
      </c>
      <c r="D88" s="4" t="s">
        <v>78</v>
      </c>
      <c r="E88" s="4" t="s">
        <v>51</v>
      </c>
      <c r="F88" s="4" t="s">
        <v>67</v>
      </c>
      <c r="G88" s="4" t="s">
        <v>68</v>
      </c>
      <c r="H88" s="4" t="s">
        <v>285</v>
      </c>
      <c r="I88" s="4" t="s">
        <v>146</v>
      </c>
      <c r="J88" s="5">
        <v>432.84</v>
      </c>
      <c r="K88" s="3">
        <v>7</v>
      </c>
      <c r="L88" s="4" t="str">
        <f>IF(AND(J88&gt;350,K88&gt;6), "True","False")</f>
        <v>True</v>
      </c>
      <c r="M88" s="4" t="s">
        <v>83</v>
      </c>
      <c r="N88" s="3">
        <v>4</v>
      </c>
      <c r="O88" s="4" t="str" cm="1">
        <f t="array" ref="O88">_xlfn.IFS(P88&lt;=2,"Poor",P88=3,"Average",P88&gt;=4,"Good")</f>
        <v>Good</v>
      </c>
      <c r="P88" s="3">
        <v>5</v>
      </c>
      <c r="Q88" s="2">
        <v>2</v>
      </c>
      <c r="R88" s="4" t="s">
        <v>72</v>
      </c>
      <c r="S88" s="4" t="s">
        <v>73</v>
      </c>
      <c r="T88" s="3">
        <v>0</v>
      </c>
      <c r="U88" s="4" t="str" cm="1">
        <f t="array" ref="U88">_xlfn.IFS(V88&lt;=4, "Dissatisfied",V88&lt;=7,"Neutral",V88&gt;=8,"Satisfied")</f>
        <v>Dissatisfied</v>
      </c>
      <c r="V88" s="3">
        <v>1</v>
      </c>
      <c r="W88" s="4" t="s">
        <v>72</v>
      </c>
      <c r="X88" s="4" t="s">
        <v>74</v>
      </c>
      <c r="Y88" s="4" t="s">
        <v>75</v>
      </c>
      <c r="Z88" s="1">
        <v>45327</v>
      </c>
      <c r="AA88" s="4" t="str" cm="1">
        <f t="array" ref="AA88">_xlfn.IFS(OR(AB88="December", AB88="February", AB88="January"), "Winter", OR(AB88="March", AB88="April", AB88="May"), "Spring", OR(AB88="June", AB88="July", AB88="August"), "Summer", TRUE, "Autumn")</f>
        <v>Winter</v>
      </c>
      <c r="AB88" s="7" t="str">
        <f>TEXT(Z88, "mmmm")</f>
        <v>February</v>
      </c>
      <c r="AC88" s="1" t="str">
        <f>TEXT(Z88, "dddd")</f>
        <v>Monday</v>
      </c>
      <c r="AD88" s="4" t="s">
        <v>76</v>
      </c>
      <c r="AE88" s="4" t="s">
        <v>76</v>
      </c>
      <c r="AF88" s="4" t="s">
        <v>102</v>
      </c>
      <c r="AG88" s="4" t="s">
        <v>88</v>
      </c>
      <c r="AH88" s="3">
        <v>4</v>
      </c>
    </row>
    <row r="89" spans="1:34">
      <c r="A89" s="4" t="s">
        <v>286</v>
      </c>
      <c r="B89" s="3">
        <v>41</v>
      </c>
      <c r="C89" s="9" t="str" cm="1">
        <f t="array" ref="C89">_xlfn.IFS(B89&gt;65,"+65",B89&gt;54,"55-65",B89&gt;44,"45-54",B89&gt;35,"36-44",B89&gt;25,"26-35",B89&gt;=18,"18-25")</f>
        <v>36-44</v>
      </c>
      <c r="D89" s="4" t="s">
        <v>232</v>
      </c>
      <c r="E89" s="4" t="s">
        <v>72</v>
      </c>
      <c r="F89" s="4" t="s">
        <v>52</v>
      </c>
      <c r="G89" s="4" t="s">
        <v>53</v>
      </c>
      <c r="H89" s="4" t="s">
        <v>287</v>
      </c>
      <c r="I89" s="4" t="s">
        <v>169</v>
      </c>
      <c r="J89" s="5">
        <v>52.79</v>
      </c>
      <c r="K89" s="3">
        <v>4</v>
      </c>
      <c r="L89" s="4" t="str">
        <f>IF(AND(J89&gt;350,K89&gt;6), "True","False")</f>
        <v>False</v>
      </c>
      <c r="M89" s="4" t="s">
        <v>56</v>
      </c>
      <c r="N89" s="3">
        <v>2</v>
      </c>
      <c r="O89" s="4" t="str" cm="1">
        <f t="array" ref="O89">_xlfn.IFS(P89&lt;=2,"Poor",P89=3,"Average",P89&gt;=4,"Good")</f>
        <v>Poor</v>
      </c>
      <c r="P89" s="3">
        <v>2</v>
      </c>
      <c r="Q89" s="2">
        <v>0</v>
      </c>
      <c r="R89" s="4" t="s">
        <v>59</v>
      </c>
      <c r="S89" s="4" t="s">
        <v>58</v>
      </c>
      <c r="T89" s="3">
        <v>1</v>
      </c>
      <c r="U89" s="4" t="str" cm="1">
        <f t="array" ref="U89">_xlfn.IFS(V89&lt;=4, "Dissatisfied",V89&lt;=7,"Neutral",V89&gt;=8,"Satisfied")</f>
        <v>Neutral</v>
      </c>
      <c r="V89" s="3">
        <v>7</v>
      </c>
      <c r="W89" s="4" t="s">
        <v>57</v>
      </c>
      <c r="X89" s="4" t="s">
        <v>74</v>
      </c>
      <c r="Y89" s="4" t="s">
        <v>75</v>
      </c>
      <c r="Z89" s="1">
        <v>45328</v>
      </c>
      <c r="AA89" s="4" t="str" cm="1">
        <f t="array" ref="AA89">_xlfn.IFS(OR(AB89="December", AB89="February", AB89="January"), "Winter", OR(AB89="March", AB89="April", AB89="May"), "Spring", OR(AB89="June", AB89="July", AB89="August"), "Summer", TRUE, "Autumn")</f>
        <v>Winter</v>
      </c>
      <c r="AB89" s="7" t="str">
        <f>TEXT(Z89, "mmmm")</f>
        <v>February</v>
      </c>
      <c r="AC89" s="1" t="str">
        <f>TEXT(Z89, "dddd")</f>
        <v>Tuesday</v>
      </c>
      <c r="AD89" s="4" t="s">
        <v>62</v>
      </c>
      <c r="AE89" s="4" t="s">
        <v>62</v>
      </c>
      <c r="AF89" s="4" t="s">
        <v>92</v>
      </c>
      <c r="AG89" s="4" t="s">
        <v>93</v>
      </c>
      <c r="AH89" s="3">
        <v>4</v>
      </c>
    </row>
    <row r="90" spans="1:34">
      <c r="A90" s="4" t="s">
        <v>288</v>
      </c>
      <c r="B90" s="3">
        <v>19</v>
      </c>
      <c r="C90" s="9" t="str" cm="1">
        <f t="array" ref="C90">_xlfn.IFS(B90&gt;65,"+65",B90&gt;54,"55-65",B90&gt;44,"45-54",B90&gt;35,"36-44",B90&gt;25,"26-35",B90&gt;=18,"18-25")</f>
        <v>18-25</v>
      </c>
      <c r="D90" s="4" t="s">
        <v>78</v>
      </c>
      <c r="E90" s="4" t="s">
        <v>72</v>
      </c>
      <c r="F90" s="4" t="s">
        <v>79</v>
      </c>
      <c r="G90" s="4" t="s">
        <v>53</v>
      </c>
      <c r="H90" s="4" t="s">
        <v>289</v>
      </c>
      <c r="I90" s="4" t="s">
        <v>151</v>
      </c>
      <c r="J90" s="5">
        <v>358.72</v>
      </c>
      <c r="K90" s="3">
        <v>5</v>
      </c>
      <c r="L90" s="4" t="str">
        <f>IF(AND(J90&gt;350,K90&gt;6), "True","False")</f>
        <v>False</v>
      </c>
      <c r="M90" s="4" t="s">
        <v>71</v>
      </c>
      <c r="N90" s="3">
        <v>3</v>
      </c>
      <c r="O90" s="4" t="str" cm="1">
        <f t="array" ref="O90">_xlfn.IFS(P90&lt;=2,"Poor",P90=3,"Average",P90&gt;=4,"Good")</f>
        <v>Good</v>
      </c>
      <c r="P90" s="3">
        <v>5</v>
      </c>
      <c r="Q90" s="2">
        <v>1</v>
      </c>
      <c r="R90" s="4" t="s">
        <v>59</v>
      </c>
      <c r="S90" s="4" t="s">
        <v>73</v>
      </c>
      <c r="T90" s="3">
        <v>0</v>
      </c>
      <c r="U90" s="4" t="str" cm="1">
        <f t="array" ref="U90">_xlfn.IFS(V90&lt;=4, "Dissatisfied",V90&lt;=7,"Neutral",V90&gt;=8,"Satisfied")</f>
        <v>Satisfied</v>
      </c>
      <c r="V90" s="3">
        <v>8</v>
      </c>
      <c r="W90" s="4" t="s">
        <v>59</v>
      </c>
      <c r="X90" s="4" t="s">
        <v>74</v>
      </c>
      <c r="Y90" s="4" t="s">
        <v>119</v>
      </c>
      <c r="Z90" s="1">
        <v>45328</v>
      </c>
      <c r="AA90" s="4" t="str" cm="1">
        <f t="array" ref="AA90">_xlfn.IFS(OR(AB90="December", AB90="February", AB90="January"), "Winter", OR(AB90="March", AB90="April", AB90="May"), "Spring", OR(AB90="June", AB90="July", AB90="August"), "Summer", TRUE, "Autumn")</f>
        <v>Winter</v>
      </c>
      <c r="AB90" s="7" t="str">
        <f>TEXT(Z90, "mmmm")</f>
        <v>February</v>
      </c>
      <c r="AC90" s="1" t="str">
        <f>TEXT(Z90, "dddd")</f>
        <v>Tuesday</v>
      </c>
      <c r="AD90" s="4" t="s">
        <v>62</v>
      </c>
      <c r="AE90" s="4" t="s">
        <v>62</v>
      </c>
      <c r="AF90" s="4" t="s">
        <v>92</v>
      </c>
      <c r="AG90" s="4" t="s">
        <v>64</v>
      </c>
      <c r="AH90" s="3">
        <v>12</v>
      </c>
    </row>
    <row r="91" spans="1:34">
      <c r="A91" s="4" t="s">
        <v>290</v>
      </c>
      <c r="B91" s="3">
        <v>40</v>
      </c>
      <c r="C91" s="9" t="str" cm="1">
        <f t="array" ref="C91">_xlfn.IFS(B91&gt;65,"+65",B91&gt;54,"55-65",B91&gt;44,"45-54",B91&gt;35,"36-44",B91&gt;25,"26-35",B91&gt;=18,"18-25")</f>
        <v>36-44</v>
      </c>
      <c r="D91" s="4" t="s">
        <v>78</v>
      </c>
      <c r="E91" s="4" t="s">
        <v>72</v>
      </c>
      <c r="F91" s="4" t="s">
        <v>95</v>
      </c>
      <c r="G91" s="4" t="s">
        <v>53</v>
      </c>
      <c r="H91" s="4" t="s">
        <v>291</v>
      </c>
      <c r="I91" s="4" t="s">
        <v>55</v>
      </c>
      <c r="J91" s="5">
        <v>247.3</v>
      </c>
      <c r="K91" s="3">
        <v>2</v>
      </c>
      <c r="L91" s="4" t="str">
        <f>IF(AND(J91&gt;350,K91&gt;6), "True","False")</f>
        <v>False</v>
      </c>
      <c r="M91" s="4" t="s">
        <v>71</v>
      </c>
      <c r="N91" s="3">
        <v>4</v>
      </c>
      <c r="O91" s="4" t="str" cm="1">
        <f t="array" ref="O91">_xlfn.IFS(P91&lt;=2,"Poor",P91=3,"Average",P91&gt;=4,"Good")</f>
        <v>Good</v>
      </c>
      <c r="P91" s="3">
        <v>4</v>
      </c>
      <c r="Q91" s="2">
        <v>2</v>
      </c>
      <c r="R91" s="4" t="s">
        <v>59</v>
      </c>
      <c r="S91" s="4" t="s">
        <v>73</v>
      </c>
      <c r="T91" s="3">
        <v>0</v>
      </c>
      <c r="U91" s="4" t="str" cm="1">
        <f t="array" ref="U91">_xlfn.IFS(V91&lt;=4, "Dissatisfied",V91&lt;=7,"Neutral",V91&gt;=8,"Satisfied")</f>
        <v>Dissatisfied</v>
      </c>
      <c r="V91" s="3">
        <v>1</v>
      </c>
      <c r="W91" s="4" t="s">
        <v>85</v>
      </c>
      <c r="X91" s="4" t="s">
        <v>101</v>
      </c>
      <c r="Y91" s="4" t="s">
        <v>119</v>
      </c>
      <c r="Z91" s="1">
        <v>45330</v>
      </c>
      <c r="AA91" s="4" t="str" cm="1">
        <f t="array" ref="AA91">_xlfn.IFS(OR(AB91="December", AB91="February", AB91="January"), "Winter", OR(AB91="March", AB91="April", AB91="May"), "Spring", OR(AB91="June", AB91="July", AB91="August"), "Summer", TRUE, "Autumn")</f>
        <v>Winter</v>
      </c>
      <c r="AB91" s="7" t="str">
        <f>TEXT(Z91, "mmmm")</f>
        <v>February</v>
      </c>
      <c r="AC91" s="1" t="str">
        <f>TEXT(Z91, "dddd")</f>
        <v>Thursday</v>
      </c>
      <c r="AD91" s="4" t="s">
        <v>62</v>
      </c>
      <c r="AE91" s="4" t="s">
        <v>62</v>
      </c>
      <c r="AF91" s="4" t="s">
        <v>102</v>
      </c>
      <c r="AG91" s="4" t="s">
        <v>88</v>
      </c>
      <c r="AH91" s="3">
        <v>11</v>
      </c>
    </row>
    <row r="92" spans="1:34">
      <c r="A92" s="4" t="s">
        <v>292</v>
      </c>
      <c r="B92" s="3">
        <v>49</v>
      </c>
      <c r="C92" s="9" t="str" cm="1">
        <f t="array" ref="C92">_xlfn.IFS(B92&gt;65,"+65",B92&gt;54,"55-65",B92&gt;44,"45-54",B92&gt;35,"36-44",B92&gt;25,"26-35",B92&gt;=18,"18-25")</f>
        <v>45-54</v>
      </c>
      <c r="D92" s="4" t="s">
        <v>66</v>
      </c>
      <c r="E92" s="4" t="s">
        <v>51</v>
      </c>
      <c r="F92" s="4" t="s">
        <v>79</v>
      </c>
      <c r="G92" s="4" t="s">
        <v>53</v>
      </c>
      <c r="H92" s="4" t="s">
        <v>293</v>
      </c>
      <c r="I92" s="4" t="s">
        <v>122</v>
      </c>
      <c r="J92" s="5">
        <v>214.59</v>
      </c>
      <c r="K92" s="3">
        <v>6</v>
      </c>
      <c r="L92" s="4" t="str">
        <f>IF(AND(J92&gt;350,K92&gt;6), "True","False")</f>
        <v>False</v>
      </c>
      <c r="M92" s="4" t="s">
        <v>56</v>
      </c>
      <c r="N92" s="3">
        <v>1</v>
      </c>
      <c r="O92" s="4" t="str" cm="1">
        <f t="array" ref="O92">_xlfn.IFS(P92&lt;=2,"Poor",P92=3,"Average",P92&gt;=4,"Good")</f>
        <v>Poor</v>
      </c>
      <c r="P92" s="3">
        <v>1</v>
      </c>
      <c r="Q92" s="2">
        <v>0</v>
      </c>
      <c r="R92" s="4" t="s">
        <v>57</v>
      </c>
      <c r="S92" s="4" t="s">
        <v>84</v>
      </c>
      <c r="T92" s="3">
        <v>1</v>
      </c>
      <c r="U92" s="4" t="str" cm="1">
        <f t="array" ref="U92">_xlfn.IFS(V92&lt;=4, "Dissatisfied",V92&lt;=7,"Neutral",V92&gt;=8,"Satisfied")</f>
        <v>Satisfied</v>
      </c>
      <c r="V92" s="3">
        <v>8</v>
      </c>
      <c r="W92" s="4" t="s">
        <v>59</v>
      </c>
      <c r="X92" s="4" t="s">
        <v>74</v>
      </c>
      <c r="Y92" s="4" t="s">
        <v>111</v>
      </c>
      <c r="Z92" s="1">
        <v>45331</v>
      </c>
      <c r="AA92" s="4" t="str" cm="1">
        <f t="array" ref="AA92">_xlfn.IFS(OR(AB92="December", AB92="February", AB92="January"), "Winter", OR(AB92="March", AB92="April", AB92="May"), "Spring", OR(AB92="June", AB92="July", AB92="August"), "Summer", TRUE, "Autumn")</f>
        <v>Winter</v>
      </c>
      <c r="AB92" s="7" t="str">
        <f>TEXT(Z92, "mmmm")</f>
        <v>February</v>
      </c>
      <c r="AC92" s="1" t="str">
        <f>TEXT(Z92, "dddd")</f>
        <v>Friday</v>
      </c>
      <c r="AD92" s="4" t="s">
        <v>62</v>
      </c>
      <c r="AE92" s="4" t="s">
        <v>76</v>
      </c>
      <c r="AF92" s="4" t="s">
        <v>102</v>
      </c>
      <c r="AG92" s="4" t="s">
        <v>64</v>
      </c>
      <c r="AH92" s="3">
        <v>9</v>
      </c>
    </row>
    <row r="93" spans="1:34">
      <c r="A93" s="4" t="s">
        <v>294</v>
      </c>
      <c r="B93" s="3">
        <v>43</v>
      </c>
      <c r="C93" s="9" t="str" cm="1">
        <f t="array" ref="C93">_xlfn.IFS(B93&gt;65,"+65",B93&gt;54,"55-65",B93&gt;44,"45-54",B93&gt;35,"36-44",B93&gt;25,"26-35",B93&gt;=18,"18-25")</f>
        <v>36-44</v>
      </c>
      <c r="D93" s="4" t="s">
        <v>66</v>
      </c>
      <c r="E93" s="4" t="s">
        <v>72</v>
      </c>
      <c r="F93" s="4" t="s">
        <v>79</v>
      </c>
      <c r="G93" s="4" t="s">
        <v>53</v>
      </c>
      <c r="H93" s="4" t="s">
        <v>295</v>
      </c>
      <c r="I93" s="4" t="s">
        <v>194</v>
      </c>
      <c r="J93" s="5">
        <v>332.14</v>
      </c>
      <c r="K93" s="3">
        <v>10</v>
      </c>
      <c r="L93" s="4" t="str">
        <f>IF(AND(J93&gt;350,K93&gt;6), "True","False")</f>
        <v>False</v>
      </c>
      <c r="M93" s="4" t="s">
        <v>56</v>
      </c>
      <c r="N93" s="3">
        <v>4</v>
      </c>
      <c r="O93" s="4" t="str" cm="1">
        <f t="array" ref="O93">_xlfn.IFS(P93&lt;=2,"Poor",P93=3,"Average",P93&gt;=4,"Good")</f>
        <v>Good</v>
      </c>
      <c r="P93" s="3">
        <v>4</v>
      </c>
      <c r="Q93" s="2">
        <v>0</v>
      </c>
      <c r="R93" s="4" t="s">
        <v>59</v>
      </c>
      <c r="S93" s="4" t="s">
        <v>84</v>
      </c>
      <c r="T93" s="3">
        <v>1</v>
      </c>
      <c r="U93" s="4" t="str" cm="1">
        <f t="array" ref="U93">_xlfn.IFS(V93&lt;=4, "Dissatisfied",V93&lt;=7,"Neutral",V93&gt;=8,"Satisfied")</f>
        <v>Dissatisfied</v>
      </c>
      <c r="V93" s="3">
        <v>2</v>
      </c>
      <c r="W93" s="4" t="s">
        <v>57</v>
      </c>
      <c r="X93" s="4" t="s">
        <v>101</v>
      </c>
      <c r="Y93" s="4" t="s">
        <v>86</v>
      </c>
      <c r="Z93" s="1">
        <v>45331</v>
      </c>
      <c r="AA93" s="4" t="str" cm="1">
        <f t="array" ref="AA93">_xlfn.IFS(OR(AB93="December", AB93="February", AB93="January"), "Winter", OR(AB93="March", AB93="April", AB93="May"), "Spring", OR(AB93="June", AB93="July", AB93="August"), "Summer", TRUE, "Autumn")</f>
        <v>Winter</v>
      </c>
      <c r="AB93" s="7" t="str">
        <f>TEXT(Z93, "mmmm")</f>
        <v>February</v>
      </c>
      <c r="AC93" s="1" t="str">
        <f>TEXT(Z93, "dddd")</f>
        <v>Friday</v>
      </c>
      <c r="AD93" s="4" t="s">
        <v>62</v>
      </c>
      <c r="AE93" s="4" t="s">
        <v>62</v>
      </c>
      <c r="AF93" s="4" t="s">
        <v>87</v>
      </c>
      <c r="AG93" s="4" t="s">
        <v>88</v>
      </c>
      <c r="AH93" s="3">
        <v>13</v>
      </c>
    </row>
    <row r="94" spans="1:34">
      <c r="A94" s="4" t="s">
        <v>296</v>
      </c>
      <c r="B94" s="3">
        <v>34</v>
      </c>
      <c r="C94" s="9" t="str" cm="1">
        <f t="array" ref="C94">_xlfn.IFS(B94&gt;65,"+65",B94&gt;54,"55-65",B94&gt;44,"45-54",B94&gt;35,"36-44",B94&gt;25,"26-35",B94&gt;=18,"18-25")</f>
        <v>26-35</v>
      </c>
      <c r="D94" s="4" t="s">
        <v>78</v>
      </c>
      <c r="E94" s="4" t="s">
        <v>51</v>
      </c>
      <c r="F94" s="4" t="s">
        <v>79</v>
      </c>
      <c r="G94" s="4" t="s">
        <v>80</v>
      </c>
      <c r="H94" s="4" t="s">
        <v>297</v>
      </c>
      <c r="I94" s="4" t="s">
        <v>97</v>
      </c>
      <c r="J94" s="5">
        <v>351.36</v>
      </c>
      <c r="K94" s="3">
        <v>2</v>
      </c>
      <c r="L94" s="4" t="str">
        <f>IF(AND(J94&gt;350,K94&gt;6), "True","False")</f>
        <v>False</v>
      </c>
      <c r="M94" s="4" t="s">
        <v>71</v>
      </c>
      <c r="N94" s="3">
        <v>5</v>
      </c>
      <c r="O94" s="4" t="str" cm="1">
        <f t="array" ref="O94">_xlfn.IFS(P94&lt;=2,"Poor",P94=3,"Average",P94&gt;=4,"Good")</f>
        <v>Average</v>
      </c>
      <c r="P94" s="3">
        <v>3</v>
      </c>
      <c r="Q94" s="2">
        <v>2</v>
      </c>
      <c r="R94" s="4" t="s">
        <v>72</v>
      </c>
      <c r="S94" s="4" t="s">
        <v>73</v>
      </c>
      <c r="T94" s="3">
        <v>2</v>
      </c>
      <c r="U94" s="4" t="str" cm="1">
        <f t="array" ref="U94">_xlfn.IFS(V94&lt;=4, "Dissatisfied",V94&lt;=7,"Neutral",V94&gt;=8,"Satisfied")</f>
        <v>Neutral</v>
      </c>
      <c r="V94" s="3">
        <v>6</v>
      </c>
      <c r="W94" s="4" t="s">
        <v>57</v>
      </c>
      <c r="X94" s="4" t="s">
        <v>101</v>
      </c>
      <c r="Y94" s="4" t="s">
        <v>111</v>
      </c>
      <c r="Z94" s="1">
        <v>45331</v>
      </c>
      <c r="AA94" s="4" t="str" cm="1">
        <f t="array" ref="AA94">_xlfn.IFS(OR(AB94="December", AB94="February", AB94="January"), "Winter", OR(AB94="March", AB94="April", AB94="May"), "Spring", OR(AB94="June", AB94="July", AB94="August"), "Summer", TRUE, "Autumn")</f>
        <v>Winter</v>
      </c>
      <c r="AB94" s="7" t="str">
        <f>TEXT(Z94, "mmmm")</f>
        <v>February</v>
      </c>
      <c r="AC94" s="1" t="str">
        <f>TEXT(Z94, "dddd")</f>
        <v>Friday</v>
      </c>
      <c r="AD94" s="4" t="s">
        <v>76</v>
      </c>
      <c r="AE94" s="4" t="s">
        <v>62</v>
      </c>
      <c r="AF94" s="4" t="s">
        <v>63</v>
      </c>
      <c r="AG94" s="4" t="s">
        <v>64</v>
      </c>
      <c r="AH94" s="3">
        <v>7</v>
      </c>
    </row>
    <row r="95" spans="1:34">
      <c r="A95" s="4" t="s">
        <v>298</v>
      </c>
      <c r="B95" s="3">
        <v>27</v>
      </c>
      <c r="C95" s="9" t="str" cm="1">
        <f t="array" ref="C95">_xlfn.IFS(B95&gt;65,"+65",B95&gt;54,"55-65",B95&gt;44,"45-54",B95&gt;35,"36-44",B95&gt;25,"26-35",B95&gt;=18,"18-25")</f>
        <v>26-35</v>
      </c>
      <c r="D95" s="4" t="s">
        <v>78</v>
      </c>
      <c r="E95" s="4" t="s">
        <v>72</v>
      </c>
      <c r="F95" s="4" t="s">
        <v>79</v>
      </c>
      <c r="G95" s="4" t="s">
        <v>68</v>
      </c>
      <c r="H95" s="4" t="s">
        <v>299</v>
      </c>
      <c r="I95" s="4" t="s">
        <v>97</v>
      </c>
      <c r="J95" s="5">
        <v>63.6</v>
      </c>
      <c r="K95" s="3">
        <v>12</v>
      </c>
      <c r="L95" s="4" t="str">
        <f>IF(AND(J95&gt;350,K95&gt;6), "True","False")</f>
        <v>False</v>
      </c>
      <c r="M95" s="4" t="s">
        <v>83</v>
      </c>
      <c r="N95" s="3">
        <v>5</v>
      </c>
      <c r="O95" s="4" t="str" cm="1">
        <f t="array" ref="O95">_xlfn.IFS(P95&lt;=2,"Poor",P95=3,"Average",P95&gt;=4,"Good")</f>
        <v>Poor</v>
      </c>
      <c r="P95" s="3">
        <v>1</v>
      </c>
      <c r="Q95" s="2">
        <v>0</v>
      </c>
      <c r="R95" s="4" t="s">
        <v>72</v>
      </c>
      <c r="S95" s="4" t="s">
        <v>58</v>
      </c>
      <c r="T95" s="3">
        <v>2</v>
      </c>
      <c r="U95" s="4" t="str" cm="1">
        <f t="array" ref="U95">_xlfn.IFS(V95&lt;=4, "Dissatisfied",V95&lt;=7,"Neutral",V95&gt;=8,"Satisfied")</f>
        <v>Dissatisfied</v>
      </c>
      <c r="V95" s="3">
        <v>1</v>
      </c>
      <c r="W95" s="4" t="s">
        <v>57</v>
      </c>
      <c r="X95" s="4" t="s">
        <v>101</v>
      </c>
      <c r="Y95" s="4" t="s">
        <v>86</v>
      </c>
      <c r="Z95" s="1">
        <v>45331</v>
      </c>
      <c r="AA95" s="4" t="str" cm="1">
        <f t="array" ref="AA95">_xlfn.IFS(OR(AB95="December", AB95="February", AB95="January"), "Winter", OR(AB95="March", AB95="April", AB95="May"), "Spring", OR(AB95="June", AB95="July", AB95="August"), "Summer", TRUE, "Autumn")</f>
        <v>Winter</v>
      </c>
      <c r="AB95" s="7" t="str">
        <f>TEXT(Z95, "mmmm")</f>
        <v>February</v>
      </c>
      <c r="AC95" s="1" t="str">
        <f>TEXT(Z95, "dddd")</f>
        <v>Friday</v>
      </c>
      <c r="AD95" s="4" t="s">
        <v>76</v>
      </c>
      <c r="AE95" s="4" t="s">
        <v>62</v>
      </c>
      <c r="AF95" s="4" t="s">
        <v>102</v>
      </c>
      <c r="AG95" s="4" t="s">
        <v>88</v>
      </c>
      <c r="AH95" s="3">
        <v>6</v>
      </c>
    </row>
    <row r="96" spans="1:34">
      <c r="A96" s="4" t="s">
        <v>300</v>
      </c>
      <c r="B96" s="3">
        <v>21</v>
      </c>
      <c r="C96" s="9" t="str" cm="1">
        <f t="array" ref="C96">_xlfn.IFS(B96&gt;65,"+65",B96&gt;54,"55-65",B96&gt;44,"45-54",B96&gt;35,"36-44",B96&gt;25,"26-35",B96&gt;=18,"18-25")</f>
        <v>18-25</v>
      </c>
      <c r="D96" s="4" t="s">
        <v>66</v>
      </c>
      <c r="E96" s="4" t="s">
        <v>51</v>
      </c>
      <c r="F96" s="4" t="s">
        <v>67</v>
      </c>
      <c r="G96" s="4" t="s">
        <v>80</v>
      </c>
      <c r="H96" s="4" t="s">
        <v>301</v>
      </c>
      <c r="I96" s="4" t="s">
        <v>70</v>
      </c>
      <c r="J96" s="5">
        <v>433.99</v>
      </c>
      <c r="K96" s="3">
        <v>11</v>
      </c>
      <c r="L96" s="4" t="str">
        <f>IF(AND(J96&gt;350,K96&gt;6), "True","False")</f>
        <v>True</v>
      </c>
      <c r="M96" s="4" t="s">
        <v>83</v>
      </c>
      <c r="N96" s="3">
        <v>3</v>
      </c>
      <c r="O96" s="4" t="str" cm="1">
        <f t="array" ref="O96">_xlfn.IFS(P96&lt;=2,"Poor",P96=3,"Average",P96&gt;=4,"Good")</f>
        <v>Poor</v>
      </c>
      <c r="P96" s="3">
        <v>2</v>
      </c>
      <c r="Q96" s="2">
        <v>1</v>
      </c>
      <c r="R96" s="4" t="s">
        <v>72</v>
      </c>
      <c r="S96" s="4" t="s">
        <v>58</v>
      </c>
      <c r="T96" s="3">
        <v>0</v>
      </c>
      <c r="U96" s="4" t="str" cm="1">
        <f t="array" ref="U96">_xlfn.IFS(V96&lt;=4, "Dissatisfied",V96&lt;=7,"Neutral",V96&gt;=8,"Satisfied")</f>
        <v>Dissatisfied</v>
      </c>
      <c r="V96" s="3">
        <v>2</v>
      </c>
      <c r="W96" s="4" t="s">
        <v>57</v>
      </c>
      <c r="X96" s="4" t="s">
        <v>101</v>
      </c>
      <c r="Y96" s="4" t="s">
        <v>119</v>
      </c>
      <c r="Z96" s="1">
        <v>45331</v>
      </c>
      <c r="AA96" s="4" t="str" cm="1">
        <f t="array" ref="AA96">_xlfn.IFS(OR(AB96="December", AB96="February", AB96="January"), "Winter", OR(AB96="March", AB96="April", AB96="May"), "Spring", OR(AB96="June", AB96="July", AB96="August"), "Summer", TRUE, "Autumn")</f>
        <v>Winter</v>
      </c>
      <c r="AB96" s="7" t="str">
        <f>TEXT(Z96, "mmmm")</f>
        <v>February</v>
      </c>
      <c r="AC96" s="1" t="str">
        <f>TEXT(Z96, "dddd")</f>
        <v>Friday</v>
      </c>
      <c r="AD96" s="4" t="s">
        <v>76</v>
      </c>
      <c r="AE96" s="4" t="s">
        <v>76</v>
      </c>
      <c r="AF96" s="4" t="s">
        <v>63</v>
      </c>
      <c r="AG96" s="4" t="s">
        <v>88</v>
      </c>
      <c r="AH96" s="3">
        <v>8</v>
      </c>
    </row>
    <row r="97" spans="1:34">
      <c r="A97" s="4" t="s">
        <v>302</v>
      </c>
      <c r="B97" s="3">
        <v>38</v>
      </c>
      <c r="C97" s="9" t="str" cm="1">
        <f t="array" ref="C97">_xlfn.IFS(B97&gt;65,"+65",B97&gt;54,"55-65",B97&gt;44,"45-54",B97&gt;35,"36-44",B97&gt;25,"26-35",B97&gt;=18,"18-25")</f>
        <v>36-44</v>
      </c>
      <c r="D97" s="4" t="s">
        <v>66</v>
      </c>
      <c r="E97" s="4" t="s">
        <v>51</v>
      </c>
      <c r="F97" s="4" t="s">
        <v>67</v>
      </c>
      <c r="G97" s="4" t="s">
        <v>53</v>
      </c>
      <c r="H97" s="4" t="s">
        <v>303</v>
      </c>
      <c r="I97" s="4" t="s">
        <v>110</v>
      </c>
      <c r="J97" s="5">
        <v>330.27</v>
      </c>
      <c r="K97" s="3">
        <v>3</v>
      </c>
      <c r="L97" s="4" t="str">
        <f>IF(AND(J97&gt;350,K97&gt;6), "True","False")</f>
        <v>False</v>
      </c>
      <c r="M97" s="4" t="s">
        <v>71</v>
      </c>
      <c r="N97" s="3">
        <v>3</v>
      </c>
      <c r="O97" s="4" t="str" cm="1">
        <f t="array" ref="O97">_xlfn.IFS(P97&lt;=2,"Poor",P97=3,"Average",P97&gt;=4,"Good")</f>
        <v>Poor</v>
      </c>
      <c r="P97" s="3">
        <v>2</v>
      </c>
      <c r="Q97" s="2">
        <v>1</v>
      </c>
      <c r="R97" s="4" t="s">
        <v>72</v>
      </c>
      <c r="S97" s="4" t="s">
        <v>58</v>
      </c>
      <c r="T97" s="3">
        <v>1</v>
      </c>
      <c r="U97" s="4" t="str" cm="1">
        <f t="array" ref="U97">_xlfn.IFS(V97&lt;=4, "Dissatisfied",V97&lt;=7,"Neutral",V97&gt;=8,"Satisfied")</f>
        <v>Satisfied</v>
      </c>
      <c r="V97" s="3">
        <v>9</v>
      </c>
      <c r="W97" s="4" t="s">
        <v>72</v>
      </c>
      <c r="X97" s="4" t="s">
        <v>60</v>
      </c>
      <c r="Y97" s="4" t="s">
        <v>111</v>
      </c>
      <c r="Z97" s="1">
        <v>45332</v>
      </c>
      <c r="AA97" s="4" t="str" cm="1">
        <f t="array" ref="AA97">_xlfn.IFS(OR(AB97="December", AB97="February", AB97="January"), "Winter", OR(AB97="March", AB97="April", AB97="May"), "Spring", OR(AB97="June", AB97="July", AB97="August"), "Summer", TRUE, "Autumn")</f>
        <v>Winter</v>
      </c>
      <c r="AB97" s="7" t="str">
        <f>TEXT(Z97, "mmmm")</f>
        <v>February</v>
      </c>
      <c r="AC97" s="1" t="str">
        <f>TEXT(Z97, "dddd")</f>
        <v>Saturday</v>
      </c>
      <c r="AD97" s="4" t="s">
        <v>62</v>
      </c>
      <c r="AE97" s="4" t="s">
        <v>76</v>
      </c>
      <c r="AF97" s="4" t="s">
        <v>92</v>
      </c>
      <c r="AG97" s="4" t="s">
        <v>88</v>
      </c>
      <c r="AH97" s="3">
        <v>9</v>
      </c>
    </row>
    <row r="98" spans="1:34">
      <c r="A98" s="4" t="s">
        <v>304</v>
      </c>
      <c r="B98" s="3">
        <v>33</v>
      </c>
      <c r="C98" s="9" t="str" cm="1">
        <f t="array" ref="C98">_xlfn.IFS(B98&gt;65,"+65",B98&gt;54,"55-65",B98&gt;44,"45-54",B98&gt;35,"36-44",B98&gt;25,"26-35",B98&gt;=18,"18-25")</f>
        <v>26-35</v>
      </c>
      <c r="D98" s="4" t="s">
        <v>78</v>
      </c>
      <c r="E98" s="4" t="s">
        <v>72</v>
      </c>
      <c r="F98" s="4" t="s">
        <v>67</v>
      </c>
      <c r="G98" s="4" t="s">
        <v>53</v>
      </c>
      <c r="H98" s="4" t="s">
        <v>305</v>
      </c>
      <c r="I98" s="4" t="s">
        <v>82</v>
      </c>
      <c r="J98" s="5">
        <v>354.7</v>
      </c>
      <c r="K98" s="3">
        <v>5</v>
      </c>
      <c r="L98" s="4" t="str">
        <f>IF(AND(J98&gt;350,K98&gt;6), "True","False")</f>
        <v>False</v>
      </c>
      <c r="M98" s="4" t="s">
        <v>56</v>
      </c>
      <c r="N98" s="3">
        <v>4</v>
      </c>
      <c r="O98" s="4" t="str" cm="1">
        <f t="array" ref="O98">_xlfn.IFS(P98&lt;=2,"Poor",P98=3,"Average",P98&gt;=4,"Good")</f>
        <v>Poor</v>
      </c>
      <c r="P98" s="3">
        <v>2</v>
      </c>
      <c r="Q98" s="2">
        <v>0</v>
      </c>
      <c r="R98" s="4" t="s">
        <v>57</v>
      </c>
      <c r="S98" s="4" t="s">
        <v>73</v>
      </c>
      <c r="T98" s="3">
        <v>2</v>
      </c>
      <c r="U98" s="4" t="str" cm="1">
        <f t="array" ref="U98">_xlfn.IFS(V98&lt;=4, "Dissatisfied",V98&lt;=7,"Neutral",V98&gt;=8,"Satisfied")</f>
        <v>Neutral</v>
      </c>
      <c r="V98" s="3">
        <v>7</v>
      </c>
      <c r="W98" s="4" t="s">
        <v>57</v>
      </c>
      <c r="X98" s="4" t="s">
        <v>60</v>
      </c>
      <c r="Y98" s="4" t="s">
        <v>111</v>
      </c>
      <c r="Z98" s="1">
        <v>45332</v>
      </c>
      <c r="AA98" s="4" t="str" cm="1">
        <f t="array" ref="AA98">_xlfn.IFS(OR(AB98="December", AB98="February", AB98="January"), "Winter", OR(AB98="March", AB98="April", AB98="May"), "Spring", OR(AB98="June", AB98="July", AB98="August"), "Summer", TRUE, "Autumn")</f>
        <v>Winter</v>
      </c>
      <c r="AB98" s="7" t="str">
        <f>TEXT(Z98, "mmmm")</f>
        <v>February</v>
      </c>
      <c r="AC98" s="1" t="str">
        <f>TEXT(Z98, "dddd")</f>
        <v>Saturday</v>
      </c>
      <c r="AD98" s="4" t="s">
        <v>62</v>
      </c>
      <c r="AE98" s="4" t="s">
        <v>76</v>
      </c>
      <c r="AF98" s="4" t="s">
        <v>87</v>
      </c>
      <c r="AG98" s="4" t="s">
        <v>93</v>
      </c>
      <c r="AH98" s="3">
        <v>12</v>
      </c>
    </row>
    <row r="99" spans="1:34">
      <c r="A99" s="4" t="s">
        <v>306</v>
      </c>
      <c r="B99" s="3">
        <v>27</v>
      </c>
      <c r="C99" s="9" t="str" cm="1">
        <f t="array" ref="C99">_xlfn.IFS(B99&gt;65,"+65",B99&gt;54,"55-65",B99&gt;44,"45-54",B99&gt;35,"36-44",B99&gt;25,"26-35",B99&gt;=18,"18-25")</f>
        <v>26-35</v>
      </c>
      <c r="D99" s="4" t="s">
        <v>78</v>
      </c>
      <c r="E99" s="4" t="s">
        <v>51</v>
      </c>
      <c r="F99" s="4" t="s">
        <v>67</v>
      </c>
      <c r="G99" s="4" t="s">
        <v>53</v>
      </c>
      <c r="H99" s="4" t="s">
        <v>307</v>
      </c>
      <c r="I99" s="4" t="s">
        <v>151</v>
      </c>
      <c r="J99" s="5">
        <v>335.8</v>
      </c>
      <c r="K99" s="3">
        <v>9</v>
      </c>
      <c r="L99" s="4" t="str">
        <f>IF(AND(J99&gt;350,K99&gt;6), "True","False")</f>
        <v>False</v>
      </c>
      <c r="M99" s="4" t="s">
        <v>83</v>
      </c>
      <c r="N99" s="3">
        <v>3</v>
      </c>
      <c r="O99" s="4" t="str" cm="1">
        <f t="array" ref="O99">_xlfn.IFS(P99&lt;=2,"Poor",P99=3,"Average",P99&gt;=4,"Good")</f>
        <v>Good</v>
      </c>
      <c r="P99" s="3">
        <v>5</v>
      </c>
      <c r="Q99" s="2">
        <v>1</v>
      </c>
      <c r="R99" s="4" t="s">
        <v>57</v>
      </c>
      <c r="S99" s="4" t="s">
        <v>84</v>
      </c>
      <c r="T99" s="3">
        <v>2</v>
      </c>
      <c r="U99" s="4" t="str" cm="1">
        <f t="array" ref="U99">_xlfn.IFS(V99&lt;=4, "Dissatisfied",V99&lt;=7,"Neutral",V99&gt;=8,"Satisfied")</f>
        <v>Neutral</v>
      </c>
      <c r="V99" s="3">
        <v>7</v>
      </c>
      <c r="W99" s="4" t="s">
        <v>59</v>
      </c>
      <c r="X99" s="4" t="s">
        <v>60</v>
      </c>
      <c r="Y99" s="4" t="s">
        <v>75</v>
      </c>
      <c r="Z99" s="1">
        <v>45332</v>
      </c>
      <c r="AA99" s="4" t="str" cm="1">
        <f t="array" ref="AA99">_xlfn.IFS(OR(AB99="December", AB99="February", AB99="January"), "Winter", OR(AB99="March", AB99="April", AB99="May"), "Spring", OR(AB99="June", AB99="July", AB99="August"), "Summer", TRUE, "Autumn")</f>
        <v>Winter</v>
      </c>
      <c r="AB99" s="7" t="str">
        <f>TEXT(Z99, "mmmm")</f>
        <v>February</v>
      </c>
      <c r="AC99" s="1" t="str">
        <f>TEXT(Z99, "dddd")</f>
        <v>Saturday</v>
      </c>
      <c r="AD99" s="4" t="s">
        <v>62</v>
      </c>
      <c r="AE99" s="4" t="s">
        <v>76</v>
      </c>
      <c r="AF99" s="4" t="s">
        <v>102</v>
      </c>
      <c r="AG99" s="4" t="s">
        <v>64</v>
      </c>
      <c r="AH99" s="3">
        <v>5</v>
      </c>
    </row>
    <row r="100" spans="1:34">
      <c r="A100" s="4" t="s">
        <v>308</v>
      </c>
      <c r="B100" s="3">
        <v>31</v>
      </c>
      <c r="C100" s="9" t="str" cm="1">
        <f t="array" ref="C100">_xlfn.IFS(B100&gt;65,"+65",B100&gt;54,"55-65",B100&gt;44,"45-54",B100&gt;35,"36-44",B100&gt;25,"26-35",B100&gt;=18,"18-25")</f>
        <v>26-35</v>
      </c>
      <c r="D100" s="4" t="s">
        <v>66</v>
      </c>
      <c r="E100" s="4" t="s">
        <v>51</v>
      </c>
      <c r="F100" s="4" t="s">
        <v>52</v>
      </c>
      <c r="G100" s="4" t="s">
        <v>53</v>
      </c>
      <c r="H100" s="4" t="s">
        <v>309</v>
      </c>
      <c r="I100" s="4" t="s">
        <v>275</v>
      </c>
      <c r="J100" s="5">
        <v>389.47</v>
      </c>
      <c r="K100" s="3">
        <v>4</v>
      </c>
      <c r="L100" s="4" t="str">
        <f>IF(AND(J100&gt;350,K100&gt;6), "True","False")</f>
        <v>False</v>
      </c>
      <c r="M100" s="4" t="s">
        <v>71</v>
      </c>
      <c r="N100" s="3">
        <v>5</v>
      </c>
      <c r="O100" s="4" t="str" cm="1">
        <f t="array" ref="O100">_xlfn.IFS(P100&lt;=2,"Poor",P100=3,"Average",P100&gt;=4,"Good")</f>
        <v>Average</v>
      </c>
      <c r="P100" s="3">
        <v>3</v>
      </c>
      <c r="Q100" s="2">
        <v>2</v>
      </c>
      <c r="R100" s="4" t="s">
        <v>59</v>
      </c>
      <c r="S100" s="4" t="s">
        <v>58</v>
      </c>
      <c r="T100" s="3">
        <v>1</v>
      </c>
      <c r="U100" s="4" t="str" cm="1">
        <f t="array" ref="U100">_xlfn.IFS(V100&lt;=4, "Dissatisfied",V100&lt;=7,"Neutral",V100&gt;=8,"Satisfied")</f>
        <v>Satisfied</v>
      </c>
      <c r="V100" s="3">
        <v>9</v>
      </c>
      <c r="W100" s="4" t="s">
        <v>72</v>
      </c>
      <c r="X100" s="4" t="s">
        <v>101</v>
      </c>
      <c r="Y100" s="4" t="s">
        <v>119</v>
      </c>
      <c r="Z100" s="1">
        <v>45333</v>
      </c>
      <c r="AA100" s="4" t="str" cm="1">
        <f t="array" ref="AA100">_xlfn.IFS(OR(AB100="December", AB100="February", AB100="January"), "Winter", OR(AB100="March", AB100="April", AB100="May"), "Spring", OR(AB100="June", AB100="July", AB100="August"), "Summer", TRUE, "Autumn")</f>
        <v>Winter</v>
      </c>
      <c r="AB100" s="7" t="str">
        <f>TEXT(Z100, "mmmm")</f>
        <v>February</v>
      </c>
      <c r="AC100" s="1" t="str">
        <f>TEXT(Z100, "dddd")</f>
        <v>Sunday</v>
      </c>
      <c r="AD100" s="4" t="s">
        <v>62</v>
      </c>
      <c r="AE100" s="4" t="s">
        <v>62</v>
      </c>
      <c r="AF100" s="4" t="s">
        <v>102</v>
      </c>
      <c r="AG100" s="4" t="s">
        <v>64</v>
      </c>
      <c r="AH100" s="3">
        <v>6</v>
      </c>
    </row>
    <row r="101" spans="1:34">
      <c r="A101" s="4" t="s">
        <v>310</v>
      </c>
      <c r="B101" s="3">
        <v>46</v>
      </c>
      <c r="C101" s="9" t="str" cm="1">
        <f t="array" ref="C101">_xlfn.IFS(B101&gt;65,"+65",B101&gt;54,"55-65",B101&gt;44,"45-54",B101&gt;35,"36-44",B101&gt;25,"26-35",B101&gt;=18,"18-25")</f>
        <v>45-54</v>
      </c>
      <c r="D101" s="4" t="s">
        <v>66</v>
      </c>
      <c r="E101" s="4" t="s">
        <v>51</v>
      </c>
      <c r="F101" s="4" t="s">
        <v>52</v>
      </c>
      <c r="G101" s="4" t="s">
        <v>80</v>
      </c>
      <c r="H101" s="4" t="s">
        <v>311</v>
      </c>
      <c r="I101" s="4" t="s">
        <v>91</v>
      </c>
      <c r="J101" s="5">
        <v>58.29</v>
      </c>
      <c r="K101" s="3">
        <v>6</v>
      </c>
      <c r="L101" s="4" t="str">
        <f>IF(AND(J101&gt;350,K101&gt;6), "True","False")</f>
        <v>False</v>
      </c>
      <c r="M101" s="4" t="s">
        <v>83</v>
      </c>
      <c r="N101" s="3">
        <v>2</v>
      </c>
      <c r="O101" s="4" t="str" cm="1">
        <f t="array" ref="O101">_xlfn.IFS(P101&lt;=2,"Poor",P101=3,"Average",P101&gt;=4,"Good")</f>
        <v>Average</v>
      </c>
      <c r="P101" s="3">
        <v>3</v>
      </c>
      <c r="Q101" s="2">
        <v>2</v>
      </c>
      <c r="R101" s="4" t="s">
        <v>85</v>
      </c>
      <c r="S101" s="4" t="s">
        <v>84</v>
      </c>
      <c r="T101" s="3">
        <v>1</v>
      </c>
      <c r="U101" s="4" t="str" cm="1">
        <f t="array" ref="U101">_xlfn.IFS(V101&lt;=4, "Dissatisfied",V101&lt;=7,"Neutral",V101&gt;=8,"Satisfied")</f>
        <v>Neutral</v>
      </c>
      <c r="V101" s="3">
        <v>7</v>
      </c>
      <c r="W101" s="4" t="s">
        <v>59</v>
      </c>
      <c r="X101" s="4" t="s">
        <v>74</v>
      </c>
      <c r="Y101" s="4" t="s">
        <v>111</v>
      </c>
      <c r="Z101" s="1">
        <v>45335</v>
      </c>
      <c r="AA101" s="4" t="str" cm="1">
        <f t="array" ref="AA101">_xlfn.IFS(OR(AB101="December", AB101="February", AB101="January"), "Winter", OR(AB101="March", AB101="April", AB101="May"), "Spring", OR(AB101="June", AB101="July", AB101="August"), "Summer", TRUE, "Autumn")</f>
        <v>Winter</v>
      </c>
      <c r="AB101" s="7" t="str">
        <f>TEXT(Z101, "mmmm")</f>
        <v>February</v>
      </c>
      <c r="AC101" s="1" t="str">
        <f>TEXT(Z101, "dddd")</f>
        <v>Tuesday</v>
      </c>
      <c r="AD101" s="4" t="s">
        <v>76</v>
      </c>
      <c r="AE101" s="4" t="s">
        <v>62</v>
      </c>
      <c r="AF101" s="4" t="s">
        <v>92</v>
      </c>
      <c r="AG101" s="4" t="s">
        <v>64</v>
      </c>
      <c r="AH101" s="3">
        <v>14</v>
      </c>
    </row>
    <row r="102" spans="1:34">
      <c r="A102" s="4" t="s">
        <v>312</v>
      </c>
      <c r="B102" s="3">
        <v>38</v>
      </c>
      <c r="C102" s="9" t="str" cm="1">
        <f t="array" ref="C102">_xlfn.IFS(B102&gt;65,"+65",B102&gt;54,"55-65",B102&gt;44,"45-54",B102&gt;35,"36-44",B102&gt;25,"26-35",B102&gt;=18,"18-25")</f>
        <v>36-44</v>
      </c>
      <c r="D102" s="4" t="s">
        <v>78</v>
      </c>
      <c r="E102" s="4" t="s">
        <v>72</v>
      </c>
      <c r="F102" s="4" t="s">
        <v>79</v>
      </c>
      <c r="G102" s="4" t="s">
        <v>80</v>
      </c>
      <c r="H102" s="4" t="s">
        <v>313</v>
      </c>
      <c r="I102" s="4" t="s">
        <v>118</v>
      </c>
      <c r="J102" s="5">
        <v>113.51</v>
      </c>
      <c r="K102" s="3">
        <v>11</v>
      </c>
      <c r="L102" s="4" t="str">
        <f>IF(AND(J102&gt;350,K102&gt;6), "True","False")</f>
        <v>False</v>
      </c>
      <c r="M102" s="4" t="s">
        <v>83</v>
      </c>
      <c r="N102" s="3">
        <v>4</v>
      </c>
      <c r="O102" s="4" t="str" cm="1">
        <f t="array" ref="O102">_xlfn.IFS(P102&lt;=2,"Poor",P102=3,"Average",P102&gt;=4,"Good")</f>
        <v>Poor</v>
      </c>
      <c r="P102" s="3">
        <v>1</v>
      </c>
      <c r="Q102" s="2">
        <v>1</v>
      </c>
      <c r="R102" s="4" t="s">
        <v>72</v>
      </c>
      <c r="S102" s="4" t="s">
        <v>58</v>
      </c>
      <c r="T102" s="3">
        <v>2</v>
      </c>
      <c r="U102" s="4" t="str" cm="1">
        <f t="array" ref="U102">_xlfn.IFS(V102&lt;=4, "Dissatisfied",V102&lt;=7,"Neutral",V102&gt;=8,"Satisfied")</f>
        <v>Dissatisfied</v>
      </c>
      <c r="V102" s="3">
        <v>2</v>
      </c>
      <c r="W102" s="4" t="s">
        <v>59</v>
      </c>
      <c r="X102" s="4" t="s">
        <v>101</v>
      </c>
      <c r="Y102" s="4" t="s">
        <v>119</v>
      </c>
      <c r="Z102" s="1">
        <v>45336</v>
      </c>
      <c r="AA102" s="4" t="str" cm="1">
        <f t="array" ref="AA102">_xlfn.IFS(OR(AB102="December", AB102="February", AB102="January"), "Winter", OR(AB102="March", AB102="April", AB102="May"), "Spring", OR(AB102="June", AB102="July", AB102="August"), "Summer", TRUE, "Autumn")</f>
        <v>Winter</v>
      </c>
      <c r="AB102" s="7" t="str">
        <f>TEXT(Z102, "mmmm")</f>
        <v>February</v>
      </c>
      <c r="AC102" s="1" t="str">
        <f>TEXT(Z102, "dddd")</f>
        <v>Wednesday</v>
      </c>
      <c r="AD102" s="4" t="s">
        <v>62</v>
      </c>
      <c r="AE102" s="4" t="s">
        <v>62</v>
      </c>
      <c r="AF102" s="4" t="s">
        <v>87</v>
      </c>
      <c r="AG102" s="4" t="s">
        <v>93</v>
      </c>
      <c r="AH102" s="3">
        <v>8</v>
      </c>
    </row>
    <row r="103" spans="1:34">
      <c r="A103" s="4" t="s">
        <v>314</v>
      </c>
      <c r="B103" s="3">
        <v>37</v>
      </c>
      <c r="C103" s="9" t="str" cm="1">
        <f t="array" ref="C103">_xlfn.IFS(B103&gt;65,"+65",B103&gt;54,"55-65",B103&gt;44,"45-54",B103&gt;35,"36-44",B103&gt;25,"26-35",B103&gt;=18,"18-25")</f>
        <v>36-44</v>
      </c>
      <c r="D103" s="4" t="s">
        <v>66</v>
      </c>
      <c r="E103" s="4" t="s">
        <v>51</v>
      </c>
      <c r="F103" s="4" t="s">
        <v>79</v>
      </c>
      <c r="G103" s="4" t="s">
        <v>68</v>
      </c>
      <c r="H103" s="4" t="s">
        <v>315</v>
      </c>
      <c r="I103" s="4" t="s">
        <v>105</v>
      </c>
      <c r="J103" s="5">
        <v>328.21</v>
      </c>
      <c r="K103" s="3">
        <v>7</v>
      </c>
      <c r="L103" s="4" t="str">
        <f>IF(AND(J103&gt;350,K103&gt;6), "True","False")</f>
        <v>False</v>
      </c>
      <c r="M103" s="4" t="s">
        <v>83</v>
      </c>
      <c r="N103" s="3">
        <v>5</v>
      </c>
      <c r="O103" s="4" t="str" cm="1">
        <f t="array" ref="O103">_xlfn.IFS(P103&lt;=2,"Poor",P103=3,"Average",P103&gt;=4,"Good")</f>
        <v>Good</v>
      </c>
      <c r="P103" s="3">
        <v>5</v>
      </c>
      <c r="Q103" s="2">
        <v>2</v>
      </c>
      <c r="R103" s="4" t="s">
        <v>59</v>
      </c>
      <c r="S103" s="4" t="s">
        <v>58</v>
      </c>
      <c r="T103" s="3">
        <v>2</v>
      </c>
      <c r="U103" s="4" t="str" cm="1">
        <f t="array" ref="U103">_xlfn.IFS(V103&lt;=4, "Dissatisfied",V103&lt;=7,"Neutral",V103&gt;=8,"Satisfied")</f>
        <v>Dissatisfied</v>
      </c>
      <c r="V103" s="3">
        <v>2</v>
      </c>
      <c r="W103" s="4" t="s">
        <v>59</v>
      </c>
      <c r="X103" s="4" t="s">
        <v>60</v>
      </c>
      <c r="Y103" s="4" t="s">
        <v>119</v>
      </c>
      <c r="Z103" s="1">
        <v>45336</v>
      </c>
      <c r="AA103" s="4" t="str" cm="1">
        <f t="array" ref="AA103">_xlfn.IFS(OR(AB103="December", AB103="February", AB103="January"), "Winter", OR(AB103="March", AB103="April", AB103="May"), "Spring", OR(AB103="June", AB103="July", AB103="August"), "Summer", TRUE, "Autumn")</f>
        <v>Winter</v>
      </c>
      <c r="AB103" s="7" t="str">
        <f>TEXT(Z103, "mmmm")</f>
        <v>February</v>
      </c>
      <c r="AC103" s="1" t="str">
        <f>TEXT(Z103, "dddd")</f>
        <v>Wednesday</v>
      </c>
      <c r="AD103" s="4" t="s">
        <v>76</v>
      </c>
      <c r="AE103" s="4" t="s">
        <v>76</v>
      </c>
      <c r="AF103" s="4" t="s">
        <v>63</v>
      </c>
      <c r="AG103" s="4" t="s">
        <v>88</v>
      </c>
      <c r="AH103" s="3">
        <v>12</v>
      </c>
    </row>
    <row r="104" spans="1:34">
      <c r="A104" s="4" t="s">
        <v>316</v>
      </c>
      <c r="B104" s="3">
        <v>29</v>
      </c>
      <c r="C104" s="9" t="str" cm="1">
        <f t="array" ref="C104">_xlfn.IFS(B104&gt;65,"+65",B104&gt;54,"55-65",B104&gt;44,"45-54",B104&gt;35,"36-44",B104&gt;25,"26-35",B104&gt;=18,"18-25")</f>
        <v>26-35</v>
      </c>
      <c r="D104" s="4" t="s">
        <v>78</v>
      </c>
      <c r="E104" s="4" t="s">
        <v>51</v>
      </c>
      <c r="F104" s="4" t="s">
        <v>95</v>
      </c>
      <c r="G104" s="4" t="s">
        <v>80</v>
      </c>
      <c r="H104" s="4" t="s">
        <v>317</v>
      </c>
      <c r="I104" s="4" t="s">
        <v>97</v>
      </c>
      <c r="J104" s="5">
        <v>217.62</v>
      </c>
      <c r="K104" s="3">
        <v>3</v>
      </c>
      <c r="L104" s="4" t="str">
        <f>IF(AND(J104&gt;350,K104&gt;6), "True","False")</f>
        <v>False</v>
      </c>
      <c r="M104" s="4" t="s">
        <v>56</v>
      </c>
      <c r="N104" s="3">
        <v>5</v>
      </c>
      <c r="O104" s="4" t="str" cm="1">
        <f t="array" ref="O104">_xlfn.IFS(P104&lt;=2,"Poor",P104=3,"Average",P104&gt;=4,"Good")</f>
        <v>Poor</v>
      </c>
      <c r="P104" s="3">
        <v>2</v>
      </c>
      <c r="Q104" s="2">
        <v>1</v>
      </c>
      <c r="R104" s="4" t="s">
        <v>72</v>
      </c>
      <c r="S104" s="4" t="s">
        <v>73</v>
      </c>
      <c r="T104" s="3">
        <v>2</v>
      </c>
      <c r="U104" s="4" t="str" cm="1">
        <f t="array" ref="U104">_xlfn.IFS(V104&lt;=4, "Dissatisfied",V104&lt;=7,"Neutral",V104&gt;=8,"Satisfied")</f>
        <v>Dissatisfied</v>
      </c>
      <c r="V104" s="3">
        <v>3</v>
      </c>
      <c r="W104" s="4" t="s">
        <v>59</v>
      </c>
      <c r="X104" s="4" t="s">
        <v>60</v>
      </c>
      <c r="Y104" s="4" t="s">
        <v>86</v>
      </c>
      <c r="Z104" s="1">
        <v>45336</v>
      </c>
      <c r="AA104" s="4" t="str" cm="1">
        <f t="array" ref="AA104">_xlfn.IFS(OR(AB104="December", AB104="February", AB104="January"), "Winter", OR(AB104="March", AB104="April", AB104="May"), "Spring", OR(AB104="June", AB104="July", AB104="August"), "Summer", TRUE, "Autumn")</f>
        <v>Winter</v>
      </c>
      <c r="AB104" s="7" t="str">
        <f>TEXT(Z104, "mmmm")</f>
        <v>February</v>
      </c>
      <c r="AC104" s="1" t="str">
        <f>TEXT(Z104, "dddd")</f>
        <v>Wednesday</v>
      </c>
      <c r="AD104" s="4" t="s">
        <v>76</v>
      </c>
      <c r="AE104" s="4" t="s">
        <v>62</v>
      </c>
      <c r="AF104" s="4" t="s">
        <v>92</v>
      </c>
      <c r="AG104" s="4" t="s">
        <v>88</v>
      </c>
      <c r="AH104" s="3">
        <v>5</v>
      </c>
    </row>
    <row r="105" spans="1:34">
      <c r="A105" s="4" t="s">
        <v>318</v>
      </c>
      <c r="B105" s="3">
        <v>24</v>
      </c>
      <c r="C105" s="9" t="str" cm="1">
        <f t="array" ref="C105">_xlfn.IFS(B105&gt;65,"+65",B105&gt;54,"55-65",B105&gt;44,"45-54",B105&gt;35,"36-44",B105&gt;25,"26-35",B105&gt;=18,"18-25")</f>
        <v>18-25</v>
      </c>
      <c r="D105" s="4" t="s">
        <v>78</v>
      </c>
      <c r="E105" s="4" t="s">
        <v>51</v>
      </c>
      <c r="F105" s="4" t="s">
        <v>79</v>
      </c>
      <c r="G105" s="4" t="s">
        <v>68</v>
      </c>
      <c r="H105" s="4" t="s">
        <v>319</v>
      </c>
      <c r="I105" s="4" t="s">
        <v>172</v>
      </c>
      <c r="J105" s="5">
        <v>424.18</v>
      </c>
      <c r="K105" s="3">
        <v>5</v>
      </c>
      <c r="L105" s="4" t="str">
        <f>IF(AND(J105&gt;350,K105&gt;6), "True","False")</f>
        <v>False</v>
      </c>
      <c r="M105" s="4" t="s">
        <v>83</v>
      </c>
      <c r="N105" s="3">
        <v>4</v>
      </c>
      <c r="O105" s="4" t="str" cm="1">
        <f t="array" ref="O105">_xlfn.IFS(P105&lt;=2,"Poor",P105=3,"Average",P105&gt;=4,"Good")</f>
        <v>Good</v>
      </c>
      <c r="P105" s="3">
        <v>4</v>
      </c>
      <c r="Q105" s="2">
        <v>1</v>
      </c>
      <c r="R105" s="4" t="s">
        <v>57</v>
      </c>
      <c r="S105" s="4" t="s">
        <v>58</v>
      </c>
      <c r="T105" s="3">
        <v>2</v>
      </c>
      <c r="U105" s="4" t="str" cm="1">
        <f t="array" ref="U105">_xlfn.IFS(V105&lt;=4, "Dissatisfied",V105&lt;=7,"Neutral",V105&gt;=8,"Satisfied")</f>
        <v>Dissatisfied</v>
      </c>
      <c r="V105" s="3">
        <v>4</v>
      </c>
      <c r="W105" s="4" t="s">
        <v>85</v>
      </c>
      <c r="X105" s="4" t="s">
        <v>60</v>
      </c>
      <c r="Y105" s="4" t="s">
        <v>75</v>
      </c>
      <c r="Z105" s="1">
        <v>45336</v>
      </c>
      <c r="AA105" s="4" t="str" cm="1">
        <f t="array" ref="AA105">_xlfn.IFS(OR(AB105="December", AB105="February", AB105="January"), "Winter", OR(AB105="March", AB105="April", AB105="May"), "Spring", OR(AB105="June", AB105="July", AB105="August"), "Summer", TRUE, "Autumn")</f>
        <v>Winter</v>
      </c>
      <c r="AB105" s="7" t="str">
        <f>TEXT(Z105, "mmmm")</f>
        <v>February</v>
      </c>
      <c r="AC105" s="1" t="str">
        <f>TEXT(Z105, "dddd")</f>
        <v>Wednesday</v>
      </c>
      <c r="AD105" s="4" t="s">
        <v>76</v>
      </c>
      <c r="AE105" s="4" t="s">
        <v>62</v>
      </c>
      <c r="AF105" s="4" t="s">
        <v>63</v>
      </c>
      <c r="AG105" s="4" t="s">
        <v>93</v>
      </c>
      <c r="AH105" s="3">
        <v>5</v>
      </c>
    </row>
    <row r="106" spans="1:34">
      <c r="A106" s="4" t="s">
        <v>320</v>
      </c>
      <c r="B106" s="3">
        <v>30</v>
      </c>
      <c r="C106" s="9" t="str" cm="1">
        <f t="array" ref="C106">_xlfn.IFS(B106&gt;65,"+65",B106&gt;54,"55-65",B106&gt;44,"45-54",B106&gt;35,"36-44",B106&gt;25,"26-35",B106&gt;=18,"18-25")</f>
        <v>26-35</v>
      </c>
      <c r="D106" s="4" t="s">
        <v>66</v>
      </c>
      <c r="E106" s="4" t="s">
        <v>51</v>
      </c>
      <c r="F106" s="4" t="s">
        <v>95</v>
      </c>
      <c r="G106" s="4" t="s">
        <v>53</v>
      </c>
      <c r="H106" s="4" t="s">
        <v>321</v>
      </c>
      <c r="I106" s="4" t="s">
        <v>194</v>
      </c>
      <c r="J106" s="5">
        <v>431.78</v>
      </c>
      <c r="K106" s="3">
        <v>12</v>
      </c>
      <c r="L106" s="4" t="str">
        <f>IF(AND(J106&gt;350,K106&gt;6), "True","False")</f>
        <v>True</v>
      </c>
      <c r="M106" s="4" t="s">
        <v>56</v>
      </c>
      <c r="N106" s="3">
        <v>1</v>
      </c>
      <c r="O106" s="4" t="str" cm="1">
        <f t="array" ref="O106">_xlfn.IFS(P106&lt;=2,"Poor",P106=3,"Average",P106&gt;=4,"Good")</f>
        <v>Average</v>
      </c>
      <c r="P106" s="3">
        <v>3</v>
      </c>
      <c r="Q106" s="2">
        <v>1</v>
      </c>
      <c r="R106" s="4" t="s">
        <v>85</v>
      </c>
      <c r="S106" s="4" t="s">
        <v>73</v>
      </c>
      <c r="T106" s="3">
        <v>1</v>
      </c>
      <c r="U106" s="4" t="str" cm="1">
        <f t="array" ref="U106">_xlfn.IFS(V106&lt;=4, "Dissatisfied",V106&lt;=7,"Neutral",V106&gt;=8,"Satisfied")</f>
        <v>Satisfied</v>
      </c>
      <c r="V106" s="3">
        <v>8</v>
      </c>
      <c r="W106" s="4" t="s">
        <v>59</v>
      </c>
      <c r="X106" s="4" t="s">
        <v>60</v>
      </c>
      <c r="Y106" s="4" t="s">
        <v>86</v>
      </c>
      <c r="Z106" s="1">
        <v>45337</v>
      </c>
      <c r="AA106" s="4" t="str" cm="1">
        <f t="array" ref="AA106">_xlfn.IFS(OR(AB106="December", AB106="February", AB106="January"), "Winter", OR(AB106="March", AB106="April", AB106="May"), "Spring", OR(AB106="June", AB106="July", AB106="August"), "Summer", TRUE, "Autumn")</f>
        <v>Winter</v>
      </c>
      <c r="AB106" s="7" t="str">
        <f>TEXT(Z106, "mmmm")</f>
        <v>February</v>
      </c>
      <c r="AC106" s="1" t="str">
        <f>TEXT(Z106, "dddd")</f>
        <v>Thursday</v>
      </c>
      <c r="AD106" s="4" t="s">
        <v>62</v>
      </c>
      <c r="AE106" s="4" t="s">
        <v>76</v>
      </c>
      <c r="AF106" s="4" t="s">
        <v>92</v>
      </c>
      <c r="AG106" s="4" t="s">
        <v>88</v>
      </c>
      <c r="AH106" s="3">
        <v>7</v>
      </c>
    </row>
    <row r="107" spans="1:34">
      <c r="A107" s="4" t="s">
        <v>322</v>
      </c>
      <c r="B107" s="3">
        <v>29</v>
      </c>
      <c r="C107" s="9" t="str" cm="1">
        <f t="array" ref="C107">_xlfn.IFS(B107&gt;65,"+65",B107&gt;54,"55-65",B107&gt;44,"45-54",B107&gt;35,"36-44",B107&gt;25,"26-35",B107&gt;=18,"18-25")</f>
        <v>26-35</v>
      </c>
      <c r="D107" s="4" t="s">
        <v>66</v>
      </c>
      <c r="E107" s="4" t="s">
        <v>72</v>
      </c>
      <c r="F107" s="4" t="s">
        <v>67</v>
      </c>
      <c r="G107" s="4" t="s">
        <v>53</v>
      </c>
      <c r="H107" s="4" t="s">
        <v>323</v>
      </c>
      <c r="I107" s="4" t="s">
        <v>172</v>
      </c>
      <c r="J107" s="5">
        <v>122.46</v>
      </c>
      <c r="K107" s="3">
        <v>12</v>
      </c>
      <c r="L107" s="4" t="str">
        <f>IF(AND(J107&gt;350,K107&gt;6), "True","False")</f>
        <v>False</v>
      </c>
      <c r="M107" s="4" t="s">
        <v>83</v>
      </c>
      <c r="N107" s="3">
        <v>2</v>
      </c>
      <c r="O107" s="4" t="str" cm="1">
        <f t="array" ref="O107">_xlfn.IFS(P107&lt;=2,"Poor",P107=3,"Average",P107&gt;=4,"Good")</f>
        <v>Average</v>
      </c>
      <c r="P107" s="3">
        <v>3</v>
      </c>
      <c r="Q107" s="2">
        <v>0</v>
      </c>
      <c r="R107" s="4" t="s">
        <v>72</v>
      </c>
      <c r="S107" s="4" t="s">
        <v>58</v>
      </c>
      <c r="T107" s="3">
        <v>0</v>
      </c>
      <c r="U107" s="4" t="str" cm="1">
        <f t="array" ref="U107">_xlfn.IFS(V107&lt;=4, "Dissatisfied",V107&lt;=7,"Neutral",V107&gt;=8,"Satisfied")</f>
        <v>Dissatisfied</v>
      </c>
      <c r="V107" s="3">
        <v>3</v>
      </c>
      <c r="W107" s="4" t="s">
        <v>59</v>
      </c>
      <c r="X107" s="4" t="s">
        <v>74</v>
      </c>
      <c r="Y107" s="4" t="s">
        <v>119</v>
      </c>
      <c r="Z107" s="1">
        <v>45337</v>
      </c>
      <c r="AA107" s="4" t="str" cm="1">
        <f t="array" ref="AA107">_xlfn.IFS(OR(AB107="December", AB107="February", AB107="January"), "Winter", OR(AB107="March", AB107="April", AB107="May"), "Spring", OR(AB107="June", AB107="July", AB107="August"), "Summer", TRUE, "Autumn")</f>
        <v>Winter</v>
      </c>
      <c r="AB107" s="7" t="str">
        <f>TEXT(Z107, "mmmm")</f>
        <v>February</v>
      </c>
      <c r="AC107" s="1" t="str">
        <f>TEXT(Z107, "dddd")</f>
        <v>Thursday</v>
      </c>
      <c r="AD107" s="4" t="s">
        <v>76</v>
      </c>
      <c r="AE107" s="4" t="s">
        <v>62</v>
      </c>
      <c r="AF107" s="4" t="s">
        <v>102</v>
      </c>
      <c r="AG107" s="4" t="s">
        <v>64</v>
      </c>
      <c r="AH107" s="3">
        <v>6</v>
      </c>
    </row>
    <row r="108" spans="1:34">
      <c r="A108" s="4" t="s">
        <v>324</v>
      </c>
      <c r="B108" s="3">
        <v>25</v>
      </c>
      <c r="C108" s="9" t="str" cm="1">
        <f t="array" ref="C108">_xlfn.IFS(B108&gt;65,"+65",B108&gt;54,"55-65",B108&gt;44,"45-54",B108&gt;35,"36-44",B108&gt;25,"26-35",B108&gt;=18,"18-25")</f>
        <v>18-25</v>
      </c>
      <c r="D108" s="4" t="s">
        <v>66</v>
      </c>
      <c r="E108" s="4" t="s">
        <v>51</v>
      </c>
      <c r="F108" s="4" t="s">
        <v>95</v>
      </c>
      <c r="G108" s="4" t="s">
        <v>68</v>
      </c>
      <c r="H108" s="4" t="s">
        <v>325</v>
      </c>
      <c r="I108" s="4" t="s">
        <v>275</v>
      </c>
      <c r="J108" s="5">
        <v>475.64</v>
      </c>
      <c r="K108" s="3">
        <v>3</v>
      </c>
      <c r="L108" s="4" t="str">
        <f>IF(AND(J108&gt;350,K108&gt;6), "True","False")</f>
        <v>False</v>
      </c>
      <c r="M108" s="4" t="s">
        <v>56</v>
      </c>
      <c r="N108" s="3">
        <v>3</v>
      </c>
      <c r="O108" s="4" t="str" cm="1">
        <f t="array" ref="O108">_xlfn.IFS(P108&lt;=2,"Poor",P108=3,"Average",P108&gt;=4,"Good")</f>
        <v>Good</v>
      </c>
      <c r="P108" s="3">
        <v>4</v>
      </c>
      <c r="Q108" s="2">
        <v>1</v>
      </c>
      <c r="R108" s="4" t="s">
        <v>59</v>
      </c>
      <c r="S108" s="4" t="s">
        <v>73</v>
      </c>
      <c r="T108" s="3">
        <v>1</v>
      </c>
      <c r="U108" s="4" t="str" cm="1">
        <f t="array" ref="U108">_xlfn.IFS(V108&lt;=4, "Dissatisfied",V108&lt;=7,"Neutral",V108&gt;=8,"Satisfied")</f>
        <v>Dissatisfied</v>
      </c>
      <c r="V108" s="3">
        <v>2</v>
      </c>
      <c r="W108" s="4" t="s">
        <v>85</v>
      </c>
      <c r="X108" s="4" t="s">
        <v>60</v>
      </c>
      <c r="Y108" s="4" t="s">
        <v>86</v>
      </c>
      <c r="Z108" s="1">
        <v>45337</v>
      </c>
      <c r="AA108" s="4" t="str" cm="1">
        <f t="array" ref="AA108">_xlfn.IFS(OR(AB108="December", AB108="February", AB108="January"), "Winter", OR(AB108="March", AB108="April", AB108="May"), "Spring", OR(AB108="June", AB108="July", AB108="August"), "Summer", TRUE, "Autumn")</f>
        <v>Winter</v>
      </c>
      <c r="AB108" s="7" t="str">
        <f>TEXT(Z108, "mmmm")</f>
        <v>February</v>
      </c>
      <c r="AC108" s="1" t="str">
        <f>TEXT(Z108, "dddd")</f>
        <v>Thursday</v>
      </c>
      <c r="AD108" s="4" t="s">
        <v>62</v>
      </c>
      <c r="AE108" s="4" t="s">
        <v>62</v>
      </c>
      <c r="AF108" s="4" t="s">
        <v>87</v>
      </c>
      <c r="AG108" s="4" t="s">
        <v>64</v>
      </c>
      <c r="AH108" s="3">
        <v>9</v>
      </c>
    </row>
    <row r="109" spans="1:34">
      <c r="A109" s="4" t="s">
        <v>326</v>
      </c>
      <c r="B109" s="3">
        <v>19</v>
      </c>
      <c r="C109" s="9" t="str" cm="1">
        <f t="array" ref="C109">_xlfn.IFS(B109&gt;65,"+65",B109&gt;54,"55-65",B109&gt;44,"45-54",B109&gt;35,"36-44",B109&gt;25,"26-35",B109&gt;=18,"18-25")</f>
        <v>18-25</v>
      </c>
      <c r="D109" s="4" t="s">
        <v>78</v>
      </c>
      <c r="E109" s="4" t="s">
        <v>72</v>
      </c>
      <c r="F109" s="4" t="s">
        <v>95</v>
      </c>
      <c r="G109" s="4" t="s">
        <v>53</v>
      </c>
      <c r="H109" s="4" t="s">
        <v>327</v>
      </c>
      <c r="I109" s="4" t="s">
        <v>151</v>
      </c>
      <c r="J109" s="5">
        <v>390.44</v>
      </c>
      <c r="K109" s="3">
        <v>4</v>
      </c>
      <c r="L109" s="4" t="str">
        <f>IF(AND(J109&gt;350,K109&gt;6), "True","False")</f>
        <v>False</v>
      </c>
      <c r="M109" s="4" t="s">
        <v>83</v>
      </c>
      <c r="N109" s="3">
        <v>5</v>
      </c>
      <c r="O109" s="4" t="str" cm="1">
        <f t="array" ref="O109">_xlfn.IFS(P109&lt;=2,"Poor",P109=3,"Average",P109&gt;=4,"Good")</f>
        <v>Poor</v>
      </c>
      <c r="P109" s="3">
        <v>1</v>
      </c>
      <c r="Q109" s="2">
        <v>0</v>
      </c>
      <c r="R109" s="4" t="s">
        <v>85</v>
      </c>
      <c r="S109" s="4" t="s">
        <v>73</v>
      </c>
      <c r="T109" s="3">
        <v>0</v>
      </c>
      <c r="U109" s="4" t="str" cm="1">
        <f t="array" ref="U109">_xlfn.IFS(V109&lt;=4, "Dissatisfied",V109&lt;=7,"Neutral",V109&gt;=8,"Satisfied")</f>
        <v>Dissatisfied</v>
      </c>
      <c r="V109" s="3">
        <v>4</v>
      </c>
      <c r="W109" s="4" t="s">
        <v>72</v>
      </c>
      <c r="X109" s="4" t="s">
        <v>101</v>
      </c>
      <c r="Y109" s="4" t="s">
        <v>111</v>
      </c>
      <c r="Z109" s="1">
        <v>45337</v>
      </c>
      <c r="AA109" s="4" t="str" cm="1">
        <f t="array" ref="AA109">_xlfn.IFS(OR(AB109="December", AB109="February", AB109="January"), "Winter", OR(AB109="March", AB109="April", AB109="May"), "Spring", OR(AB109="June", AB109="July", AB109="August"), "Summer", TRUE, "Autumn")</f>
        <v>Winter</v>
      </c>
      <c r="AB109" s="7" t="str">
        <f>TEXT(Z109, "mmmm")</f>
        <v>February</v>
      </c>
      <c r="AC109" s="1" t="str">
        <f>TEXT(Z109, "dddd")</f>
        <v>Thursday</v>
      </c>
      <c r="AD109" s="4" t="s">
        <v>62</v>
      </c>
      <c r="AE109" s="4" t="s">
        <v>76</v>
      </c>
      <c r="AF109" s="4" t="s">
        <v>63</v>
      </c>
      <c r="AG109" s="4" t="s">
        <v>64</v>
      </c>
      <c r="AH109" s="3">
        <v>4</v>
      </c>
    </row>
    <row r="110" spans="1:34">
      <c r="A110" s="4" t="s">
        <v>328</v>
      </c>
      <c r="B110" s="3">
        <v>28</v>
      </c>
      <c r="C110" s="9" t="str" cm="1">
        <f t="array" ref="C110">_xlfn.IFS(B110&gt;65,"+65",B110&gt;54,"55-65",B110&gt;44,"45-54",B110&gt;35,"36-44",B110&gt;25,"26-35",B110&gt;=18,"18-25")</f>
        <v>26-35</v>
      </c>
      <c r="D110" s="4" t="s">
        <v>78</v>
      </c>
      <c r="E110" s="4" t="s">
        <v>51</v>
      </c>
      <c r="F110" s="4" t="s">
        <v>67</v>
      </c>
      <c r="G110" s="4" t="s">
        <v>80</v>
      </c>
      <c r="H110" s="4" t="s">
        <v>329</v>
      </c>
      <c r="I110" s="4" t="s">
        <v>169</v>
      </c>
      <c r="J110" s="5">
        <v>461.71</v>
      </c>
      <c r="K110" s="3">
        <v>10</v>
      </c>
      <c r="L110" s="4" t="str">
        <f>IF(AND(J110&gt;350,K110&gt;6), "True","False")</f>
        <v>True</v>
      </c>
      <c r="M110" s="4" t="s">
        <v>83</v>
      </c>
      <c r="N110" s="3">
        <v>3</v>
      </c>
      <c r="O110" s="4" t="str" cm="1">
        <f t="array" ref="O110">_xlfn.IFS(P110&lt;=2,"Poor",P110=3,"Average",P110&gt;=4,"Good")</f>
        <v>Poor</v>
      </c>
      <c r="P110" s="3">
        <v>1</v>
      </c>
      <c r="Q110" s="2">
        <v>0</v>
      </c>
      <c r="R110" s="4" t="s">
        <v>59</v>
      </c>
      <c r="S110" s="4" t="s">
        <v>58</v>
      </c>
      <c r="T110" s="3">
        <v>0</v>
      </c>
      <c r="U110" s="4" t="str" cm="1">
        <f t="array" ref="U110">_xlfn.IFS(V110&lt;=4, "Dissatisfied",V110&lt;=7,"Neutral",V110&gt;=8,"Satisfied")</f>
        <v>Satisfied</v>
      </c>
      <c r="V110" s="3">
        <v>9</v>
      </c>
      <c r="W110" s="4" t="s">
        <v>72</v>
      </c>
      <c r="X110" s="4" t="s">
        <v>60</v>
      </c>
      <c r="Y110" s="4" t="s">
        <v>61</v>
      </c>
      <c r="Z110" s="1">
        <v>45338</v>
      </c>
      <c r="AA110" s="4" t="str" cm="1">
        <f t="array" ref="AA110">_xlfn.IFS(OR(AB110="December", AB110="February", AB110="January"), "Winter", OR(AB110="March", AB110="April", AB110="May"), "Spring", OR(AB110="June", AB110="July", AB110="August"), "Summer", TRUE, "Autumn")</f>
        <v>Winter</v>
      </c>
      <c r="AB110" s="7" t="str">
        <f>TEXT(Z110, "mmmm")</f>
        <v>February</v>
      </c>
      <c r="AC110" s="1" t="str">
        <f>TEXT(Z110, "dddd")</f>
        <v>Friday</v>
      </c>
      <c r="AD110" s="4" t="s">
        <v>76</v>
      </c>
      <c r="AE110" s="4" t="s">
        <v>76</v>
      </c>
      <c r="AF110" s="4" t="s">
        <v>87</v>
      </c>
      <c r="AG110" s="4" t="s">
        <v>64</v>
      </c>
      <c r="AH110" s="3">
        <v>11</v>
      </c>
    </row>
    <row r="111" spans="1:34">
      <c r="A111" s="4" t="s">
        <v>330</v>
      </c>
      <c r="B111" s="3">
        <v>23</v>
      </c>
      <c r="C111" s="9" t="str" cm="1">
        <f t="array" ref="C111">_xlfn.IFS(B111&gt;65,"+65",B111&gt;54,"55-65",B111&gt;44,"45-54",B111&gt;35,"36-44",B111&gt;25,"26-35",B111&gt;=18,"18-25")</f>
        <v>18-25</v>
      </c>
      <c r="D111" s="4" t="s">
        <v>66</v>
      </c>
      <c r="E111" s="4" t="s">
        <v>72</v>
      </c>
      <c r="F111" s="4" t="s">
        <v>52</v>
      </c>
      <c r="G111" s="4" t="s">
        <v>68</v>
      </c>
      <c r="H111" s="4" t="s">
        <v>331</v>
      </c>
      <c r="I111" s="4" t="s">
        <v>169</v>
      </c>
      <c r="J111" s="5">
        <v>391.87</v>
      </c>
      <c r="K111" s="3">
        <v>3</v>
      </c>
      <c r="L111" s="4" t="str">
        <f>IF(AND(J111&gt;350,K111&gt;6), "True","False")</f>
        <v>False</v>
      </c>
      <c r="M111" s="4" t="s">
        <v>56</v>
      </c>
      <c r="N111" s="3">
        <v>1</v>
      </c>
      <c r="O111" s="4" t="str" cm="1">
        <f t="array" ref="O111">_xlfn.IFS(P111&lt;=2,"Poor",P111=3,"Average",P111&gt;=4,"Good")</f>
        <v>Good</v>
      </c>
      <c r="P111" s="3">
        <v>4</v>
      </c>
      <c r="Q111" s="2">
        <v>2</v>
      </c>
      <c r="R111" s="4" t="s">
        <v>72</v>
      </c>
      <c r="S111" s="4" t="s">
        <v>73</v>
      </c>
      <c r="T111" s="3">
        <v>0</v>
      </c>
      <c r="U111" s="4" t="str" cm="1">
        <f t="array" ref="U111">_xlfn.IFS(V111&lt;=4, "Dissatisfied",V111&lt;=7,"Neutral",V111&gt;=8,"Satisfied")</f>
        <v>Dissatisfied</v>
      </c>
      <c r="V111" s="3">
        <v>2</v>
      </c>
      <c r="W111" s="4" t="s">
        <v>85</v>
      </c>
      <c r="X111" s="4" t="s">
        <v>101</v>
      </c>
      <c r="Y111" s="4" t="s">
        <v>61</v>
      </c>
      <c r="Z111" s="1">
        <v>45338</v>
      </c>
      <c r="AA111" s="4" t="str" cm="1">
        <f t="array" ref="AA111">_xlfn.IFS(OR(AB111="December", AB111="February", AB111="January"), "Winter", OR(AB111="March", AB111="April", AB111="May"), "Spring", OR(AB111="June", AB111="July", AB111="August"), "Summer", TRUE, "Autumn")</f>
        <v>Winter</v>
      </c>
      <c r="AB111" s="7" t="str">
        <f>TEXT(Z111, "mmmm")</f>
        <v>February</v>
      </c>
      <c r="AC111" s="1" t="str">
        <f>TEXT(Z111, "dddd")</f>
        <v>Friday</v>
      </c>
      <c r="AD111" s="4" t="s">
        <v>62</v>
      </c>
      <c r="AE111" s="4" t="s">
        <v>76</v>
      </c>
      <c r="AF111" s="4" t="s">
        <v>87</v>
      </c>
      <c r="AG111" s="4" t="s">
        <v>64</v>
      </c>
      <c r="AH111" s="3">
        <v>6</v>
      </c>
    </row>
    <row r="112" spans="1:34">
      <c r="A112" s="4" t="s">
        <v>332</v>
      </c>
      <c r="B112" s="3">
        <v>18</v>
      </c>
      <c r="C112" s="9" t="str" cm="1">
        <f t="array" ref="C112">_xlfn.IFS(B112&gt;65,"+65",B112&gt;54,"55-65",B112&gt;44,"45-54",B112&gt;35,"36-44",B112&gt;25,"26-35",B112&gt;=18,"18-25")</f>
        <v>18-25</v>
      </c>
      <c r="D112" s="4" t="s">
        <v>66</v>
      </c>
      <c r="E112" s="4" t="s">
        <v>72</v>
      </c>
      <c r="F112" s="4" t="s">
        <v>67</v>
      </c>
      <c r="G112" s="4" t="s">
        <v>53</v>
      </c>
      <c r="H112" s="4" t="s">
        <v>333</v>
      </c>
      <c r="I112" s="4" t="s">
        <v>234</v>
      </c>
      <c r="J112" s="5">
        <v>135.65</v>
      </c>
      <c r="K112" s="3">
        <v>8</v>
      </c>
      <c r="L112" s="4" t="str">
        <f>IF(AND(J112&gt;350,K112&gt;6), "True","False")</f>
        <v>False</v>
      </c>
      <c r="M112" s="4" t="s">
        <v>56</v>
      </c>
      <c r="N112" s="3">
        <v>4</v>
      </c>
      <c r="O112" s="4" t="str" cm="1">
        <f t="array" ref="O112">_xlfn.IFS(P112&lt;=2,"Poor",P112=3,"Average",P112&gt;=4,"Good")</f>
        <v>Poor</v>
      </c>
      <c r="P112" s="3">
        <v>1</v>
      </c>
      <c r="Q112" s="2">
        <v>1</v>
      </c>
      <c r="R112" s="4" t="s">
        <v>59</v>
      </c>
      <c r="S112" s="4" t="s">
        <v>73</v>
      </c>
      <c r="T112" s="3">
        <v>0</v>
      </c>
      <c r="U112" s="4" t="str" cm="1">
        <f t="array" ref="U112">_xlfn.IFS(V112&lt;=4, "Dissatisfied",V112&lt;=7,"Neutral",V112&gt;=8,"Satisfied")</f>
        <v>Satisfied</v>
      </c>
      <c r="V112" s="3">
        <v>9</v>
      </c>
      <c r="W112" s="4" t="s">
        <v>57</v>
      </c>
      <c r="X112" s="4" t="s">
        <v>101</v>
      </c>
      <c r="Y112" s="4" t="s">
        <v>111</v>
      </c>
      <c r="Z112" s="1">
        <v>45338</v>
      </c>
      <c r="AA112" s="4" t="str" cm="1">
        <f t="array" ref="AA112">_xlfn.IFS(OR(AB112="December", AB112="February", AB112="January"), "Winter", OR(AB112="March", AB112="April", AB112="May"), "Spring", OR(AB112="June", AB112="July", AB112="August"), "Summer", TRUE, "Autumn")</f>
        <v>Winter</v>
      </c>
      <c r="AB112" s="7" t="str">
        <f>TEXT(Z112, "mmmm")</f>
        <v>February</v>
      </c>
      <c r="AC112" s="1" t="str">
        <f>TEXT(Z112, "dddd")</f>
        <v>Friday</v>
      </c>
      <c r="AD112" s="4" t="s">
        <v>76</v>
      </c>
      <c r="AE112" s="4" t="s">
        <v>76</v>
      </c>
      <c r="AF112" s="4" t="s">
        <v>92</v>
      </c>
      <c r="AG112" s="4" t="s">
        <v>64</v>
      </c>
      <c r="AH112" s="3">
        <v>14</v>
      </c>
    </row>
    <row r="113" spans="1:34">
      <c r="A113" s="4" t="s">
        <v>334</v>
      </c>
      <c r="B113" s="3">
        <v>18</v>
      </c>
      <c r="C113" s="9" t="str" cm="1">
        <f t="array" ref="C113">_xlfn.IFS(B113&gt;65,"+65",B113&gt;54,"55-65",B113&gt;44,"45-54",B113&gt;35,"36-44",B113&gt;25,"26-35",B113&gt;=18,"18-25")</f>
        <v>18-25</v>
      </c>
      <c r="D113" s="4" t="s">
        <v>78</v>
      </c>
      <c r="E113" s="4" t="s">
        <v>72</v>
      </c>
      <c r="F113" s="4" t="s">
        <v>52</v>
      </c>
      <c r="G113" s="4" t="s">
        <v>68</v>
      </c>
      <c r="H113" s="4" t="s">
        <v>335</v>
      </c>
      <c r="I113" s="4" t="s">
        <v>156</v>
      </c>
      <c r="J113" s="5">
        <v>343.77</v>
      </c>
      <c r="K113" s="3">
        <v>6</v>
      </c>
      <c r="L113" s="4" t="str">
        <f>IF(AND(J113&gt;350,K113&gt;6), "True","False")</f>
        <v>False</v>
      </c>
      <c r="M113" s="4" t="s">
        <v>83</v>
      </c>
      <c r="N113" s="3">
        <v>5</v>
      </c>
      <c r="O113" s="4" t="str" cm="1">
        <f t="array" ref="O113">_xlfn.IFS(P113&lt;=2,"Poor",P113=3,"Average",P113&gt;=4,"Good")</f>
        <v>Good</v>
      </c>
      <c r="P113" s="3">
        <v>4</v>
      </c>
      <c r="Q113" s="2">
        <v>2</v>
      </c>
      <c r="R113" s="4" t="s">
        <v>57</v>
      </c>
      <c r="S113" s="4" t="s">
        <v>58</v>
      </c>
      <c r="T113" s="3">
        <v>2</v>
      </c>
      <c r="U113" s="4" t="str" cm="1">
        <f t="array" ref="U113">_xlfn.IFS(V113&lt;=4, "Dissatisfied",V113&lt;=7,"Neutral",V113&gt;=8,"Satisfied")</f>
        <v>Dissatisfied</v>
      </c>
      <c r="V113" s="3">
        <v>4</v>
      </c>
      <c r="W113" s="4" t="s">
        <v>85</v>
      </c>
      <c r="X113" s="4" t="s">
        <v>101</v>
      </c>
      <c r="Y113" s="4" t="s">
        <v>119</v>
      </c>
      <c r="Z113" s="1">
        <v>45338</v>
      </c>
      <c r="AA113" s="4" t="str" cm="1">
        <f t="array" ref="AA113">_xlfn.IFS(OR(AB113="December", AB113="February", AB113="January"), "Winter", OR(AB113="March", AB113="April", AB113="May"), "Spring", OR(AB113="June", AB113="July", AB113="August"), "Summer", TRUE, "Autumn")</f>
        <v>Winter</v>
      </c>
      <c r="AB113" s="7" t="str">
        <f>TEXT(Z113, "mmmm")</f>
        <v>February</v>
      </c>
      <c r="AC113" s="1" t="str">
        <f>TEXT(Z113, "dddd")</f>
        <v>Friday</v>
      </c>
      <c r="AD113" s="4" t="s">
        <v>62</v>
      </c>
      <c r="AE113" s="4" t="s">
        <v>76</v>
      </c>
      <c r="AF113" s="4" t="s">
        <v>92</v>
      </c>
      <c r="AG113" s="4" t="s">
        <v>88</v>
      </c>
      <c r="AH113" s="3">
        <v>3</v>
      </c>
    </row>
    <row r="114" spans="1:34">
      <c r="A114" s="4" t="s">
        <v>336</v>
      </c>
      <c r="B114" s="3">
        <v>44</v>
      </c>
      <c r="C114" s="9" t="str" cm="1">
        <f t="array" ref="C114">_xlfn.IFS(B114&gt;65,"+65",B114&gt;54,"55-65",B114&gt;44,"45-54",B114&gt;35,"36-44",B114&gt;25,"26-35",B114&gt;=18,"18-25")</f>
        <v>36-44</v>
      </c>
      <c r="D114" s="4" t="s">
        <v>78</v>
      </c>
      <c r="E114" s="4" t="s">
        <v>72</v>
      </c>
      <c r="F114" s="4" t="s">
        <v>67</v>
      </c>
      <c r="G114" s="4" t="s">
        <v>53</v>
      </c>
      <c r="H114" s="4" t="s">
        <v>337</v>
      </c>
      <c r="I114" s="4" t="s">
        <v>97</v>
      </c>
      <c r="J114" s="5">
        <v>405.7</v>
      </c>
      <c r="K114" s="3">
        <v>12</v>
      </c>
      <c r="L114" s="4" t="str">
        <f>IF(AND(J114&gt;350,K114&gt;6), "True","False")</f>
        <v>True</v>
      </c>
      <c r="M114" s="4" t="s">
        <v>56</v>
      </c>
      <c r="N114" s="3">
        <v>1</v>
      </c>
      <c r="O114" s="4" t="str" cm="1">
        <f t="array" ref="O114">_xlfn.IFS(P114&lt;=2,"Poor",P114=3,"Average",P114&gt;=4,"Good")</f>
        <v>Average</v>
      </c>
      <c r="P114" s="3">
        <v>3</v>
      </c>
      <c r="Q114" s="2">
        <v>1</v>
      </c>
      <c r="R114" s="4" t="s">
        <v>59</v>
      </c>
      <c r="S114" s="4" t="s">
        <v>73</v>
      </c>
      <c r="T114" s="3">
        <v>2</v>
      </c>
      <c r="U114" s="4" t="str" cm="1">
        <f t="array" ref="U114">_xlfn.IFS(V114&lt;=4, "Dissatisfied",V114&lt;=7,"Neutral",V114&gt;=8,"Satisfied")</f>
        <v>Satisfied</v>
      </c>
      <c r="V114" s="3">
        <v>10</v>
      </c>
      <c r="W114" s="4" t="s">
        <v>59</v>
      </c>
      <c r="X114" s="4" t="s">
        <v>74</v>
      </c>
      <c r="Y114" s="4" t="s">
        <v>119</v>
      </c>
      <c r="Z114" s="1">
        <v>45339</v>
      </c>
      <c r="AA114" s="4" t="str" cm="1">
        <f t="array" ref="AA114">_xlfn.IFS(OR(AB114="December", AB114="February", AB114="January"), "Winter", OR(AB114="March", AB114="April", AB114="May"), "Spring", OR(AB114="June", AB114="July", AB114="August"), "Summer", TRUE, "Autumn")</f>
        <v>Winter</v>
      </c>
      <c r="AB114" s="7" t="str">
        <f>TEXT(Z114, "mmmm")</f>
        <v>February</v>
      </c>
      <c r="AC114" s="1" t="str">
        <f>TEXT(Z114, "dddd")</f>
        <v>Saturday</v>
      </c>
      <c r="AD114" s="4" t="s">
        <v>62</v>
      </c>
      <c r="AE114" s="4" t="s">
        <v>62</v>
      </c>
      <c r="AF114" s="4" t="s">
        <v>102</v>
      </c>
      <c r="AG114" s="4" t="s">
        <v>64</v>
      </c>
      <c r="AH114" s="3">
        <v>14</v>
      </c>
    </row>
    <row r="115" spans="1:34">
      <c r="A115" s="4" t="s">
        <v>338</v>
      </c>
      <c r="B115" s="3">
        <v>27</v>
      </c>
      <c r="C115" s="9" t="str" cm="1">
        <f t="array" ref="C115">_xlfn.IFS(B115&gt;65,"+65",B115&gt;54,"55-65",B115&gt;44,"45-54",B115&gt;35,"36-44",B115&gt;25,"26-35",B115&gt;=18,"18-25")</f>
        <v>26-35</v>
      </c>
      <c r="D115" s="4" t="s">
        <v>78</v>
      </c>
      <c r="E115" s="4" t="s">
        <v>51</v>
      </c>
      <c r="F115" s="4" t="s">
        <v>67</v>
      </c>
      <c r="G115" s="4" t="s">
        <v>53</v>
      </c>
      <c r="H115" s="4" t="s">
        <v>339</v>
      </c>
      <c r="I115" s="4" t="s">
        <v>194</v>
      </c>
      <c r="J115" s="5">
        <v>354.92</v>
      </c>
      <c r="K115" s="3">
        <v>8</v>
      </c>
      <c r="L115" s="4" t="str">
        <f>IF(AND(J115&gt;350,K115&gt;6), "True","False")</f>
        <v>True</v>
      </c>
      <c r="M115" s="4" t="s">
        <v>83</v>
      </c>
      <c r="N115" s="3">
        <v>5</v>
      </c>
      <c r="O115" s="4" t="str" cm="1">
        <f t="array" ref="O115">_xlfn.IFS(P115&lt;=2,"Poor",P115=3,"Average",P115&gt;=4,"Good")</f>
        <v>Good</v>
      </c>
      <c r="P115" s="3">
        <v>4</v>
      </c>
      <c r="Q115" s="2">
        <v>0</v>
      </c>
      <c r="R115" s="4" t="s">
        <v>57</v>
      </c>
      <c r="S115" s="4" t="s">
        <v>84</v>
      </c>
      <c r="T115" s="3">
        <v>0</v>
      </c>
      <c r="U115" s="4" t="str" cm="1">
        <f t="array" ref="U115">_xlfn.IFS(V115&lt;=4, "Dissatisfied",V115&lt;=7,"Neutral",V115&gt;=8,"Satisfied")</f>
        <v>Dissatisfied</v>
      </c>
      <c r="V115" s="3">
        <v>1</v>
      </c>
      <c r="W115" s="4" t="s">
        <v>57</v>
      </c>
      <c r="X115" s="4" t="s">
        <v>74</v>
      </c>
      <c r="Y115" s="4" t="s">
        <v>75</v>
      </c>
      <c r="Z115" s="1">
        <v>45339</v>
      </c>
      <c r="AA115" s="4" t="str" cm="1">
        <f t="array" ref="AA115">_xlfn.IFS(OR(AB115="December", AB115="February", AB115="January"), "Winter", OR(AB115="March", AB115="April", AB115="May"), "Spring", OR(AB115="June", AB115="July", AB115="August"), "Summer", TRUE, "Autumn")</f>
        <v>Winter</v>
      </c>
      <c r="AB115" s="7" t="str">
        <f>TEXT(Z115, "mmmm")</f>
        <v>February</v>
      </c>
      <c r="AC115" s="1" t="str">
        <f>TEXT(Z115, "dddd")</f>
        <v>Saturday</v>
      </c>
      <c r="AD115" s="4" t="s">
        <v>62</v>
      </c>
      <c r="AE115" s="4" t="s">
        <v>62</v>
      </c>
      <c r="AF115" s="4" t="s">
        <v>102</v>
      </c>
      <c r="AG115" s="4" t="s">
        <v>93</v>
      </c>
      <c r="AH115" s="3">
        <v>13</v>
      </c>
    </row>
    <row r="116" spans="1:34">
      <c r="A116" s="4" t="s">
        <v>340</v>
      </c>
      <c r="B116" s="3">
        <v>39</v>
      </c>
      <c r="C116" s="9" t="str" cm="1">
        <f t="array" ref="C116">_xlfn.IFS(B116&gt;65,"+65",B116&gt;54,"55-65",B116&gt;44,"45-54",B116&gt;35,"36-44",B116&gt;25,"26-35",B116&gt;=18,"18-25")</f>
        <v>36-44</v>
      </c>
      <c r="D116" s="4" t="s">
        <v>66</v>
      </c>
      <c r="E116" s="4" t="s">
        <v>72</v>
      </c>
      <c r="F116" s="4" t="s">
        <v>95</v>
      </c>
      <c r="G116" s="4" t="s">
        <v>68</v>
      </c>
      <c r="H116" s="4" t="s">
        <v>341</v>
      </c>
      <c r="I116" s="4" t="s">
        <v>122</v>
      </c>
      <c r="J116" s="5">
        <v>319.66000000000003</v>
      </c>
      <c r="K116" s="3">
        <v>7</v>
      </c>
      <c r="L116" s="4" t="str">
        <f>IF(AND(J116&gt;350,K116&gt;6), "True","False")</f>
        <v>False</v>
      </c>
      <c r="M116" s="4" t="s">
        <v>83</v>
      </c>
      <c r="N116" s="3">
        <v>4</v>
      </c>
      <c r="O116" s="4" t="str" cm="1">
        <f t="array" ref="O116">_xlfn.IFS(P116&lt;=2,"Poor",P116=3,"Average",P116&gt;=4,"Good")</f>
        <v>Poor</v>
      </c>
      <c r="P116" s="3">
        <v>2</v>
      </c>
      <c r="Q116" s="2">
        <v>1</v>
      </c>
      <c r="R116" s="4" t="s">
        <v>72</v>
      </c>
      <c r="S116" s="4" t="s">
        <v>58</v>
      </c>
      <c r="T116" s="3">
        <v>1</v>
      </c>
      <c r="U116" s="4" t="str" cm="1">
        <f t="array" ref="U116">_xlfn.IFS(V116&lt;=4, "Dissatisfied",V116&lt;=7,"Neutral",V116&gt;=8,"Satisfied")</f>
        <v>Satisfied</v>
      </c>
      <c r="V116" s="3">
        <v>10</v>
      </c>
      <c r="W116" s="4" t="s">
        <v>57</v>
      </c>
      <c r="X116" s="4" t="s">
        <v>101</v>
      </c>
      <c r="Y116" s="4" t="s">
        <v>75</v>
      </c>
      <c r="Z116" s="1">
        <v>45340</v>
      </c>
      <c r="AA116" s="4" t="str" cm="1">
        <f t="array" ref="AA116">_xlfn.IFS(OR(AB116="December", AB116="February", AB116="January"), "Winter", OR(AB116="March", AB116="April", AB116="May"), "Spring", OR(AB116="June", AB116="July", AB116="August"), "Summer", TRUE, "Autumn")</f>
        <v>Winter</v>
      </c>
      <c r="AB116" s="7" t="str">
        <f>TEXT(Z116, "mmmm")</f>
        <v>February</v>
      </c>
      <c r="AC116" s="1" t="str">
        <f>TEXT(Z116, "dddd")</f>
        <v>Sunday</v>
      </c>
      <c r="AD116" s="4" t="s">
        <v>76</v>
      </c>
      <c r="AE116" s="4" t="s">
        <v>76</v>
      </c>
      <c r="AF116" s="4" t="s">
        <v>102</v>
      </c>
      <c r="AG116" s="4" t="s">
        <v>93</v>
      </c>
      <c r="AH116" s="3">
        <v>3</v>
      </c>
    </row>
    <row r="117" spans="1:34">
      <c r="A117" s="4" t="s">
        <v>342</v>
      </c>
      <c r="B117" s="3">
        <v>19</v>
      </c>
      <c r="C117" s="9" t="str" cm="1">
        <f t="array" ref="C117">_xlfn.IFS(B117&gt;65,"+65",B117&gt;54,"55-65",B117&gt;44,"45-54",B117&gt;35,"36-44",B117&gt;25,"26-35",B117&gt;=18,"18-25")</f>
        <v>18-25</v>
      </c>
      <c r="D117" s="4" t="s">
        <v>78</v>
      </c>
      <c r="E117" s="4" t="s">
        <v>51</v>
      </c>
      <c r="F117" s="4" t="s">
        <v>67</v>
      </c>
      <c r="G117" s="4" t="s">
        <v>53</v>
      </c>
      <c r="H117" s="4" t="s">
        <v>343</v>
      </c>
      <c r="I117" s="4" t="s">
        <v>156</v>
      </c>
      <c r="J117" s="5">
        <v>449.72</v>
      </c>
      <c r="K117" s="3">
        <v>3</v>
      </c>
      <c r="L117" s="4" t="str">
        <f>IF(AND(J117&gt;350,K117&gt;6), "True","False")</f>
        <v>False</v>
      </c>
      <c r="M117" s="4" t="s">
        <v>83</v>
      </c>
      <c r="N117" s="3">
        <v>3</v>
      </c>
      <c r="O117" s="4" t="str" cm="1">
        <f t="array" ref="O117">_xlfn.IFS(P117&lt;=2,"Poor",P117=3,"Average",P117&gt;=4,"Good")</f>
        <v>Average</v>
      </c>
      <c r="P117" s="3">
        <v>3</v>
      </c>
      <c r="Q117" s="2">
        <v>0</v>
      </c>
      <c r="R117" s="4" t="s">
        <v>72</v>
      </c>
      <c r="S117" s="4" t="s">
        <v>84</v>
      </c>
      <c r="T117" s="3">
        <v>1</v>
      </c>
      <c r="U117" s="4" t="str" cm="1">
        <f t="array" ref="U117">_xlfn.IFS(V117&lt;=4, "Dissatisfied",V117&lt;=7,"Neutral",V117&gt;=8,"Satisfied")</f>
        <v>Satisfied</v>
      </c>
      <c r="V117" s="3">
        <v>9</v>
      </c>
      <c r="W117" s="4" t="s">
        <v>57</v>
      </c>
      <c r="X117" s="4" t="s">
        <v>60</v>
      </c>
      <c r="Y117" s="4" t="s">
        <v>111</v>
      </c>
      <c r="Z117" s="1">
        <v>45340</v>
      </c>
      <c r="AA117" s="4" t="str" cm="1">
        <f t="array" ref="AA117">_xlfn.IFS(OR(AB117="December", AB117="February", AB117="January"), "Winter", OR(AB117="March", AB117="April", AB117="May"), "Spring", OR(AB117="June", AB117="July", AB117="August"), "Summer", TRUE, "Autumn")</f>
        <v>Winter</v>
      </c>
      <c r="AB117" s="7" t="str">
        <f>TEXT(Z117, "mmmm")</f>
        <v>February</v>
      </c>
      <c r="AC117" s="1" t="str">
        <f>TEXT(Z117, "dddd")</f>
        <v>Sunday</v>
      </c>
      <c r="AD117" s="4" t="s">
        <v>62</v>
      </c>
      <c r="AE117" s="4" t="s">
        <v>62</v>
      </c>
      <c r="AF117" s="4" t="s">
        <v>102</v>
      </c>
      <c r="AG117" s="4" t="s">
        <v>93</v>
      </c>
      <c r="AH117" s="3">
        <v>3</v>
      </c>
    </row>
    <row r="118" spans="1:34">
      <c r="A118" s="4" t="s">
        <v>344</v>
      </c>
      <c r="B118" s="3">
        <v>27</v>
      </c>
      <c r="C118" s="9" t="str" cm="1">
        <f t="array" ref="C118">_xlfn.IFS(B118&gt;65,"+65",B118&gt;54,"55-65",B118&gt;44,"45-54",B118&gt;35,"36-44",B118&gt;25,"26-35",B118&gt;=18,"18-25")</f>
        <v>26-35</v>
      </c>
      <c r="D118" s="4" t="s">
        <v>66</v>
      </c>
      <c r="E118" s="4" t="s">
        <v>72</v>
      </c>
      <c r="F118" s="4" t="s">
        <v>52</v>
      </c>
      <c r="G118" s="4" t="s">
        <v>68</v>
      </c>
      <c r="H118" s="4" t="s">
        <v>345</v>
      </c>
      <c r="I118" s="4" t="s">
        <v>82</v>
      </c>
      <c r="J118" s="5">
        <v>228.93</v>
      </c>
      <c r="K118" s="3">
        <v>7</v>
      </c>
      <c r="L118" s="4" t="str">
        <f>IF(AND(J118&gt;350,K118&gt;6), "True","False")</f>
        <v>False</v>
      </c>
      <c r="M118" s="4" t="s">
        <v>56</v>
      </c>
      <c r="N118" s="3">
        <v>1</v>
      </c>
      <c r="O118" s="4" t="str" cm="1">
        <f t="array" ref="O118">_xlfn.IFS(P118&lt;=2,"Poor",P118=3,"Average",P118&gt;=4,"Good")</f>
        <v>Poor</v>
      </c>
      <c r="P118" s="3">
        <v>1</v>
      </c>
      <c r="Q118" s="2">
        <v>2</v>
      </c>
      <c r="R118" s="4" t="s">
        <v>59</v>
      </c>
      <c r="S118" s="4" t="s">
        <v>58</v>
      </c>
      <c r="T118" s="3">
        <v>2</v>
      </c>
      <c r="U118" s="4" t="str" cm="1">
        <f t="array" ref="U118">_xlfn.IFS(V118&lt;=4, "Dissatisfied",V118&lt;=7,"Neutral",V118&gt;=8,"Satisfied")</f>
        <v>Dissatisfied</v>
      </c>
      <c r="V118" s="3">
        <v>2</v>
      </c>
      <c r="W118" s="4" t="s">
        <v>85</v>
      </c>
      <c r="X118" s="4" t="s">
        <v>101</v>
      </c>
      <c r="Y118" s="4" t="s">
        <v>86</v>
      </c>
      <c r="Z118" s="1">
        <v>45341</v>
      </c>
      <c r="AA118" s="4" t="str" cm="1">
        <f t="array" ref="AA118">_xlfn.IFS(OR(AB118="December", AB118="February", AB118="January"), "Winter", OR(AB118="March", AB118="April", AB118="May"), "Spring", OR(AB118="June", AB118="July", AB118="August"), "Summer", TRUE, "Autumn")</f>
        <v>Winter</v>
      </c>
      <c r="AB118" s="7" t="str">
        <f>TEXT(Z118, "mmmm")</f>
        <v>February</v>
      </c>
      <c r="AC118" s="1" t="str">
        <f>TEXT(Z118, "dddd")</f>
        <v>Monday</v>
      </c>
      <c r="AD118" s="4" t="s">
        <v>62</v>
      </c>
      <c r="AE118" s="4" t="s">
        <v>62</v>
      </c>
      <c r="AF118" s="4" t="s">
        <v>92</v>
      </c>
      <c r="AG118" s="4" t="s">
        <v>93</v>
      </c>
      <c r="AH118" s="3">
        <v>11</v>
      </c>
    </row>
    <row r="119" spans="1:34">
      <c r="A119" s="4" t="s">
        <v>346</v>
      </c>
      <c r="B119" s="3">
        <v>20</v>
      </c>
      <c r="C119" s="9" t="str" cm="1">
        <f t="array" ref="C119">_xlfn.IFS(B119&gt;65,"+65",B119&gt;54,"55-65",B119&gt;44,"45-54",B119&gt;35,"36-44",B119&gt;25,"26-35",B119&gt;=18,"18-25")</f>
        <v>18-25</v>
      </c>
      <c r="D119" s="4" t="s">
        <v>66</v>
      </c>
      <c r="E119" s="4" t="s">
        <v>72</v>
      </c>
      <c r="F119" s="4" t="s">
        <v>79</v>
      </c>
      <c r="G119" s="4" t="s">
        <v>80</v>
      </c>
      <c r="H119" s="4" t="s">
        <v>347</v>
      </c>
      <c r="I119" s="4" t="s">
        <v>194</v>
      </c>
      <c r="J119" s="5">
        <v>352.87</v>
      </c>
      <c r="K119" s="3">
        <v>11</v>
      </c>
      <c r="L119" s="4" t="str">
        <f>IF(AND(J119&gt;350,K119&gt;6), "True","False")</f>
        <v>True</v>
      </c>
      <c r="M119" s="4" t="s">
        <v>71</v>
      </c>
      <c r="N119" s="3">
        <v>5</v>
      </c>
      <c r="O119" s="4" t="str" cm="1">
        <f t="array" ref="O119">_xlfn.IFS(P119&lt;=2,"Poor",P119=3,"Average",P119&gt;=4,"Good")</f>
        <v>Average</v>
      </c>
      <c r="P119" s="3">
        <v>3</v>
      </c>
      <c r="Q119" s="2">
        <v>0</v>
      </c>
      <c r="R119" s="4" t="s">
        <v>72</v>
      </c>
      <c r="S119" s="4" t="s">
        <v>58</v>
      </c>
      <c r="T119" s="3">
        <v>0</v>
      </c>
      <c r="U119" s="4" t="str" cm="1">
        <f t="array" ref="U119">_xlfn.IFS(V119&lt;=4, "Dissatisfied",V119&lt;=7,"Neutral",V119&gt;=8,"Satisfied")</f>
        <v>Neutral</v>
      </c>
      <c r="V119" s="3">
        <v>6</v>
      </c>
      <c r="W119" s="4" t="s">
        <v>72</v>
      </c>
      <c r="X119" s="4" t="s">
        <v>74</v>
      </c>
      <c r="Y119" s="4" t="s">
        <v>86</v>
      </c>
      <c r="Z119" s="1">
        <v>45341</v>
      </c>
      <c r="AA119" s="4" t="str" cm="1">
        <f t="array" ref="AA119">_xlfn.IFS(OR(AB119="December", AB119="February", AB119="January"), "Winter", OR(AB119="March", AB119="April", AB119="May"), "Spring", OR(AB119="June", AB119="July", AB119="August"), "Summer", TRUE, "Autumn")</f>
        <v>Winter</v>
      </c>
      <c r="AB119" s="7" t="str">
        <f>TEXT(Z119, "mmmm")</f>
        <v>February</v>
      </c>
      <c r="AC119" s="1" t="str">
        <f>TEXT(Z119, "dddd")</f>
        <v>Monday</v>
      </c>
      <c r="AD119" s="4" t="s">
        <v>76</v>
      </c>
      <c r="AE119" s="4" t="s">
        <v>76</v>
      </c>
      <c r="AF119" s="4" t="s">
        <v>102</v>
      </c>
      <c r="AG119" s="4" t="s">
        <v>64</v>
      </c>
      <c r="AH119" s="3">
        <v>12</v>
      </c>
    </row>
    <row r="120" spans="1:34">
      <c r="A120" s="4" t="s">
        <v>348</v>
      </c>
      <c r="B120" s="3">
        <v>41</v>
      </c>
      <c r="C120" s="9" t="str" cm="1">
        <f t="array" ref="C120">_xlfn.IFS(B120&gt;65,"+65",B120&gt;54,"55-65",B120&gt;44,"45-54",B120&gt;35,"36-44",B120&gt;25,"26-35",B120&gt;=18,"18-25")</f>
        <v>36-44</v>
      </c>
      <c r="D120" s="4" t="s">
        <v>66</v>
      </c>
      <c r="E120" s="4" t="s">
        <v>72</v>
      </c>
      <c r="F120" s="4" t="s">
        <v>79</v>
      </c>
      <c r="G120" s="4" t="s">
        <v>80</v>
      </c>
      <c r="H120" s="4" t="s">
        <v>349</v>
      </c>
      <c r="I120" s="4" t="s">
        <v>275</v>
      </c>
      <c r="J120" s="5">
        <v>186.85</v>
      </c>
      <c r="K120" s="3">
        <v>2</v>
      </c>
      <c r="L120" s="4" t="str">
        <f>IF(AND(J120&gt;350,K120&gt;6), "True","False")</f>
        <v>False</v>
      </c>
      <c r="M120" s="4" t="s">
        <v>56</v>
      </c>
      <c r="N120" s="3">
        <v>3</v>
      </c>
      <c r="O120" s="4" t="str" cm="1">
        <f t="array" ref="O120">_xlfn.IFS(P120&lt;=2,"Poor",P120=3,"Average",P120&gt;=4,"Good")</f>
        <v>Poor</v>
      </c>
      <c r="P120" s="3">
        <v>1</v>
      </c>
      <c r="Q120" s="2">
        <v>2</v>
      </c>
      <c r="R120" s="4" t="s">
        <v>72</v>
      </c>
      <c r="S120" s="4" t="s">
        <v>58</v>
      </c>
      <c r="T120" s="3">
        <v>2</v>
      </c>
      <c r="U120" s="4" t="str" cm="1">
        <f t="array" ref="U120">_xlfn.IFS(V120&lt;=4, "Dissatisfied",V120&lt;=7,"Neutral",V120&gt;=8,"Satisfied")</f>
        <v>Satisfied</v>
      </c>
      <c r="V120" s="3">
        <v>8</v>
      </c>
      <c r="W120" s="4" t="s">
        <v>59</v>
      </c>
      <c r="X120" s="4" t="s">
        <v>60</v>
      </c>
      <c r="Y120" s="4" t="s">
        <v>111</v>
      </c>
      <c r="Z120" s="1">
        <v>45342</v>
      </c>
      <c r="AA120" s="4" t="str" cm="1">
        <f t="array" ref="AA120">_xlfn.IFS(OR(AB120="December", AB120="February", AB120="January"), "Winter", OR(AB120="March", AB120="April", AB120="May"), "Spring", OR(AB120="June", AB120="July", AB120="August"), "Summer", TRUE, "Autumn")</f>
        <v>Winter</v>
      </c>
      <c r="AB120" s="7" t="str">
        <f>TEXT(Z120, "mmmm")</f>
        <v>February</v>
      </c>
      <c r="AC120" s="1" t="str">
        <f>TEXT(Z120, "dddd")</f>
        <v>Tuesday</v>
      </c>
      <c r="AD120" s="4" t="s">
        <v>62</v>
      </c>
      <c r="AE120" s="4" t="s">
        <v>76</v>
      </c>
      <c r="AF120" s="4" t="s">
        <v>92</v>
      </c>
      <c r="AG120" s="4" t="s">
        <v>93</v>
      </c>
      <c r="AH120" s="3">
        <v>12</v>
      </c>
    </row>
    <row r="121" spans="1:34">
      <c r="A121" s="4" t="s">
        <v>350</v>
      </c>
      <c r="B121" s="3">
        <v>45</v>
      </c>
      <c r="C121" s="9" t="str" cm="1">
        <f t="array" ref="C121">_xlfn.IFS(B121&gt;65,"+65",B121&gt;54,"55-65",B121&gt;44,"45-54",B121&gt;35,"36-44",B121&gt;25,"26-35",B121&gt;=18,"18-25")</f>
        <v>45-54</v>
      </c>
      <c r="D121" s="4" t="s">
        <v>78</v>
      </c>
      <c r="E121" s="4" t="s">
        <v>72</v>
      </c>
      <c r="F121" s="4" t="s">
        <v>95</v>
      </c>
      <c r="G121" s="4" t="s">
        <v>53</v>
      </c>
      <c r="H121" s="4" t="s">
        <v>351</v>
      </c>
      <c r="I121" s="4" t="s">
        <v>105</v>
      </c>
      <c r="J121" s="5">
        <v>138.44</v>
      </c>
      <c r="K121" s="3">
        <v>4</v>
      </c>
      <c r="L121" s="4" t="str">
        <f>IF(AND(J121&gt;350,K121&gt;6), "True","False")</f>
        <v>False</v>
      </c>
      <c r="M121" s="4" t="s">
        <v>83</v>
      </c>
      <c r="N121" s="3">
        <v>5</v>
      </c>
      <c r="O121" s="4" t="str" cm="1">
        <f t="array" ref="O121">_xlfn.IFS(P121&lt;=2,"Poor",P121=3,"Average",P121&gt;=4,"Good")</f>
        <v>Poor</v>
      </c>
      <c r="P121" s="3">
        <v>1</v>
      </c>
      <c r="Q121" s="2">
        <v>1</v>
      </c>
      <c r="R121" s="4" t="s">
        <v>57</v>
      </c>
      <c r="S121" s="4" t="s">
        <v>73</v>
      </c>
      <c r="T121" s="3">
        <v>1</v>
      </c>
      <c r="U121" s="4" t="str" cm="1">
        <f t="array" ref="U121">_xlfn.IFS(V121&lt;=4, "Dissatisfied",V121&lt;=7,"Neutral",V121&gt;=8,"Satisfied")</f>
        <v>Dissatisfied</v>
      </c>
      <c r="V121" s="3">
        <v>2</v>
      </c>
      <c r="W121" s="4" t="s">
        <v>57</v>
      </c>
      <c r="X121" s="4" t="s">
        <v>60</v>
      </c>
      <c r="Y121" s="4" t="s">
        <v>61</v>
      </c>
      <c r="Z121" s="1">
        <v>45344</v>
      </c>
      <c r="AA121" s="4" t="str" cm="1">
        <f t="array" ref="AA121">_xlfn.IFS(OR(AB121="December", AB121="February", AB121="January"), "Winter", OR(AB121="March", AB121="April", AB121="May"), "Spring", OR(AB121="June", AB121="July", AB121="August"), "Summer", TRUE, "Autumn")</f>
        <v>Winter</v>
      </c>
      <c r="AB121" s="7" t="str">
        <f>TEXT(Z121, "mmmm")</f>
        <v>February</v>
      </c>
      <c r="AC121" s="1" t="str">
        <f>TEXT(Z121, "dddd")</f>
        <v>Thursday</v>
      </c>
      <c r="AD121" s="4" t="s">
        <v>76</v>
      </c>
      <c r="AE121" s="4" t="s">
        <v>62</v>
      </c>
      <c r="AF121" s="4" t="s">
        <v>102</v>
      </c>
      <c r="AG121" s="4" t="s">
        <v>93</v>
      </c>
      <c r="AH121" s="3">
        <v>1</v>
      </c>
    </row>
    <row r="122" spans="1:34">
      <c r="A122" s="4" t="s">
        <v>352</v>
      </c>
      <c r="B122" s="3">
        <v>45</v>
      </c>
      <c r="C122" s="9" t="str" cm="1">
        <f t="array" ref="C122">_xlfn.IFS(B122&gt;65,"+65",B122&gt;54,"55-65",B122&gt;44,"45-54",B122&gt;35,"36-44",B122&gt;25,"26-35",B122&gt;=18,"18-25")</f>
        <v>45-54</v>
      </c>
      <c r="D122" s="4" t="s">
        <v>78</v>
      </c>
      <c r="E122" s="4" t="s">
        <v>51</v>
      </c>
      <c r="F122" s="4" t="s">
        <v>52</v>
      </c>
      <c r="G122" s="4" t="s">
        <v>68</v>
      </c>
      <c r="H122" s="4" t="s">
        <v>353</v>
      </c>
      <c r="I122" s="4" t="s">
        <v>105</v>
      </c>
      <c r="J122" s="5">
        <v>343.81</v>
      </c>
      <c r="K122" s="3">
        <v>3</v>
      </c>
      <c r="L122" s="4" t="str">
        <f>IF(AND(J122&gt;350,K122&gt;6), "True","False")</f>
        <v>False</v>
      </c>
      <c r="M122" s="4" t="s">
        <v>71</v>
      </c>
      <c r="N122" s="3">
        <v>3</v>
      </c>
      <c r="O122" s="4" t="str" cm="1">
        <f t="array" ref="O122">_xlfn.IFS(P122&lt;=2,"Poor",P122=3,"Average",P122&gt;=4,"Good")</f>
        <v>Good</v>
      </c>
      <c r="P122" s="3">
        <v>5</v>
      </c>
      <c r="Q122" s="2">
        <v>0</v>
      </c>
      <c r="R122" s="4" t="s">
        <v>72</v>
      </c>
      <c r="S122" s="4" t="s">
        <v>84</v>
      </c>
      <c r="T122" s="3">
        <v>0</v>
      </c>
      <c r="U122" s="4" t="str" cm="1">
        <f t="array" ref="U122">_xlfn.IFS(V122&lt;=4, "Dissatisfied",V122&lt;=7,"Neutral",V122&gt;=8,"Satisfied")</f>
        <v>Neutral</v>
      </c>
      <c r="V122" s="3">
        <v>7</v>
      </c>
      <c r="W122" s="4" t="s">
        <v>85</v>
      </c>
      <c r="X122" s="4" t="s">
        <v>101</v>
      </c>
      <c r="Y122" s="4" t="s">
        <v>119</v>
      </c>
      <c r="Z122" s="1">
        <v>45344</v>
      </c>
      <c r="AA122" s="4" t="str" cm="1">
        <f t="array" ref="AA122">_xlfn.IFS(OR(AB122="December", AB122="February", AB122="January"), "Winter", OR(AB122="March", AB122="April", AB122="May"), "Spring", OR(AB122="June", AB122="July", AB122="August"), "Summer", TRUE, "Autumn")</f>
        <v>Winter</v>
      </c>
      <c r="AB122" s="7" t="str">
        <f>TEXT(Z122, "mmmm")</f>
        <v>February</v>
      </c>
      <c r="AC122" s="1" t="str">
        <f>TEXT(Z122, "dddd")</f>
        <v>Thursday</v>
      </c>
      <c r="AD122" s="4" t="s">
        <v>76</v>
      </c>
      <c r="AE122" s="4" t="s">
        <v>62</v>
      </c>
      <c r="AF122" s="4" t="s">
        <v>63</v>
      </c>
      <c r="AG122" s="4" t="s">
        <v>64</v>
      </c>
      <c r="AH122" s="3">
        <v>3</v>
      </c>
    </row>
    <row r="123" spans="1:34">
      <c r="A123" s="4" t="s">
        <v>354</v>
      </c>
      <c r="B123" s="3">
        <v>33</v>
      </c>
      <c r="C123" s="9" t="str" cm="1">
        <f t="array" ref="C123">_xlfn.IFS(B123&gt;65,"+65",B123&gt;54,"55-65",B123&gt;44,"45-54",B123&gt;35,"36-44",B123&gt;25,"26-35",B123&gt;=18,"18-25")</f>
        <v>26-35</v>
      </c>
      <c r="D123" s="4" t="s">
        <v>66</v>
      </c>
      <c r="E123" s="4" t="s">
        <v>51</v>
      </c>
      <c r="F123" s="4" t="s">
        <v>95</v>
      </c>
      <c r="G123" s="4" t="s">
        <v>68</v>
      </c>
      <c r="H123" s="4" t="s">
        <v>355</v>
      </c>
      <c r="I123" s="4" t="s">
        <v>223</v>
      </c>
      <c r="J123" s="5">
        <v>143.80000000000001</v>
      </c>
      <c r="K123" s="3">
        <v>9</v>
      </c>
      <c r="L123" s="4" t="str">
        <f>IF(AND(J123&gt;350,K123&gt;6), "True","False")</f>
        <v>False</v>
      </c>
      <c r="M123" s="4" t="s">
        <v>71</v>
      </c>
      <c r="N123" s="3">
        <v>2</v>
      </c>
      <c r="O123" s="4" t="str" cm="1">
        <f t="array" ref="O123">_xlfn.IFS(P123&lt;=2,"Poor",P123=3,"Average",P123&gt;=4,"Good")</f>
        <v>Poor</v>
      </c>
      <c r="P123" s="3">
        <v>2</v>
      </c>
      <c r="Q123" s="2">
        <v>2</v>
      </c>
      <c r="R123" s="4" t="s">
        <v>59</v>
      </c>
      <c r="S123" s="4" t="s">
        <v>84</v>
      </c>
      <c r="T123" s="3">
        <v>0</v>
      </c>
      <c r="U123" s="4" t="str" cm="1">
        <f t="array" ref="U123">_xlfn.IFS(V123&lt;=4, "Dissatisfied",V123&lt;=7,"Neutral",V123&gt;=8,"Satisfied")</f>
        <v>Neutral</v>
      </c>
      <c r="V123" s="3">
        <v>7</v>
      </c>
      <c r="W123" s="4" t="s">
        <v>57</v>
      </c>
      <c r="X123" s="4" t="s">
        <v>74</v>
      </c>
      <c r="Y123" s="4" t="s">
        <v>75</v>
      </c>
      <c r="Z123" s="1">
        <v>45344</v>
      </c>
      <c r="AA123" s="4" t="str" cm="1">
        <f t="array" ref="AA123">_xlfn.IFS(OR(AB123="December", AB123="February", AB123="January"), "Winter", OR(AB123="March", AB123="April", AB123="May"), "Spring", OR(AB123="June", AB123="July", AB123="August"), "Summer", TRUE, "Autumn")</f>
        <v>Winter</v>
      </c>
      <c r="AB123" s="7" t="str">
        <f>TEXT(Z123, "mmmm")</f>
        <v>February</v>
      </c>
      <c r="AC123" s="1" t="str">
        <f>TEXT(Z123, "dddd")</f>
        <v>Thursday</v>
      </c>
      <c r="AD123" s="4" t="s">
        <v>62</v>
      </c>
      <c r="AE123" s="4" t="s">
        <v>76</v>
      </c>
      <c r="AF123" s="4" t="s">
        <v>102</v>
      </c>
      <c r="AG123" s="4" t="s">
        <v>88</v>
      </c>
      <c r="AH123" s="3">
        <v>11</v>
      </c>
    </row>
    <row r="124" spans="1:34">
      <c r="A124" s="4" t="s">
        <v>356</v>
      </c>
      <c r="B124" s="3">
        <v>40</v>
      </c>
      <c r="C124" s="9" t="str" cm="1">
        <f t="array" ref="C124">_xlfn.IFS(B124&gt;65,"+65",B124&gt;54,"55-65",B124&gt;44,"45-54",B124&gt;35,"36-44",B124&gt;25,"26-35",B124&gt;=18,"18-25")</f>
        <v>36-44</v>
      </c>
      <c r="D124" s="4" t="s">
        <v>66</v>
      </c>
      <c r="E124" s="4" t="s">
        <v>72</v>
      </c>
      <c r="F124" s="4" t="s">
        <v>67</v>
      </c>
      <c r="G124" s="4" t="s">
        <v>68</v>
      </c>
      <c r="H124" s="4" t="s">
        <v>357</v>
      </c>
      <c r="I124" s="4" t="s">
        <v>82</v>
      </c>
      <c r="J124" s="5">
        <v>127.66</v>
      </c>
      <c r="K124" s="3">
        <v>11</v>
      </c>
      <c r="L124" s="4" t="str">
        <f>IF(AND(J124&gt;350,K124&gt;6), "True","False")</f>
        <v>False</v>
      </c>
      <c r="M124" s="4" t="s">
        <v>56</v>
      </c>
      <c r="N124" s="3">
        <v>1</v>
      </c>
      <c r="O124" s="4" t="str" cm="1">
        <f t="array" ref="O124">_xlfn.IFS(P124&lt;=2,"Poor",P124=3,"Average",P124&gt;=4,"Good")</f>
        <v>Poor</v>
      </c>
      <c r="P124" s="3">
        <v>2</v>
      </c>
      <c r="Q124" s="2">
        <v>2</v>
      </c>
      <c r="R124" s="4" t="s">
        <v>59</v>
      </c>
      <c r="S124" s="4" t="s">
        <v>58</v>
      </c>
      <c r="T124" s="3">
        <v>2</v>
      </c>
      <c r="U124" s="4" t="str" cm="1">
        <f t="array" ref="U124">_xlfn.IFS(V124&lt;=4, "Dissatisfied",V124&lt;=7,"Neutral",V124&gt;=8,"Satisfied")</f>
        <v>Neutral</v>
      </c>
      <c r="V124" s="3">
        <v>7</v>
      </c>
      <c r="W124" s="4" t="s">
        <v>57</v>
      </c>
      <c r="X124" s="4" t="s">
        <v>60</v>
      </c>
      <c r="Y124" s="4" t="s">
        <v>119</v>
      </c>
      <c r="Z124" s="1">
        <v>45345</v>
      </c>
      <c r="AA124" s="4" t="str" cm="1">
        <f t="array" ref="AA124">_xlfn.IFS(OR(AB124="December", AB124="February", AB124="January"), "Winter", OR(AB124="March", AB124="April", AB124="May"), "Spring", OR(AB124="June", AB124="July", AB124="August"), "Summer", TRUE, "Autumn")</f>
        <v>Winter</v>
      </c>
      <c r="AB124" s="7" t="str">
        <f>TEXT(Z124, "mmmm")</f>
        <v>February</v>
      </c>
      <c r="AC124" s="1" t="str">
        <f>TEXT(Z124, "dddd")</f>
        <v>Friday</v>
      </c>
      <c r="AD124" s="4" t="s">
        <v>76</v>
      </c>
      <c r="AE124" s="4" t="s">
        <v>62</v>
      </c>
      <c r="AF124" s="4" t="s">
        <v>87</v>
      </c>
      <c r="AG124" s="4" t="s">
        <v>64</v>
      </c>
      <c r="AH124" s="3">
        <v>7</v>
      </c>
    </row>
    <row r="125" spans="1:34">
      <c r="A125" s="4" t="s">
        <v>358</v>
      </c>
      <c r="B125" s="3">
        <v>50</v>
      </c>
      <c r="C125" s="9" t="str" cm="1">
        <f t="array" ref="C125">_xlfn.IFS(B125&gt;65,"+65",B125&gt;54,"55-65",B125&gt;44,"45-54",B125&gt;35,"36-44",B125&gt;25,"26-35",B125&gt;=18,"18-25")</f>
        <v>45-54</v>
      </c>
      <c r="D125" s="4" t="s">
        <v>66</v>
      </c>
      <c r="E125" s="4" t="s">
        <v>51</v>
      </c>
      <c r="F125" s="4" t="s">
        <v>67</v>
      </c>
      <c r="G125" s="4" t="s">
        <v>80</v>
      </c>
      <c r="H125" s="4" t="s">
        <v>359</v>
      </c>
      <c r="I125" s="4" t="s">
        <v>151</v>
      </c>
      <c r="J125" s="5">
        <v>83.88</v>
      </c>
      <c r="K125" s="3">
        <v>11</v>
      </c>
      <c r="L125" s="4" t="str">
        <f>IF(AND(J125&gt;350,K125&gt;6), "True","False")</f>
        <v>False</v>
      </c>
      <c r="M125" s="4" t="s">
        <v>56</v>
      </c>
      <c r="N125" s="3">
        <v>4</v>
      </c>
      <c r="O125" s="4" t="str" cm="1">
        <f t="array" ref="O125">_xlfn.IFS(P125&lt;=2,"Poor",P125=3,"Average",P125&gt;=4,"Good")</f>
        <v>Poor</v>
      </c>
      <c r="P125" s="3">
        <v>2</v>
      </c>
      <c r="Q125" s="2">
        <v>1</v>
      </c>
      <c r="R125" s="4" t="s">
        <v>85</v>
      </c>
      <c r="S125" s="4" t="s">
        <v>58</v>
      </c>
      <c r="T125" s="3">
        <v>0</v>
      </c>
      <c r="U125" s="4" t="str" cm="1">
        <f t="array" ref="U125">_xlfn.IFS(V125&lt;=4, "Dissatisfied",V125&lt;=7,"Neutral",V125&gt;=8,"Satisfied")</f>
        <v>Neutral</v>
      </c>
      <c r="V125" s="3">
        <v>6</v>
      </c>
      <c r="W125" s="4" t="s">
        <v>59</v>
      </c>
      <c r="X125" s="4" t="s">
        <v>101</v>
      </c>
      <c r="Y125" s="4" t="s">
        <v>111</v>
      </c>
      <c r="Z125" s="1">
        <v>45346</v>
      </c>
      <c r="AA125" s="4" t="str" cm="1">
        <f t="array" ref="AA125">_xlfn.IFS(OR(AB125="December", AB125="February", AB125="January"), "Winter", OR(AB125="March", AB125="April", AB125="May"), "Spring", OR(AB125="June", AB125="July", AB125="August"), "Summer", TRUE, "Autumn")</f>
        <v>Winter</v>
      </c>
      <c r="AB125" s="7" t="str">
        <f>TEXT(Z125, "mmmm")</f>
        <v>February</v>
      </c>
      <c r="AC125" s="1" t="str">
        <f>TEXT(Z125, "dddd")</f>
        <v>Saturday</v>
      </c>
      <c r="AD125" s="4" t="s">
        <v>62</v>
      </c>
      <c r="AE125" s="4" t="s">
        <v>62</v>
      </c>
      <c r="AF125" s="4" t="s">
        <v>87</v>
      </c>
      <c r="AG125" s="4" t="s">
        <v>93</v>
      </c>
      <c r="AH125" s="3">
        <v>4</v>
      </c>
    </row>
    <row r="126" spans="1:34">
      <c r="A126" s="4" t="s">
        <v>360</v>
      </c>
      <c r="B126" s="3">
        <v>44</v>
      </c>
      <c r="C126" s="9" t="str" cm="1">
        <f t="array" ref="C126">_xlfn.IFS(B126&gt;65,"+65",B126&gt;54,"55-65",B126&gt;44,"45-54",B126&gt;35,"36-44",B126&gt;25,"26-35",B126&gt;=18,"18-25")</f>
        <v>36-44</v>
      </c>
      <c r="D126" s="4" t="s">
        <v>78</v>
      </c>
      <c r="E126" s="4" t="s">
        <v>51</v>
      </c>
      <c r="F126" s="4" t="s">
        <v>95</v>
      </c>
      <c r="G126" s="4" t="s">
        <v>53</v>
      </c>
      <c r="H126" s="4" t="s">
        <v>361</v>
      </c>
      <c r="I126" s="4" t="s">
        <v>223</v>
      </c>
      <c r="J126" s="5">
        <v>82.39</v>
      </c>
      <c r="K126" s="3">
        <v>12</v>
      </c>
      <c r="L126" s="4" t="str">
        <f>IF(AND(J126&gt;350,K126&gt;6), "True","False")</f>
        <v>False</v>
      </c>
      <c r="M126" s="4" t="s">
        <v>71</v>
      </c>
      <c r="N126" s="3">
        <v>5</v>
      </c>
      <c r="O126" s="4" t="str" cm="1">
        <f t="array" ref="O126">_xlfn.IFS(P126&lt;=2,"Poor",P126=3,"Average",P126&gt;=4,"Good")</f>
        <v>Poor</v>
      </c>
      <c r="P126" s="3">
        <v>1</v>
      </c>
      <c r="Q126" s="2">
        <v>1</v>
      </c>
      <c r="R126" s="4" t="s">
        <v>57</v>
      </c>
      <c r="S126" s="4" t="s">
        <v>84</v>
      </c>
      <c r="T126" s="3">
        <v>0</v>
      </c>
      <c r="U126" s="4" t="str" cm="1">
        <f t="array" ref="U126">_xlfn.IFS(V126&lt;=4, "Dissatisfied",V126&lt;=7,"Neutral",V126&gt;=8,"Satisfied")</f>
        <v>Satisfied</v>
      </c>
      <c r="V126" s="3">
        <v>8</v>
      </c>
      <c r="W126" s="4" t="s">
        <v>57</v>
      </c>
      <c r="X126" s="4" t="s">
        <v>60</v>
      </c>
      <c r="Y126" s="4" t="s">
        <v>111</v>
      </c>
      <c r="Z126" s="1">
        <v>45346</v>
      </c>
      <c r="AA126" s="4" t="str" cm="1">
        <f t="array" ref="AA126">_xlfn.IFS(OR(AB126="December", AB126="February", AB126="January"), "Winter", OR(AB126="March", AB126="April", AB126="May"), "Spring", OR(AB126="June", AB126="July", AB126="August"), "Summer", TRUE, "Autumn")</f>
        <v>Winter</v>
      </c>
      <c r="AB126" s="7" t="str">
        <f>TEXT(Z126, "mmmm")</f>
        <v>February</v>
      </c>
      <c r="AC126" s="1" t="str">
        <f>TEXT(Z126, "dddd")</f>
        <v>Saturday</v>
      </c>
      <c r="AD126" s="4" t="s">
        <v>76</v>
      </c>
      <c r="AE126" s="4" t="s">
        <v>76</v>
      </c>
      <c r="AF126" s="4" t="s">
        <v>87</v>
      </c>
      <c r="AG126" s="4" t="s">
        <v>93</v>
      </c>
      <c r="AH126" s="3">
        <v>1</v>
      </c>
    </row>
    <row r="127" spans="1:34">
      <c r="A127" s="4" t="s">
        <v>362</v>
      </c>
      <c r="B127" s="3">
        <v>34</v>
      </c>
      <c r="C127" s="9" t="str" cm="1">
        <f t="array" ref="C127">_xlfn.IFS(B127&gt;65,"+65",B127&gt;54,"55-65",B127&gt;44,"45-54",B127&gt;35,"36-44",B127&gt;25,"26-35",B127&gt;=18,"18-25")</f>
        <v>26-35</v>
      </c>
      <c r="D127" s="4" t="s">
        <v>78</v>
      </c>
      <c r="E127" s="4" t="s">
        <v>72</v>
      </c>
      <c r="F127" s="4" t="s">
        <v>52</v>
      </c>
      <c r="G127" s="4" t="s">
        <v>80</v>
      </c>
      <c r="H127" s="4" t="s">
        <v>363</v>
      </c>
      <c r="I127" s="4" t="s">
        <v>223</v>
      </c>
      <c r="J127" s="5">
        <v>310.17</v>
      </c>
      <c r="K127" s="3">
        <v>6</v>
      </c>
      <c r="L127" s="4" t="str">
        <f>IF(AND(J127&gt;350,K127&gt;6), "True","False")</f>
        <v>False</v>
      </c>
      <c r="M127" s="4" t="s">
        <v>71</v>
      </c>
      <c r="N127" s="3">
        <v>2</v>
      </c>
      <c r="O127" s="4" t="str" cm="1">
        <f t="array" ref="O127">_xlfn.IFS(P127&lt;=2,"Poor",P127=3,"Average",P127&gt;=4,"Good")</f>
        <v>Average</v>
      </c>
      <c r="P127" s="3">
        <v>3</v>
      </c>
      <c r="Q127" s="2">
        <v>2</v>
      </c>
      <c r="R127" s="4" t="s">
        <v>85</v>
      </c>
      <c r="S127" s="4" t="s">
        <v>73</v>
      </c>
      <c r="T127" s="3">
        <v>0</v>
      </c>
      <c r="U127" s="4" t="str" cm="1">
        <f t="array" ref="U127">_xlfn.IFS(V127&lt;=4, "Dissatisfied",V127&lt;=7,"Neutral",V127&gt;=8,"Satisfied")</f>
        <v>Satisfied</v>
      </c>
      <c r="V127" s="3">
        <v>10</v>
      </c>
      <c r="W127" s="4" t="s">
        <v>57</v>
      </c>
      <c r="X127" s="4" t="s">
        <v>60</v>
      </c>
      <c r="Y127" s="4" t="s">
        <v>75</v>
      </c>
      <c r="Z127" s="1">
        <v>45346</v>
      </c>
      <c r="AA127" s="4" t="str" cm="1">
        <f t="array" ref="AA127">_xlfn.IFS(OR(AB127="December", AB127="February", AB127="January"), "Winter", OR(AB127="March", AB127="April", AB127="May"), "Spring", OR(AB127="June", AB127="July", AB127="August"), "Summer", TRUE, "Autumn")</f>
        <v>Winter</v>
      </c>
      <c r="AB127" s="7" t="str">
        <f>TEXT(Z127, "mmmm")</f>
        <v>February</v>
      </c>
      <c r="AC127" s="1" t="str">
        <f>TEXT(Z127, "dddd")</f>
        <v>Saturday</v>
      </c>
      <c r="AD127" s="4" t="s">
        <v>76</v>
      </c>
      <c r="AE127" s="4" t="s">
        <v>76</v>
      </c>
      <c r="AF127" s="4" t="s">
        <v>102</v>
      </c>
      <c r="AG127" s="4" t="s">
        <v>88</v>
      </c>
      <c r="AH127" s="3">
        <v>13</v>
      </c>
    </row>
    <row r="128" spans="1:34">
      <c r="A128" s="4" t="s">
        <v>364</v>
      </c>
      <c r="B128" s="3">
        <v>20</v>
      </c>
      <c r="C128" s="9" t="str" cm="1">
        <f t="array" ref="C128">_xlfn.IFS(B128&gt;65,"+65",B128&gt;54,"55-65",B128&gt;44,"45-54",B128&gt;35,"36-44",B128&gt;25,"26-35",B128&gt;=18,"18-25")</f>
        <v>18-25</v>
      </c>
      <c r="D128" s="4" t="s">
        <v>66</v>
      </c>
      <c r="E128" s="4" t="s">
        <v>51</v>
      </c>
      <c r="F128" s="4" t="s">
        <v>79</v>
      </c>
      <c r="G128" s="4" t="s">
        <v>68</v>
      </c>
      <c r="H128" s="4" t="s">
        <v>365</v>
      </c>
      <c r="I128" s="4" t="s">
        <v>105</v>
      </c>
      <c r="J128" s="5">
        <v>308.87</v>
      </c>
      <c r="K128" s="3">
        <v>2</v>
      </c>
      <c r="L128" s="4" t="str">
        <f>IF(AND(J128&gt;350,K128&gt;6), "True","False")</f>
        <v>False</v>
      </c>
      <c r="M128" s="4" t="s">
        <v>71</v>
      </c>
      <c r="N128" s="3">
        <v>3</v>
      </c>
      <c r="O128" s="4" t="str" cm="1">
        <f t="array" ref="O128">_xlfn.IFS(P128&lt;=2,"Poor",P128=3,"Average",P128&gt;=4,"Good")</f>
        <v>Good</v>
      </c>
      <c r="P128" s="3">
        <v>4</v>
      </c>
      <c r="Q128" s="2">
        <v>1</v>
      </c>
      <c r="R128" s="4" t="s">
        <v>57</v>
      </c>
      <c r="S128" s="4" t="s">
        <v>58</v>
      </c>
      <c r="T128" s="3">
        <v>2</v>
      </c>
      <c r="U128" s="4" t="str" cm="1">
        <f t="array" ref="U128">_xlfn.IFS(V128&lt;=4, "Dissatisfied",V128&lt;=7,"Neutral",V128&gt;=8,"Satisfied")</f>
        <v>Dissatisfied</v>
      </c>
      <c r="V128" s="3">
        <v>2</v>
      </c>
      <c r="W128" s="4" t="s">
        <v>57</v>
      </c>
      <c r="X128" s="4" t="s">
        <v>74</v>
      </c>
      <c r="Y128" s="4" t="s">
        <v>61</v>
      </c>
      <c r="Z128" s="1">
        <v>45346</v>
      </c>
      <c r="AA128" s="4" t="str" cm="1">
        <f t="array" ref="AA128">_xlfn.IFS(OR(AB128="December", AB128="February", AB128="January"), "Winter", OR(AB128="March", AB128="April", AB128="May"), "Spring", OR(AB128="June", AB128="July", AB128="August"), "Summer", TRUE, "Autumn")</f>
        <v>Winter</v>
      </c>
      <c r="AB128" s="7" t="str">
        <f>TEXT(Z128, "mmmm")</f>
        <v>February</v>
      </c>
      <c r="AC128" s="1" t="str">
        <f>TEXT(Z128, "dddd")</f>
        <v>Saturday</v>
      </c>
      <c r="AD128" s="4" t="s">
        <v>62</v>
      </c>
      <c r="AE128" s="4" t="s">
        <v>62</v>
      </c>
      <c r="AF128" s="4" t="s">
        <v>92</v>
      </c>
      <c r="AG128" s="4" t="s">
        <v>93</v>
      </c>
      <c r="AH128" s="3">
        <v>11</v>
      </c>
    </row>
    <row r="129" spans="1:34">
      <c r="A129" s="4" t="s">
        <v>366</v>
      </c>
      <c r="B129" s="3">
        <v>46</v>
      </c>
      <c r="C129" s="9" t="str" cm="1">
        <f t="array" ref="C129">_xlfn.IFS(B129&gt;65,"+65",B129&gt;54,"55-65",B129&gt;44,"45-54",B129&gt;35,"36-44",B129&gt;25,"26-35",B129&gt;=18,"18-25")</f>
        <v>45-54</v>
      </c>
      <c r="D129" s="4" t="s">
        <v>78</v>
      </c>
      <c r="E129" s="4" t="s">
        <v>51</v>
      </c>
      <c r="F129" s="4" t="s">
        <v>79</v>
      </c>
      <c r="G129" s="4" t="s">
        <v>80</v>
      </c>
      <c r="H129" s="4" t="s">
        <v>367</v>
      </c>
      <c r="I129" s="4" t="s">
        <v>110</v>
      </c>
      <c r="J129" s="5">
        <v>163.41</v>
      </c>
      <c r="K129" s="3">
        <v>2</v>
      </c>
      <c r="L129" s="4" t="str">
        <f>IF(AND(J129&gt;350,K129&gt;6), "True","False")</f>
        <v>False</v>
      </c>
      <c r="M129" s="4" t="s">
        <v>71</v>
      </c>
      <c r="N129" s="3">
        <v>5</v>
      </c>
      <c r="O129" s="4" t="str" cm="1">
        <f t="array" ref="O129">_xlfn.IFS(P129&lt;=2,"Poor",P129=3,"Average",P129&gt;=4,"Good")</f>
        <v>Good</v>
      </c>
      <c r="P129" s="3">
        <v>5</v>
      </c>
      <c r="Q129" s="2">
        <v>2</v>
      </c>
      <c r="R129" s="4" t="s">
        <v>59</v>
      </c>
      <c r="S129" s="4" t="s">
        <v>58</v>
      </c>
      <c r="T129" s="3">
        <v>1</v>
      </c>
      <c r="U129" s="4" t="str" cm="1">
        <f t="array" ref="U129">_xlfn.IFS(V129&lt;=4, "Dissatisfied",V129&lt;=7,"Neutral",V129&gt;=8,"Satisfied")</f>
        <v>Satisfied</v>
      </c>
      <c r="V129" s="3">
        <v>8</v>
      </c>
      <c r="W129" s="4" t="s">
        <v>72</v>
      </c>
      <c r="X129" s="4" t="s">
        <v>101</v>
      </c>
      <c r="Y129" s="4" t="s">
        <v>111</v>
      </c>
      <c r="Z129" s="1">
        <v>45347</v>
      </c>
      <c r="AA129" s="4" t="str" cm="1">
        <f t="array" ref="AA129">_xlfn.IFS(OR(AB129="December", AB129="February", AB129="January"), "Winter", OR(AB129="March", AB129="April", AB129="May"), "Spring", OR(AB129="June", AB129="July", AB129="August"), "Summer", TRUE, "Autumn")</f>
        <v>Winter</v>
      </c>
      <c r="AB129" s="7" t="str">
        <f>TEXT(Z129, "mmmm")</f>
        <v>February</v>
      </c>
      <c r="AC129" s="1" t="str">
        <f>TEXT(Z129, "dddd")</f>
        <v>Sunday</v>
      </c>
      <c r="AD129" s="4" t="s">
        <v>62</v>
      </c>
      <c r="AE129" s="4" t="s">
        <v>62</v>
      </c>
      <c r="AF129" s="4" t="s">
        <v>63</v>
      </c>
      <c r="AG129" s="4" t="s">
        <v>93</v>
      </c>
      <c r="AH129" s="3">
        <v>4</v>
      </c>
    </row>
    <row r="130" spans="1:34">
      <c r="A130" s="4" t="s">
        <v>368</v>
      </c>
      <c r="B130" s="3">
        <v>38</v>
      </c>
      <c r="C130" s="9" t="str" cm="1">
        <f t="array" ref="C130">_xlfn.IFS(B130&gt;65,"+65",B130&gt;54,"55-65",B130&gt;44,"45-54",B130&gt;35,"36-44",B130&gt;25,"26-35",B130&gt;=18,"18-25")</f>
        <v>36-44</v>
      </c>
      <c r="D130" s="4" t="s">
        <v>66</v>
      </c>
      <c r="E130" s="4" t="s">
        <v>72</v>
      </c>
      <c r="F130" s="4" t="s">
        <v>95</v>
      </c>
      <c r="G130" s="4" t="s">
        <v>53</v>
      </c>
      <c r="H130" s="4" t="s">
        <v>369</v>
      </c>
      <c r="I130" s="4" t="s">
        <v>194</v>
      </c>
      <c r="J130" s="5">
        <v>371.32</v>
      </c>
      <c r="K130" s="3">
        <v>7</v>
      </c>
      <c r="L130" s="4" t="str">
        <f>IF(AND(J130&gt;350,K130&gt;6), "True","False")</f>
        <v>True</v>
      </c>
      <c r="M130" s="4" t="s">
        <v>71</v>
      </c>
      <c r="N130" s="3">
        <v>4</v>
      </c>
      <c r="O130" s="4" t="str" cm="1">
        <f t="array" ref="O130">_xlfn.IFS(P130&lt;=2,"Poor",P130=3,"Average",P130&gt;=4,"Good")</f>
        <v>Good</v>
      </c>
      <c r="P130" s="3">
        <v>4</v>
      </c>
      <c r="Q130" s="2">
        <v>0.7</v>
      </c>
      <c r="R130" s="4" t="s">
        <v>85</v>
      </c>
      <c r="S130" s="4" t="s">
        <v>58</v>
      </c>
      <c r="T130" s="3">
        <v>2</v>
      </c>
      <c r="U130" s="4" t="str" cm="1">
        <f t="array" ref="U130">_xlfn.IFS(V130&lt;=4, "Dissatisfied",V130&lt;=7,"Neutral",V130&gt;=8,"Satisfied")</f>
        <v>Dissatisfied</v>
      </c>
      <c r="V130" s="3">
        <v>1</v>
      </c>
      <c r="W130" s="4" t="s">
        <v>57</v>
      </c>
      <c r="X130" s="4" t="s">
        <v>74</v>
      </c>
      <c r="Y130" s="4" t="s">
        <v>75</v>
      </c>
      <c r="Z130" s="1">
        <v>45347</v>
      </c>
      <c r="AA130" s="4" t="str" cm="1">
        <f t="array" ref="AA130">_xlfn.IFS(OR(AB130="December", AB130="February", AB130="January"), "Winter", OR(AB130="March", AB130="April", AB130="May"), "Spring", OR(AB130="June", AB130="July", AB130="August"), "Summer", TRUE, "Autumn")</f>
        <v>Winter</v>
      </c>
      <c r="AB130" s="7" t="str">
        <f>TEXT(Z130, "mmmm")</f>
        <v>February</v>
      </c>
      <c r="AC130" s="1" t="str">
        <f>TEXT(Z130, "dddd")</f>
        <v>Sunday</v>
      </c>
      <c r="AD130" s="4" t="s">
        <v>62</v>
      </c>
      <c r="AE130" s="4" t="s">
        <v>62</v>
      </c>
      <c r="AF130" s="4" t="s">
        <v>92</v>
      </c>
      <c r="AG130" s="4" t="s">
        <v>64</v>
      </c>
      <c r="AH130" s="3">
        <v>6</v>
      </c>
    </row>
    <row r="131" spans="1:34">
      <c r="A131" s="4" t="s">
        <v>370</v>
      </c>
      <c r="B131" s="3">
        <v>47</v>
      </c>
      <c r="C131" s="9" t="str" cm="1">
        <f t="array" ref="C131">_xlfn.IFS(B131&gt;65,"+65",B131&gt;54,"55-65",B131&gt;44,"45-54",B131&gt;35,"36-44",B131&gt;25,"26-35",B131&gt;=18,"18-25")</f>
        <v>45-54</v>
      </c>
      <c r="D131" s="4" t="s">
        <v>66</v>
      </c>
      <c r="E131" s="4" t="s">
        <v>72</v>
      </c>
      <c r="F131" s="4" t="s">
        <v>95</v>
      </c>
      <c r="G131" s="4" t="s">
        <v>68</v>
      </c>
      <c r="H131" s="4" t="s">
        <v>371</v>
      </c>
      <c r="I131" s="4" t="s">
        <v>97</v>
      </c>
      <c r="J131" s="5">
        <v>437.59</v>
      </c>
      <c r="K131" s="3">
        <v>10</v>
      </c>
      <c r="L131" s="4" t="str">
        <f>IF(AND(J131&gt;350,K131&gt;6), "True","False")</f>
        <v>True</v>
      </c>
      <c r="M131" s="4" t="s">
        <v>71</v>
      </c>
      <c r="N131" s="3">
        <v>1</v>
      </c>
      <c r="O131" s="4" t="str" cm="1">
        <f t="array" ref="O131">_xlfn.IFS(P131&lt;=2,"Poor",P131=3,"Average",P131&gt;=4,"Good")</f>
        <v>Good</v>
      </c>
      <c r="P131" s="3">
        <v>4</v>
      </c>
      <c r="Q131" s="2">
        <v>0</v>
      </c>
      <c r="R131" s="4" t="s">
        <v>57</v>
      </c>
      <c r="S131" s="4" t="s">
        <v>73</v>
      </c>
      <c r="T131" s="3">
        <v>0</v>
      </c>
      <c r="U131" s="4" t="str" cm="1">
        <f t="array" ref="U131">_xlfn.IFS(V131&lt;=4, "Dissatisfied",V131&lt;=7,"Neutral",V131&gt;=8,"Satisfied")</f>
        <v>Dissatisfied</v>
      </c>
      <c r="V131" s="3">
        <v>4</v>
      </c>
      <c r="W131" s="4" t="s">
        <v>72</v>
      </c>
      <c r="X131" s="4" t="s">
        <v>74</v>
      </c>
      <c r="Y131" s="4" t="s">
        <v>119</v>
      </c>
      <c r="Z131" s="1">
        <v>45348</v>
      </c>
      <c r="AA131" s="4" t="str" cm="1">
        <f t="array" ref="AA131">_xlfn.IFS(OR(AB131="December", AB131="February", AB131="January"), "Winter", OR(AB131="March", AB131="April", AB131="May"), "Spring", OR(AB131="June", AB131="July", AB131="August"), "Summer", TRUE, "Autumn")</f>
        <v>Winter</v>
      </c>
      <c r="AB131" s="7" t="str">
        <f>TEXT(Z131, "mmmm")</f>
        <v>February</v>
      </c>
      <c r="AC131" s="1" t="str">
        <f>TEXT(Z131, "dddd")</f>
        <v>Monday</v>
      </c>
      <c r="AD131" s="4" t="s">
        <v>62</v>
      </c>
      <c r="AE131" s="4" t="s">
        <v>62</v>
      </c>
      <c r="AF131" s="4" t="s">
        <v>92</v>
      </c>
      <c r="AG131" s="4" t="s">
        <v>93</v>
      </c>
      <c r="AH131" s="3">
        <v>9</v>
      </c>
    </row>
    <row r="132" spans="1:34">
      <c r="A132" s="4" t="s">
        <v>372</v>
      </c>
      <c r="B132" s="3">
        <v>37</v>
      </c>
      <c r="C132" s="9" t="str" cm="1">
        <f t="array" ref="C132">_xlfn.IFS(B132&gt;65,"+65",B132&gt;54,"55-65",B132&gt;44,"45-54",B132&gt;35,"36-44",B132&gt;25,"26-35",B132&gt;=18,"18-25")</f>
        <v>36-44</v>
      </c>
      <c r="D132" s="4" t="s">
        <v>78</v>
      </c>
      <c r="E132" s="4" t="s">
        <v>51</v>
      </c>
      <c r="F132" s="4" t="s">
        <v>95</v>
      </c>
      <c r="G132" s="4" t="s">
        <v>53</v>
      </c>
      <c r="H132" s="4" t="s">
        <v>373</v>
      </c>
      <c r="I132" s="4" t="s">
        <v>118</v>
      </c>
      <c r="J132" s="5">
        <v>424.39</v>
      </c>
      <c r="K132" s="3">
        <v>9</v>
      </c>
      <c r="L132" s="4" t="str">
        <f>IF(AND(J132&gt;350,K132&gt;6), "True","False")</f>
        <v>True</v>
      </c>
      <c r="M132" s="4" t="s">
        <v>83</v>
      </c>
      <c r="N132" s="3">
        <v>3</v>
      </c>
      <c r="O132" s="4" t="str" cm="1">
        <f t="array" ref="O132">_xlfn.IFS(P132&lt;=2,"Poor",P132=3,"Average",P132&gt;=4,"Good")</f>
        <v>Poor</v>
      </c>
      <c r="P132" s="3">
        <v>1</v>
      </c>
      <c r="Q132" s="2">
        <v>1</v>
      </c>
      <c r="R132" s="4" t="s">
        <v>72</v>
      </c>
      <c r="S132" s="4" t="s">
        <v>84</v>
      </c>
      <c r="T132" s="3">
        <v>0</v>
      </c>
      <c r="U132" s="4" t="str" cm="1">
        <f t="array" ref="U132">_xlfn.IFS(V132&lt;=4, "Dissatisfied",V132&lt;=7,"Neutral",V132&gt;=8,"Satisfied")</f>
        <v>Neutral</v>
      </c>
      <c r="V132" s="3">
        <v>7</v>
      </c>
      <c r="W132" s="4" t="s">
        <v>59</v>
      </c>
      <c r="X132" s="4" t="s">
        <v>60</v>
      </c>
      <c r="Y132" s="4" t="s">
        <v>119</v>
      </c>
      <c r="Z132" s="1">
        <v>45348</v>
      </c>
      <c r="AA132" s="4" t="str" cm="1">
        <f t="array" ref="AA132">_xlfn.IFS(OR(AB132="December", AB132="February", AB132="January"), "Winter", OR(AB132="March", AB132="April", AB132="May"), "Spring", OR(AB132="June", AB132="July", AB132="August"), "Summer", TRUE, "Autumn")</f>
        <v>Winter</v>
      </c>
      <c r="AB132" s="7" t="str">
        <f>TEXT(Z132, "mmmm")</f>
        <v>February</v>
      </c>
      <c r="AC132" s="1" t="str">
        <f>TEXT(Z132, "dddd")</f>
        <v>Monday</v>
      </c>
      <c r="AD132" s="4" t="s">
        <v>62</v>
      </c>
      <c r="AE132" s="4" t="s">
        <v>76</v>
      </c>
      <c r="AF132" s="4" t="s">
        <v>102</v>
      </c>
      <c r="AG132" s="4" t="s">
        <v>88</v>
      </c>
      <c r="AH132" s="3">
        <v>13</v>
      </c>
    </row>
    <row r="133" spans="1:34">
      <c r="A133" s="4" t="s">
        <v>374</v>
      </c>
      <c r="B133" s="3">
        <v>50</v>
      </c>
      <c r="C133" s="9" t="str" cm="1">
        <f t="array" ref="C133">_xlfn.IFS(B133&gt;65,"+65",B133&gt;54,"55-65",B133&gt;44,"45-54",B133&gt;35,"36-44",B133&gt;25,"26-35",B133&gt;=18,"18-25")</f>
        <v>45-54</v>
      </c>
      <c r="D133" s="4" t="s">
        <v>66</v>
      </c>
      <c r="E133" s="4" t="s">
        <v>72</v>
      </c>
      <c r="F133" s="4" t="s">
        <v>79</v>
      </c>
      <c r="G133" s="4" t="s">
        <v>80</v>
      </c>
      <c r="H133" s="4" t="s">
        <v>375</v>
      </c>
      <c r="I133" s="4" t="s">
        <v>234</v>
      </c>
      <c r="J133" s="5">
        <v>435.23</v>
      </c>
      <c r="K133" s="3">
        <v>2</v>
      </c>
      <c r="L133" s="4" t="str">
        <f>IF(AND(J133&gt;350,K133&gt;6), "True","False")</f>
        <v>False</v>
      </c>
      <c r="M133" s="4" t="s">
        <v>71</v>
      </c>
      <c r="N133" s="3">
        <v>2</v>
      </c>
      <c r="O133" s="4" t="str" cm="1">
        <f t="array" ref="O133">_xlfn.IFS(P133&lt;=2,"Poor",P133=3,"Average",P133&gt;=4,"Good")</f>
        <v>Good</v>
      </c>
      <c r="P133" s="3">
        <v>4</v>
      </c>
      <c r="Q133" s="2">
        <v>0</v>
      </c>
      <c r="R133" s="4" t="s">
        <v>57</v>
      </c>
      <c r="S133" s="4" t="s">
        <v>84</v>
      </c>
      <c r="T133" s="3">
        <v>2</v>
      </c>
      <c r="U133" s="4" t="str" cm="1">
        <f t="array" ref="U133">_xlfn.IFS(V133&lt;=4, "Dissatisfied",V133&lt;=7,"Neutral",V133&gt;=8,"Satisfied")</f>
        <v>Dissatisfied</v>
      </c>
      <c r="V133" s="3">
        <v>2</v>
      </c>
      <c r="W133" s="4" t="s">
        <v>85</v>
      </c>
      <c r="X133" s="4" t="s">
        <v>60</v>
      </c>
      <c r="Y133" s="4" t="s">
        <v>61</v>
      </c>
      <c r="Z133" s="1">
        <v>45349</v>
      </c>
      <c r="AA133" s="4" t="str" cm="1">
        <f t="array" ref="AA133">_xlfn.IFS(OR(AB133="December", AB133="February", AB133="January"), "Winter", OR(AB133="March", AB133="April", AB133="May"), "Spring", OR(AB133="June", AB133="July", AB133="August"), "Summer", TRUE, "Autumn")</f>
        <v>Winter</v>
      </c>
      <c r="AB133" s="7" t="str">
        <f>TEXT(Z133, "mmmm")</f>
        <v>February</v>
      </c>
      <c r="AC133" s="1" t="str">
        <f>TEXT(Z133, "dddd")</f>
        <v>Tuesday</v>
      </c>
      <c r="AD133" s="4" t="s">
        <v>76</v>
      </c>
      <c r="AE133" s="4" t="s">
        <v>62</v>
      </c>
      <c r="AF133" s="4" t="s">
        <v>92</v>
      </c>
      <c r="AG133" s="4" t="s">
        <v>93</v>
      </c>
      <c r="AH133" s="3">
        <v>13</v>
      </c>
    </row>
    <row r="134" spans="1:34">
      <c r="A134" s="4" t="s">
        <v>376</v>
      </c>
      <c r="B134" s="3">
        <v>46</v>
      </c>
      <c r="C134" s="9" t="str" cm="1">
        <f t="array" ref="C134">_xlfn.IFS(B134&gt;65,"+65",B134&gt;54,"55-65",B134&gt;44,"45-54",B134&gt;35,"36-44",B134&gt;25,"26-35",B134&gt;=18,"18-25")</f>
        <v>45-54</v>
      </c>
      <c r="D134" s="4" t="s">
        <v>50</v>
      </c>
      <c r="E134" s="4" t="s">
        <v>51</v>
      </c>
      <c r="F134" s="4" t="s">
        <v>95</v>
      </c>
      <c r="G134" s="4" t="s">
        <v>80</v>
      </c>
      <c r="H134" s="4" t="s">
        <v>377</v>
      </c>
      <c r="I134" s="4" t="s">
        <v>70</v>
      </c>
      <c r="J134" s="5">
        <v>83.33</v>
      </c>
      <c r="K134" s="3">
        <v>11</v>
      </c>
      <c r="L134" s="4" t="str">
        <f>IF(AND(J134&gt;350,K134&gt;6), "True","False")</f>
        <v>False</v>
      </c>
      <c r="M134" s="4" t="s">
        <v>71</v>
      </c>
      <c r="N134" s="3">
        <v>1</v>
      </c>
      <c r="O134" s="4" t="str" cm="1">
        <f t="array" ref="O134">_xlfn.IFS(P134&lt;=2,"Poor",P134=3,"Average",P134&gt;=4,"Good")</f>
        <v>Good</v>
      </c>
      <c r="P134" s="3">
        <v>5</v>
      </c>
      <c r="Q134" s="2">
        <v>1</v>
      </c>
      <c r="R134" s="4" t="s">
        <v>85</v>
      </c>
      <c r="S134" s="4" t="s">
        <v>73</v>
      </c>
      <c r="T134" s="3">
        <v>1</v>
      </c>
      <c r="U134" s="4" t="str" cm="1">
        <f t="array" ref="U134">_xlfn.IFS(V134&lt;=4, "Dissatisfied",V134&lt;=7,"Neutral",V134&gt;=8,"Satisfied")</f>
        <v>Neutral</v>
      </c>
      <c r="V134" s="3">
        <v>6</v>
      </c>
      <c r="W134" s="4" t="s">
        <v>59</v>
      </c>
      <c r="X134" s="4" t="s">
        <v>101</v>
      </c>
      <c r="Y134" s="4" t="s">
        <v>75</v>
      </c>
      <c r="Z134" s="1">
        <v>45349</v>
      </c>
      <c r="AA134" s="4" t="str" cm="1">
        <f t="array" ref="AA134">_xlfn.IFS(OR(AB134="December", AB134="February", AB134="January"), "Winter", OR(AB134="March", AB134="April", AB134="May"), "Spring", OR(AB134="June", AB134="July", AB134="August"), "Summer", TRUE, "Autumn")</f>
        <v>Winter</v>
      </c>
      <c r="AB134" s="7" t="str">
        <f>TEXT(Z134, "mmmm")</f>
        <v>February</v>
      </c>
      <c r="AC134" s="1" t="str">
        <f>TEXT(Z134, "dddd")</f>
        <v>Tuesday</v>
      </c>
      <c r="AD134" s="4" t="s">
        <v>62</v>
      </c>
      <c r="AE134" s="4" t="s">
        <v>62</v>
      </c>
      <c r="AF134" s="4" t="s">
        <v>87</v>
      </c>
      <c r="AG134" s="4" t="s">
        <v>93</v>
      </c>
      <c r="AH134" s="3">
        <v>1</v>
      </c>
    </row>
    <row r="135" spans="1:34">
      <c r="A135" s="4" t="s">
        <v>378</v>
      </c>
      <c r="B135" s="3">
        <v>43</v>
      </c>
      <c r="C135" s="9" t="str" cm="1">
        <f t="array" ref="C135">_xlfn.IFS(B135&gt;65,"+65",B135&gt;54,"55-65",B135&gt;44,"45-54",B135&gt;35,"36-44",B135&gt;25,"26-35",B135&gt;=18,"18-25")</f>
        <v>36-44</v>
      </c>
      <c r="D135" s="4" t="s">
        <v>78</v>
      </c>
      <c r="E135" s="4" t="s">
        <v>51</v>
      </c>
      <c r="F135" s="4" t="s">
        <v>79</v>
      </c>
      <c r="G135" s="4" t="s">
        <v>68</v>
      </c>
      <c r="H135" s="4" t="s">
        <v>379</v>
      </c>
      <c r="I135" s="4" t="s">
        <v>194</v>
      </c>
      <c r="J135" s="5">
        <v>136.1</v>
      </c>
      <c r="K135" s="3">
        <v>5</v>
      </c>
      <c r="L135" s="4" t="str">
        <f>IF(AND(J135&gt;350,K135&gt;6), "True","False")</f>
        <v>False</v>
      </c>
      <c r="M135" s="4" t="s">
        <v>71</v>
      </c>
      <c r="N135" s="3">
        <v>3</v>
      </c>
      <c r="O135" s="4" t="str" cm="1">
        <f t="array" ref="O135">_xlfn.IFS(P135&lt;=2,"Poor",P135=3,"Average",P135&gt;=4,"Good")</f>
        <v>Good</v>
      </c>
      <c r="P135" s="3">
        <v>5</v>
      </c>
      <c r="Q135" s="2">
        <v>2</v>
      </c>
      <c r="R135" s="4" t="s">
        <v>59</v>
      </c>
      <c r="S135" s="4" t="s">
        <v>73</v>
      </c>
      <c r="T135" s="3">
        <v>0</v>
      </c>
      <c r="U135" s="4" t="str" cm="1">
        <f t="array" ref="U135">_xlfn.IFS(V135&lt;=4, "Dissatisfied",V135&lt;=7,"Neutral",V135&gt;=8,"Satisfied")</f>
        <v>Dissatisfied</v>
      </c>
      <c r="V135" s="3">
        <v>2</v>
      </c>
      <c r="W135" s="4" t="s">
        <v>72</v>
      </c>
      <c r="X135" s="4" t="s">
        <v>74</v>
      </c>
      <c r="Y135" s="4" t="s">
        <v>75</v>
      </c>
      <c r="Z135" s="1">
        <v>45349</v>
      </c>
      <c r="AA135" s="4" t="str" cm="1">
        <f t="array" ref="AA135">_xlfn.IFS(OR(AB135="December", AB135="February", AB135="January"), "Winter", OR(AB135="March", AB135="April", AB135="May"), "Spring", OR(AB135="June", AB135="July", AB135="August"), "Summer", TRUE, "Autumn")</f>
        <v>Winter</v>
      </c>
      <c r="AB135" s="7" t="str">
        <f>TEXT(Z135, "mmmm")</f>
        <v>February</v>
      </c>
      <c r="AC135" s="1" t="str">
        <f>TEXT(Z135, "dddd")</f>
        <v>Tuesday</v>
      </c>
      <c r="AD135" s="4" t="s">
        <v>76</v>
      </c>
      <c r="AE135" s="4" t="s">
        <v>62</v>
      </c>
      <c r="AF135" s="4" t="s">
        <v>87</v>
      </c>
      <c r="AG135" s="4" t="s">
        <v>93</v>
      </c>
      <c r="AH135" s="3">
        <v>14</v>
      </c>
    </row>
    <row r="136" spans="1:34">
      <c r="A136" s="4" t="s">
        <v>380</v>
      </c>
      <c r="B136" s="3">
        <v>18</v>
      </c>
      <c r="C136" s="9" t="str" cm="1">
        <f t="array" ref="C136">_xlfn.IFS(B136&gt;65,"+65",B136&gt;54,"55-65",B136&gt;44,"45-54",B136&gt;35,"36-44",B136&gt;25,"26-35",B136&gt;=18,"18-25")</f>
        <v>18-25</v>
      </c>
      <c r="D136" s="4" t="s">
        <v>78</v>
      </c>
      <c r="E136" s="4" t="s">
        <v>51</v>
      </c>
      <c r="F136" s="4" t="s">
        <v>95</v>
      </c>
      <c r="G136" s="4" t="s">
        <v>80</v>
      </c>
      <c r="H136" s="4" t="s">
        <v>381</v>
      </c>
      <c r="I136" s="4" t="s">
        <v>133</v>
      </c>
      <c r="J136" s="5">
        <v>218.26</v>
      </c>
      <c r="K136" s="3">
        <v>4</v>
      </c>
      <c r="L136" s="4" t="str">
        <f>IF(AND(J136&gt;350,K136&gt;6), "True","False")</f>
        <v>False</v>
      </c>
      <c r="M136" s="4" t="s">
        <v>83</v>
      </c>
      <c r="N136" s="3">
        <v>3</v>
      </c>
      <c r="O136" s="4" t="str" cm="1">
        <f t="array" ref="O136">_xlfn.IFS(P136&lt;=2,"Poor",P136=3,"Average",P136&gt;=4,"Good")</f>
        <v>Poor</v>
      </c>
      <c r="P136" s="3">
        <v>1</v>
      </c>
      <c r="Q136" s="2">
        <v>2</v>
      </c>
      <c r="R136" s="4" t="s">
        <v>59</v>
      </c>
      <c r="S136" s="4" t="s">
        <v>73</v>
      </c>
      <c r="T136" s="3">
        <v>0</v>
      </c>
      <c r="U136" s="4" t="str" cm="1">
        <f t="array" ref="U136">_xlfn.IFS(V136&lt;=4, "Dissatisfied",V136&lt;=7,"Neutral",V136&gt;=8,"Satisfied")</f>
        <v>Satisfied</v>
      </c>
      <c r="V136" s="3">
        <v>8</v>
      </c>
      <c r="W136" s="4" t="s">
        <v>72</v>
      </c>
      <c r="X136" s="4" t="s">
        <v>60</v>
      </c>
      <c r="Y136" s="4" t="s">
        <v>75</v>
      </c>
      <c r="Z136" s="1">
        <v>45349</v>
      </c>
      <c r="AA136" s="4" t="str" cm="1">
        <f t="array" ref="AA136">_xlfn.IFS(OR(AB136="December", AB136="February", AB136="January"), "Winter", OR(AB136="March", AB136="April", AB136="May"), "Spring", OR(AB136="June", AB136="July", AB136="August"), "Summer", TRUE, "Autumn")</f>
        <v>Winter</v>
      </c>
      <c r="AB136" s="7" t="str">
        <f>TEXT(Z136, "mmmm")</f>
        <v>February</v>
      </c>
      <c r="AC136" s="1" t="str">
        <f>TEXT(Z136, "dddd")</f>
        <v>Tuesday</v>
      </c>
      <c r="AD136" s="4" t="s">
        <v>76</v>
      </c>
      <c r="AE136" s="4" t="s">
        <v>76</v>
      </c>
      <c r="AF136" s="4" t="s">
        <v>102</v>
      </c>
      <c r="AG136" s="4" t="s">
        <v>64</v>
      </c>
      <c r="AH136" s="3">
        <v>12</v>
      </c>
    </row>
    <row r="137" spans="1:34">
      <c r="A137" s="4" t="s">
        <v>382</v>
      </c>
      <c r="B137" s="3">
        <v>49</v>
      </c>
      <c r="C137" s="9" t="str" cm="1">
        <f t="array" ref="C137">_xlfn.IFS(B137&gt;65,"+65",B137&gt;54,"55-65",B137&gt;44,"45-54",B137&gt;35,"36-44",B137&gt;25,"26-35",B137&gt;=18,"18-25")</f>
        <v>45-54</v>
      </c>
      <c r="D137" s="4" t="s">
        <v>66</v>
      </c>
      <c r="E137" s="4" t="s">
        <v>51</v>
      </c>
      <c r="F137" s="4" t="s">
        <v>67</v>
      </c>
      <c r="G137" s="4" t="s">
        <v>80</v>
      </c>
      <c r="H137" s="4" t="s">
        <v>383</v>
      </c>
      <c r="I137" s="4" t="s">
        <v>122</v>
      </c>
      <c r="J137" s="5">
        <v>262.61</v>
      </c>
      <c r="K137" s="3">
        <v>3</v>
      </c>
      <c r="L137" s="4" t="str">
        <f>IF(AND(J137&gt;350,K137&gt;6), "True","False")</f>
        <v>False</v>
      </c>
      <c r="M137" s="4" t="s">
        <v>71</v>
      </c>
      <c r="N137" s="3">
        <v>2</v>
      </c>
      <c r="O137" s="4" t="str" cm="1">
        <f t="array" ref="O137">_xlfn.IFS(P137&lt;=2,"Poor",P137=3,"Average",P137&gt;=4,"Good")</f>
        <v>Good</v>
      </c>
      <c r="P137" s="3">
        <v>5</v>
      </c>
      <c r="Q137" s="2">
        <v>1</v>
      </c>
      <c r="R137" s="4" t="s">
        <v>85</v>
      </c>
      <c r="S137" s="4" t="s">
        <v>84</v>
      </c>
      <c r="T137" s="3">
        <v>0</v>
      </c>
      <c r="U137" s="4" t="str" cm="1">
        <f t="array" ref="U137">_xlfn.IFS(V137&lt;=4, "Dissatisfied",V137&lt;=7,"Neutral",V137&gt;=8,"Satisfied")</f>
        <v>Satisfied</v>
      </c>
      <c r="V137" s="3">
        <v>10</v>
      </c>
      <c r="W137" s="4" t="s">
        <v>85</v>
      </c>
      <c r="X137" s="4" t="s">
        <v>60</v>
      </c>
      <c r="Y137" s="4" t="s">
        <v>111</v>
      </c>
      <c r="Z137" s="1">
        <v>45350</v>
      </c>
      <c r="AA137" s="4" t="str" cm="1">
        <f t="array" ref="AA137">_xlfn.IFS(OR(AB137="December", AB137="February", AB137="January"), "Winter", OR(AB137="March", AB137="April", AB137="May"), "Spring", OR(AB137="June", AB137="July", AB137="August"), "Summer", TRUE, "Autumn")</f>
        <v>Winter</v>
      </c>
      <c r="AB137" s="7" t="str">
        <f>TEXT(Z137, "mmmm")</f>
        <v>February</v>
      </c>
      <c r="AC137" s="1" t="str">
        <f>TEXT(Z137, "dddd")</f>
        <v>Wednesday</v>
      </c>
      <c r="AD137" s="4" t="s">
        <v>76</v>
      </c>
      <c r="AE137" s="4" t="s">
        <v>62</v>
      </c>
      <c r="AF137" s="4" t="s">
        <v>102</v>
      </c>
      <c r="AG137" s="4" t="s">
        <v>64</v>
      </c>
      <c r="AH137" s="3">
        <v>6</v>
      </c>
    </row>
    <row r="138" spans="1:34">
      <c r="A138" s="4" t="s">
        <v>384</v>
      </c>
      <c r="B138" s="3">
        <v>45</v>
      </c>
      <c r="C138" s="9" t="str" cm="1">
        <f t="array" ref="C138">_xlfn.IFS(B138&gt;65,"+65",B138&gt;54,"55-65",B138&gt;44,"45-54",B138&gt;35,"36-44",B138&gt;25,"26-35",B138&gt;=18,"18-25")</f>
        <v>45-54</v>
      </c>
      <c r="D138" s="4" t="s">
        <v>50</v>
      </c>
      <c r="E138" s="4" t="s">
        <v>51</v>
      </c>
      <c r="F138" s="4" t="s">
        <v>95</v>
      </c>
      <c r="G138" s="4" t="s">
        <v>53</v>
      </c>
      <c r="H138" s="4" t="s">
        <v>385</v>
      </c>
      <c r="I138" s="4" t="s">
        <v>97</v>
      </c>
      <c r="J138" s="5">
        <v>323.39999999999998</v>
      </c>
      <c r="K138" s="3">
        <v>11</v>
      </c>
      <c r="L138" s="4" t="str">
        <f>IF(AND(J138&gt;350,K138&gt;6), "True","False")</f>
        <v>False</v>
      </c>
      <c r="M138" s="4" t="s">
        <v>83</v>
      </c>
      <c r="N138" s="3">
        <v>2</v>
      </c>
      <c r="O138" s="4" t="str" cm="1">
        <f t="array" ref="O138">_xlfn.IFS(P138&lt;=2,"Poor",P138=3,"Average",P138&gt;=4,"Good")</f>
        <v>Average</v>
      </c>
      <c r="P138" s="3">
        <v>3</v>
      </c>
      <c r="Q138" s="2">
        <v>2</v>
      </c>
      <c r="R138" s="4" t="s">
        <v>59</v>
      </c>
      <c r="S138" s="4" t="s">
        <v>73</v>
      </c>
      <c r="T138" s="3">
        <v>0</v>
      </c>
      <c r="U138" s="4" t="str" cm="1">
        <f t="array" ref="U138">_xlfn.IFS(V138&lt;=4, "Dissatisfied",V138&lt;=7,"Neutral",V138&gt;=8,"Satisfied")</f>
        <v>Satisfied</v>
      </c>
      <c r="V138" s="3">
        <v>8</v>
      </c>
      <c r="W138" s="4" t="s">
        <v>57</v>
      </c>
      <c r="X138" s="4" t="s">
        <v>60</v>
      </c>
      <c r="Y138" s="4" t="s">
        <v>119</v>
      </c>
      <c r="Z138" s="1">
        <v>45350</v>
      </c>
      <c r="AA138" s="4" t="str" cm="1">
        <f t="array" ref="AA138">_xlfn.IFS(OR(AB138="December", AB138="February", AB138="January"), "Winter", OR(AB138="March", AB138="April", AB138="May"), "Spring", OR(AB138="June", AB138="July", AB138="August"), "Summer", TRUE, "Autumn")</f>
        <v>Winter</v>
      </c>
      <c r="AB138" s="7" t="str">
        <f>TEXT(Z138, "mmmm")</f>
        <v>February</v>
      </c>
      <c r="AC138" s="1" t="str">
        <f>TEXT(Z138, "dddd")</f>
        <v>Wednesday</v>
      </c>
      <c r="AD138" s="4" t="s">
        <v>62</v>
      </c>
      <c r="AE138" s="4" t="s">
        <v>62</v>
      </c>
      <c r="AF138" s="4" t="s">
        <v>63</v>
      </c>
      <c r="AG138" s="4" t="s">
        <v>64</v>
      </c>
      <c r="AH138" s="3">
        <v>10</v>
      </c>
    </row>
    <row r="139" spans="1:34">
      <c r="A139" s="4" t="s">
        <v>386</v>
      </c>
      <c r="B139" s="3">
        <v>45</v>
      </c>
      <c r="C139" s="9" t="str" cm="1">
        <f t="array" ref="C139">_xlfn.IFS(B139&gt;65,"+65",B139&gt;54,"55-65",B139&gt;44,"45-54",B139&gt;35,"36-44",B139&gt;25,"26-35",B139&gt;=18,"18-25")</f>
        <v>45-54</v>
      </c>
      <c r="D139" s="4" t="s">
        <v>188</v>
      </c>
      <c r="E139" s="4" t="s">
        <v>72</v>
      </c>
      <c r="F139" s="4" t="s">
        <v>52</v>
      </c>
      <c r="G139" s="4" t="s">
        <v>53</v>
      </c>
      <c r="H139" s="4" t="s">
        <v>387</v>
      </c>
      <c r="I139" s="4" t="s">
        <v>100</v>
      </c>
      <c r="J139" s="5">
        <v>461.16</v>
      </c>
      <c r="K139" s="3">
        <v>8</v>
      </c>
      <c r="L139" s="4" t="str">
        <f>IF(AND(J139&gt;350,K139&gt;6), "True","False")</f>
        <v>True</v>
      </c>
      <c r="M139" s="4" t="s">
        <v>83</v>
      </c>
      <c r="N139" s="3">
        <v>1</v>
      </c>
      <c r="O139" s="4" t="str" cm="1">
        <f t="array" ref="O139">_xlfn.IFS(P139&lt;=2,"Poor",P139=3,"Average",P139&gt;=4,"Good")</f>
        <v>Good</v>
      </c>
      <c r="P139" s="3">
        <v>4</v>
      </c>
      <c r="Q139" s="2">
        <v>1</v>
      </c>
      <c r="R139" s="4" t="s">
        <v>72</v>
      </c>
      <c r="S139" s="4" t="s">
        <v>58</v>
      </c>
      <c r="T139" s="3">
        <v>0</v>
      </c>
      <c r="U139" s="4" t="str" cm="1">
        <f t="array" ref="U139">_xlfn.IFS(V139&lt;=4, "Dissatisfied",V139&lt;=7,"Neutral",V139&gt;=8,"Satisfied")</f>
        <v>Dissatisfied</v>
      </c>
      <c r="V139" s="3">
        <v>3</v>
      </c>
      <c r="W139" s="4" t="s">
        <v>85</v>
      </c>
      <c r="X139" s="4" t="s">
        <v>60</v>
      </c>
      <c r="Y139" s="4" t="s">
        <v>111</v>
      </c>
      <c r="Z139" s="1">
        <v>45351</v>
      </c>
      <c r="AA139" s="4" t="str" cm="1">
        <f t="array" ref="AA139">_xlfn.IFS(OR(AB139="December", AB139="February", AB139="January"), "Winter", OR(AB139="March", AB139="April", AB139="May"), "Spring", OR(AB139="June", AB139="July", AB139="August"), "Summer", TRUE, "Autumn")</f>
        <v>Winter</v>
      </c>
      <c r="AB139" s="7" t="str">
        <f>TEXT(Z139, "mmmm")</f>
        <v>February</v>
      </c>
      <c r="AC139" s="1" t="str">
        <f>TEXT(Z139, "dddd")</f>
        <v>Thursday</v>
      </c>
      <c r="AD139" s="4" t="s">
        <v>62</v>
      </c>
      <c r="AE139" s="4" t="s">
        <v>62</v>
      </c>
      <c r="AF139" s="4" t="s">
        <v>87</v>
      </c>
      <c r="AG139" s="4" t="s">
        <v>93</v>
      </c>
      <c r="AH139" s="3">
        <v>14</v>
      </c>
    </row>
    <row r="140" spans="1:34">
      <c r="A140" s="4" t="s">
        <v>388</v>
      </c>
      <c r="B140" s="3">
        <v>44</v>
      </c>
      <c r="C140" s="9" t="str" cm="1">
        <f t="array" ref="C140">_xlfn.IFS(B140&gt;65,"+65",B140&gt;54,"55-65",B140&gt;44,"45-54",B140&gt;35,"36-44",B140&gt;25,"26-35",B140&gt;=18,"18-25")</f>
        <v>36-44</v>
      </c>
      <c r="D140" s="4" t="s">
        <v>66</v>
      </c>
      <c r="E140" s="4" t="s">
        <v>51</v>
      </c>
      <c r="F140" s="4" t="s">
        <v>67</v>
      </c>
      <c r="G140" s="4" t="s">
        <v>68</v>
      </c>
      <c r="H140" s="4" t="s">
        <v>389</v>
      </c>
      <c r="I140" s="4" t="s">
        <v>97</v>
      </c>
      <c r="J140" s="5">
        <v>283.7</v>
      </c>
      <c r="K140" s="3">
        <v>8</v>
      </c>
      <c r="L140" s="4" t="str">
        <f>IF(AND(J140&gt;350,K140&gt;6), "True","False")</f>
        <v>False</v>
      </c>
      <c r="M140" s="4" t="s">
        <v>83</v>
      </c>
      <c r="N140" s="3">
        <v>2</v>
      </c>
      <c r="O140" s="4" t="str" cm="1">
        <f t="array" ref="O140">_xlfn.IFS(P140&lt;=2,"Poor",P140=3,"Average",P140&gt;=4,"Good")</f>
        <v>Good</v>
      </c>
      <c r="P140" s="3">
        <v>5</v>
      </c>
      <c r="Q140" s="2">
        <v>1</v>
      </c>
      <c r="R140" s="4" t="s">
        <v>85</v>
      </c>
      <c r="S140" s="4" t="s">
        <v>58</v>
      </c>
      <c r="T140" s="3">
        <v>1</v>
      </c>
      <c r="U140" s="4" t="str" cm="1">
        <f t="array" ref="U140">_xlfn.IFS(V140&lt;=4, "Dissatisfied",V140&lt;=7,"Neutral",V140&gt;=8,"Satisfied")</f>
        <v>Dissatisfied</v>
      </c>
      <c r="V140" s="3">
        <v>3</v>
      </c>
      <c r="W140" s="4" t="s">
        <v>59</v>
      </c>
      <c r="X140" s="4" t="s">
        <v>60</v>
      </c>
      <c r="Y140" s="4" t="s">
        <v>61</v>
      </c>
      <c r="Z140" s="1">
        <v>45351</v>
      </c>
      <c r="AA140" s="4" t="str" cm="1">
        <f t="array" ref="AA140">_xlfn.IFS(OR(AB140="December", AB140="February", AB140="January"), "Winter", OR(AB140="March", AB140="April", AB140="May"), "Spring", OR(AB140="June", AB140="July", AB140="August"), "Summer", TRUE, "Autumn")</f>
        <v>Winter</v>
      </c>
      <c r="AB140" s="7" t="str">
        <f>TEXT(Z140, "mmmm")</f>
        <v>February</v>
      </c>
      <c r="AC140" s="1" t="str">
        <f>TEXT(Z140, "dddd")</f>
        <v>Thursday</v>
      </c>
      <c r="AD140" s="4" t="s">
        <v>76</v>
      </c>
      <c r="AE140" s="4" t="s">
        <v>76</v>
      </c>
      <c r="AF140" s="4" t="s">
        <v>92</v>
      </c>
      <c r="AG140" s="4" t="s">
        <v>93</v>
      </c>
      <c r="AH140" s="3">
        <v>8</v>
      </c>
    </row>
    <row r="141" spans="1:34">
      <c r="A141" s="4" t="s">
        <v>390</v>
      </c>
      <c r="B141" s="3">
        <v>40</v>
      </c>
      <c r="C141" s="9" t="str" cm="1">
        <f t="array" ref="C141">_xlfn.IFS(B141&gt;65,"+65",B141&gt;54,"55-65",B141&gt;44,"45-54",B141&gt;35,"36-44",B141&gt;25,"26-35",B141&gt;=18,"18-25")</f>
        <v>36-44</v>
      </c>
      <c r="D141" s="4" t="s">
        <v>78</v>
      </c>
      <c r="E141" s="4" t="s">
        <v>72</v>
      </c>
      <c r="F141" s="4" t="s">
        <v>52</v>
      </c>
      <c r="G141" s="4" t="s">
        <v>53</v>
      </c>
      <c r="H141" s="4" t="s">
        <v>391</v>
      </c>
      <c r="I141" s="4" t="s">
        <v>172</v>
      </c>
      <c r="J141" s="5">
        <v>492.74</v>
      </c>
      <c r="K141" s="3">
        <v>2</v>
      </c>
      <c r="L141" s="4" t="str">
        <f>IF(AND(J141&gt;350,K141&gt;6), "True","False")</f>
        <v>False</v>
      </c>
      <c r="M141" s="4" t="s">
        <v>83</v>
      </c>
      <c r="N141" s="3">
        <v>1</v>
      </c>
      <c r="O141" s="4" t="str" cm="1">
        <f t="array" ref="O141">_xlfn.IFS(P141&lt;=2,"Poor",P141=3,"Average",P141&gt;=4,"Good")</f>
        <v>Good</v>
      </c>
      <c r="P141" s="3">
        <v>5</v>
      </c>
      <c r="Q141" s="2">
        <v>2</v>
      </c>
      <c r="R141" s="4" t="s">
        <v>59</v>
      </c>
      <c r="S141" s="4" t="s">
        <v>73</v>
      </c>
      <c r="T141" s="3">
        <v>1</v>
      </c>
      <c r="U141" s="4" t="str" cm="1">
        <f t="array" ref="U141">_xlfn.IFS(V141&lt;=4, "Dissatisfied",V141&lt;=7,"Neutral",V141&gt;=8,"Satisfied")</f>
        <v>Dissatisfied</v>
      </c>
      <c r="V141" s="3">
        <v>3</v>
      </c>
      <c r="W141" s="4" t="s">
        <v>72</v>
      </c>
      <c r="X141" s="4" t="s">
        <v>74</v>
      </c>
      <c r="Y141" s="4" t="s">
        <v>111</v>
      </c>
      <c r="Z141" s="1">
        <v>45351</v>
      </c>
      <c r="AA141" s="4" t="str" cm="1">
        <f t="array" ref="AA141">_xlfn.IFS(OR(AB141="December", AB141="February", AB141="January"), "Winter", OR(AB141="March", AB141="April", AB141="May"), "Spring", OR(AB141="June", AB141="July", AB141="August"), "Summer", TRUE, "Autumn")</f>
        <v>Winter</v>
      </c>
      <c r="AB141" s="7" t="str">
        <f>TEXT(Z141, "mmmm")</f>
        <v>February</v>
      </c>
      <c r="AC141" s="1" t="str">
        <f>TEXT(Z141, "dddd")</f>
        <v>Thursday</v>
      </c>
      <c r="AD141" s="4" t="s">
        <v>62</v>
      </c>
      <c r="AE141" s="4" t="s">
        <v>76</v>
      </c>
      <c r="AF141" s="4" t="s">
        <v>63</v>
      </c>
      <c r="AG141" s="4" t="s">
        <v>93</v>
      </c>
      <c r="AH141" s="3">
        <v>13</v>
      </c>
    </row>
    <row r="142" spans="1:34">
      <c r="A142" s="4" t="s">
        <v>392</v>
      </c>
      <c r="B142" s="3">
        <v>34</v>
      </c>
      <c r="C142" s="9" t="str" cm="1">
        <f t="array" ref="C142">_xlfn.IFS(B142&gt;65,"+65",B142&gt;54,"55-65",B142&gt;44,"45-54",B142&gt;35,"36-44",B142&gt;25,"26-35",B142&gt;=18,"18-25")</f>
        <v>26-35</v>
      </c>
      <c r="D142" s="4" t="s">
        <v>66</v>
      </c>
      <c r="E142" s="4" t="s">
        <v>72</v>
      </c>
      <c r="F142" s="4" t="s">
        <v>67</v>
      </c>
      <c r="G142" s="4" t="s">
        <v>53</v>
      </c>
      <c r="H142" s="4" t="s">
        <v>393</v>
      </c>
      <c r="I142" s="4" t="s">
        <v>156</v>
      </c>
      <c r="J142" s="5">
        <v>208.6</v>
      </c>
      <c r="K142" s="3">
        <v>2</v>
      </c>
      <c r="L142" s="4" t="str">
        <f>IF(AND(J142&gt;350,K142&gt;6), "True","False")</f>
        <v>False</v>
      </c>
      <c r="M142" s="4" t="s">
        <v>83</v>
      </c>
      <c r="N142" s="3">
        <v>5</v>
      </c>
      <c r="O142" s="4" t="str" cm="1">
        <f t="array" ref="O142">_xlfn.IFS(P142&lt;=2,"Poor",P142=3,"Average",P142&gt;=4,"Good")</f>
        <v>Poor</v>
      </c>
      <c r="P142" s="3">
        <v>1</v>
      </c>
      <c r="Q142" s="2">
        <v>2</v>
      </c>
      <c r="R142" s="4" t="s">
        <v>57</v>
      </c>
      <c r="S142" s="4" t="s">
        <v>84</v>
      </c>
      <c r="T142" s="3">
        <v>0</v>
      </c>
      <c r="U142" s="4" t="str" cm="1">
        <f t="array" ref="U142">_xlfn.IFS(V142&lt;=4, "Dissatisfied",V142&lt;=7,"Neutral",V142&gt;=8,"Satisfied")</f>
        <v>Neutral</v>
      </c>
      <c r="V142" s="3">
        <v>5</v>
      </c>
      <c r="W142" s="4" t="s">
        <v>72</v>
      </c>
      <c r="X142" s="4" t="s">
        <v>60</v>
      </c>
      <c r="Y142" s="4" t="s">
        <v>119</v>
      </c>
      <c r="Z142" s="1">
        <v>45351</v>
      </c>
      <c r="AA142" s="4" t="str" cm="1">
        <f t="array" ref="AA142">_xlfn.IFS(OR(AB142="December", AB142="February", AB142="January"), "Winter", OR(AB142="March", AB142="April", AB142="May"), "Spring", OR(AB142="June", AB142="July", AB142="August"), "Summer", TRUE, "Autumn")</f>
        <v>Winter</v>
      </c>
      <c r="AB142" s="7" t="str">
        <f>TEXT(Z142, "mmmm")</f>
        <v>February</v>
      </c>
      <c r="AC142" s="1" t="str">
        <f>TEXT(Z142, "dddd")</f>
        <v>Thursday</v>
      </c>
      <c r="AD142" s="4" t="s">
        <v>62</v>
      </c>
      <c r="AE142" s="4" t="s">
        <v>62</v>
      </c>
      <c r="AF142" s="4" t="s">
        <v>92</v>
      </c>
      <c r="AG142" s="4" t="s">
        <v>64</v>
      </c>
      <c r="AH142" s="3">
        <v>3</v>
      </c>
    </row>
    <row r="143" spans="1:34">
      <c r="A143" s="4" t="s">
        <v>394</v>
      </c>
      <c r="B143" s="3">
        <v>30</v>
      </c>
      <c r="C143" s="9" t="str" cm="1">
        <f t="array" ref="C143">_xlfn.IFS(B143&gt;65,"+65",B143&gt;54,"55-65",B143&gt;44,"45-54",B143&gt;35,"36-44",B143&gt;25,"26-35",B143&gt;=18,"18-25")</f>
        <v>26-35</v>
      </c>
      <c r="D143" s="4" t="s">
        <v>66</v>
      </c>
      <c r="E143" s="4" t="s">
        <v>72</v>
      </c>
      <c r="F143" s="4" t="s">
        <v>67</v>
      </c>
      <c r="G143" s="4" t="s">
        <v>53</v>
      </c>
      <c r="H143" s="4" t="s">
        <v>395</v>
      </c>
      <c r="I143" s="4" t="s">
        <v>97</v>
      </c>
      <c r="J143" s="5">
        <v>404.12</v>
      </c>
      <c r="K143" s="3">
        <v>6</v>
      </c>
      <c r="L143" s="4" t="str">
        <f>IF(AND(J143&gt;350,K143&gt;6), "True","False")</f>
        <v>False</v>
      </c>
      <c r="M143" s="4" t="s">
        <v>71</v>
      </c>
      <c r="N143" s="3">
        <v>1</v>
      </c>
      <c r="O143" s="4" t="str" cm="1">
        <f t="array" ref="O143">_xlfn.IFS(P143&lt;=2,"Poor",P143=3,"Average",P143&gt;=4,"Good")</f>
        <v>Average</v>
      </c>
      <c r="P143" s="3">
        <v>3</v>
      </c>
      <c r="Q143" s="2">
        <v>1</v>
      </c>
      <c r="R143" s="4" t="s">
        <v>72</v>
      </c>
      <c r="S143" s="4" t="s">
        <v>73</v>
      </c>
      <c r="T143" s="3">
        <v>0</v>
      </c>
      <c r="U143" s="4" t="str" cm="1">
        <f t="array" ref="U143">_xlfn.IFS(V143&lt;=4, "Dissatisfied",V143&lt;=7,"Neutral",V143&gt;=8,"Satisfied")</f>
        <v>Dissatisfied</v>
      </c>
      <c r="V143" s="3">
        <v>4</v>
      </c>
      <c r="W143" s="4" t="s">
        <v>59</v>
      </c>
      <c r="X143" s="4" t="s">
        <v>60</v>
      </c>
      <c r="Y143" s="4" t="s">
        <v>75</v>
      </c>
      <c r="Z143" s="1">
        <v>45351</v>
      </c>
      <c r="AA143" s="4" t="str" cm="1">
        <f t="array" ref="AA143">_xlfn.IFS(OR(AB143="December", AB143="February", AB143="January"), "Winter", OR(AB143="March", AB143="April", AB143="May"), "Spring", OR(AB143="June", AB143="July", AB143="August"), "Summer", TRUE, "Autumn")</f>
        <v>Winter</v>
      </c>
      <c r="AB143" s="7" t="str">
        <f>TEXT(Z143, "mmmm")</f>
        <v>February</v>
      </c>
      <c r="AC143" s="1" t="str">
        <f>TEXT(Z143, "dddd")</f>
        <v>Thursday</v>
      </c>
      <c r="AD143" s="4" t="s">
        <v>76</v>
      </c>
      <c r="AE143" s="4" t="s">
        <v>76</v>
      </c>
      <c r="AF143" s="4" t="s">
        <v>92</v>
      </c>
      <c r="AG143" s="4" t="s">
        <v>93</v>
      </c>
      <c r="AH143" s="3">
        <v>11</v>
      </c>
    </row>
    <row r="144" spans="1:34">
      <c r="A144" s="4" t="s">
        <v>396</v>
      </c>
      <c r="B144" s="3">
        <v>29</v>
      </c>
      <c r="C144" s="9" t="str" cm="1">
        <f t="array" ref="C144">_xlfn.IFS(B144&gt;65,"+65",B144&gt;54,"55-65",B144&gt;44,"45-54",B144&gt;35,"36-44",B144&gt;25,"26-35",B144&gt;=18,"18-25")</f>
        <v>26-35</v>
      </c>
      <c r="D144" s="4" t="s">
        <v>78</v>
      </c>
      <c r="E144" s="4" t="s">
        <v>72</v>
      </c>
      <c r="F144" s="4" t="s">
        <v>95</v>
      </c>
      <c r="G144" s="4" t="s">
        <v>53</v>
      </c>
      <c r="H144" s="4" t="s">
        <v>397</v>
      </c>
      <c r="I144" s="4" t="s">
        <v>169</v>
      </c>
      <c r="J144" s="5">
        <v>282.82</v>
      </c>
      <c r="K144" s="3">
        <v>6</v>
      </c>
      <c r="L144" s="4" t="str">
        <f>IF(AND(J144&gt;350,K144&gt;6), "True","False")</f>
        <v>False</v>
      </c>
      <c r="M144" s="4" t="s">
        <v>71</v>
      </c>
      <c r="N144" s="3">
        <v>5</v>
      </c>
      <c r="O144" s="4" t="str" cm="1">
        <f t="array" ref="O144">_xlfn.IFS(P144&lt;=2,"Poor",P144=3,"Average",P144&gt;=4,"Good")</f>
        <v>Average</v>
      </c>
      <c r="P144" s="3">
        <v>3</v>
      </c>
      <c r="Q144" s="2">
        <v>2</v>
      </c>
      <c r="R144" s="4" t="s">
        <v>85</v>
      </c>
      <c r="S144" s="4" t="s">
        <v>73</v>
      </c>
      <c r="T144" s="3">
        <v>2</v>
      </c>
      <c r="U144" s="4" t="str" cm="1">
        <f t="array" ref="U144">_xlfn.IFS(V144&lt;=4, "Dissatisfied",V144&lt;=7,"Neutral",V144&gt;=8,"Satisfied")</f>
        <v>Neutral</v>
      </c>
      <c r="V144" s="3">
        <v>7</v>
      </c>
      <c r="W144" s="4" t="s">
        <v>57</v>
      </c>
      <c r="X144" s="4" t="s">
        <v>101</v>
      </c>
      <c r="Y144" s="4" t="s">
        <v>111</v>
      </c>
      <c r="Z144" s="1">
        <v>45351</v>
      </c>
      <c r="AA144" s="4" t="str" cm="1">
        <f t="array" ref="AA144">_xlfn.IFS(OR(AB144="December", AB144="February", AB144="January"), "Winter", OR(AB144="March", AB144="April", AB144="May"), "Spring", OR(AB144="June", AB144="July", AB144="August"), "Summer", TRUE, "Autumn")</f>
        <v>Winter</v>
      </c>
      <c r="AB144" s="7" t="str">
        <f>TEXT(Z144, "mmmm")</f>
        <v>February</v>
      </c>
      <c r="AC144" s="1" t="str">
        <f>TEXT(Z144, "dddd")</f>
        <v>Thursday</v>
      </c>
      <c r="AD144" s="4" t="s">
        <v>76</v>
      </c>
      <c r="AE144" s="4" t="s">
        <v>62</v>
      </c>
      <c r="AF144" s="4" t="s">
        <v>102</v>
      </c>
      <c r="AG144" s="4" t="s">
        <v>64</v>
      </c>
      <c r="AH144" s="3">
        <v>3</v>
      </c>
    </row>
    <row r="145" spans="1:34">
      <c r="A145" s="4" t="s">
        <v>398</v>
      </c>
      <c r="B145" s="3">
        <v>22</v>
      </c>
      <c r="C145" s="9" t="str" cm="1">
        <f t="array" ref="C145">_xlfn.IFS(B145&gt;65,"+65",B145&gt;54,"55-65",B145&gt;44,"45-54",B145&gt;35,"36-44",B145&gt;25,"26-35",B145&gt;=18,"18-25")</f>
        <v>18-25</v>
      </c>
      <c r="D145" s="4" t="s">
        <v>78</v>
      </c>
      <c r="E145" s="4" t="s">
        <v>51</v>
      </c>
      <c r="F145" s="4" t="s">
        <v>67</v>
      </c>
      <c r="G145" s="4" t="s">
        <v>53</v>
      </c>
      <c r="H145" s="4" t="s">
        <v>399</v>
      </c>
      <c r="I145" s="4" t="s">
        <v>82</v>
      </c>
      <c r="J145" s="5">
        <v>333.8</v>
      </c>
      <c r="K145" s="3">
        <v>4</v>
      </c>
      <c r="L145" s="4" t="str">
        <f>IF(AND(J145&gt;350,K145&gt;6), "True","False")</f>
        <v>False</v>
      </c>
      <c r="M145" s="4" t="s">
        <v>83</v>
      </c>
      <c r="N145" s="3">
        <v>5</v>
      </c>
      <c r="O145" s="4" t="str" cm="1">
        <f t="array" ref="O145">_xlfn.IFS(P145&lt;=2,"Poor",P145=3,"Average",P145&gt;=4,"Good")</f>
        <v>Good</v>
      </c>
      <c r="P145" s="3">
        <v>5</v>
      </c>
      <c r="Q145" s="2">
        <v>2</v>
      </c>
      <c r="R145" s="4" t="s">
        <v>57</v>
      </c>
      <c r="S145" s="4" t="s">
        <v>84</v>
      </c>
      <c r="T145" s="3">
        <v>1</v>
      </c>
      <c r="U145" s="4" t="str" cm="1">
        <f t="array" ref="U145">_xlfn.IFS(V145&lt;=4, "Dissatisfied",V145&lt;=7,"Neutral",V145&gt;=8,"Satisfied")</f>
        <v>Neutral</v>
      </c>
      <c r="V145" s="3">
        <v>7</v>
      </c>
      <c r="W145" s="4" t="s">
        <v>57</v>
      </c>
      <c r="X145" s="4" t="s">
        <v>74</v>
      </c>
      <c r="Y145" s="4" t="s">
        <v>119</v>
      </c>
      <c r="Z145" s="1">
        <v>45352</v>
      </c>
      <c r="AA145" s="4" t="str" cm="1">
        <f t="array" ref="AA145">_xlfn.IFS(OR(AB145="December", AB145="February", AB145="January"), "Winter", OR(AB145="March", AB145="April", AB145="May"), "Spring", OR(AB145="June", AB145="July", AB145="August"), "Summer", TRUE, "Autumn")</f>
        <v>Spring</v>
      </c>
      <c r="AB145" s="7" t="str">
        <f>TEXT(Z145, "mmmm")</f>
        <v>March</v>
      </c>
      <c r="AC145" s="1" t="str">
        <f>TEXT(Z145, "dddd")</f>
        <v>Friday</v>
      </c>
      <c r="AD145" s="4" t="s">
        <v>62</v>
      </c>
      <c r="AE145" s="4" t="s">
        <v>76</v>
      </c>
      <c r="AF145" s="4" t="s">
        <v>63</v>
      </c>
      <c r="AG145" s="4" t="s">
        <v>88</v>
      </c>
      <c r="AH145" s="3">
        <v>2</v>
      </c>
    </row>
    <row r="146" spans="1:34">
      <c r="A146" s="4" t="s">
        <v>400</v>
      </c>
      <c r="B146" s="3">
        <v>21</v>
      </c>
      <c r="C146" s="9" t="str" cm="1">
        <f t="array" ref="C146">_xlfn.IFS(B146&gt;65,"+65",B146&gt;54,"55-65",B146&gt;44,"45-54",B146&gt;35,"36-44",B146&gt;25,"26-35",B146&gt;=18,"18-25")</f>
        <v>18-25</v>
      </c>
      <c r="D146" s="4" t="s">
        <v>66</v>
      </c>
      <c r="E146" s="4" t="s">
        <v>51</v>
      </c>
      <c r="F146" s="4" t="s">
        <v>79</v>
      </c>
      <c r="G146" s="4" t="s">
        <v>53</v>
      </c>
      <c r="H146" s="4" t="s">
        <v>401</v>
      </c>
      <c r="I146" s="4" t="s">
        <v>164</v>
      </c>
      <c r="J146" s="5">
        <v>320.5</v>
      </c>
      <c r="K146" s="3">
        <v>10</v>
      </c>
      <c r="L146" s="4" t="str">
        <f>IF(AND(J146&gt;350,K146&gt;6), "True","False")</f>
        <v>False</v>
      </c>
      <c r="M146" s="4" t="s">
        <v>71</v>
      </c>
      <c r="N146" s="3">
        <v>3</v>
      </c>
      <c r="O146" s="4" t="str" cm="1">
        <f t="array" ref="O146">_xlfn.IFS(P146&lt;=2,"Poor",P146=3,"Average",P146&gt;=4,"Good")</f>
        <v>Good</v>
      </c>
      <c r="P146" s="3">
        <v>4</v>
      </c>
      <c r="Q146" s="2">
        <v>2</v>
      </c>
      <c r="R146" s="4" t="s">
        <v>59</v>
      </c>
      <c r="S146" s="4" t="s">
        <v>84</v>
      </c>
      <c r="T146" s="3">
        <v>0</v>
      </c>
      <c r="U146" s="4" t="str" cm="1">
        <f t="array" ref="U146">_xlfn.IFS(V146&lt;=4, "Dissatisfied",V146&lt;=7,"Neutral",V146&gt;=8,"Satisfied")</f>
        <v>Satisfied</v>
      </c>
      <c r="V146" s="3">
        <v>9</v>
      </c>
      <c r="W146" s="4" t="s">
        <v>59</v>
      </c>
      <c r="X146" s="4" t="s">
        <v>74</v>
      </c>
      <c r="Y146" s="4" t="s">
        <v>61</v>
      </c>
      <c r="Z146" s="1">
        <v>45352</v>
      </c>
      <c r="AA146" s="4" t="str" cm="1">
        <f t="array" ref="AA146">_xlfn.IFS(OR(AB146="December", AB146="February", AB146="January"), "Winter", OR(AB146="March", AB146="April", AB146="May"), "Spring", OR(AB146="June", AB146="July", AB146="August"), "Summer", TRUE, "Autumn")</f>
        <v>Spring</v>
      </c>
      <c r="AB146" s="7" t="str">
        <f>TEXT(Z146, "mmmm")</f>
        <v>March</v>
      </c>
      <c r="AC146" s="1" t="str">
        <f>TEXT(Z146, "dddd")</f>
        <v>Friday</v>
      </c>
      <c r="AD146" s="4" t="s">
        <v>62</v>
      </c>
      <c r="AE146" s="4" t="s">
        <v>76</v>
      </c>
      <c r="AF146" s="4" t="s">
        <v>63</v>
      </c>
      <c r="AG146" s="4" t="s">
        <v>93</v>
      </c>
      <c r="AH146" s="3">
        <v>9</v>
      </c>
    </row>
    <row r="147" spans="1:34">
      <c r="A147" s="4" t="s">
        <v>402</v>
      </c>
      <c r="B147" s="3">
        <v>45</v>
      </c>
      <c r="C147" s="9" t="str" cm="1">
        <f t="array" ref="C147">_xlfn.IFS(B147&gt;65,"+65",B147&gt;54,"55-65",B147&gt;44,"45-54",B147&gt;35,"36-44",B147&gt;25,"26-35",B147&gt;=18,"18-25")</f>
        <v>45-54</v>
      </c>
      <c r="D147" s="4" t="s">
        <v>78</v>
      </c>
      <c r="E147" s="4" t="s">
        <v>51</v>
      </c>
      <c r="F147" s="4" t="s">
        <v>67</v>
      </c>
      <c r="G147" s="4" t="s">
        <v>68</v>
      </c>
      <c r="H147" s="4" t="s">
        <v>171</v>
      </c>
      <c r="I147" s="4" t="s">
        <v>100</v>
      </c>
      <c r="J147" s="5">
        <v>492.83</v>
      </c>
      <c r="K147" s="3">
        <v>5</v>
      </c>
      <c r="L147" s="4" t="str">
        <f>IF(AND(J147&gt;350,K147&gt;6), "True","False")</f>
        <v>False</v>
      </c>
      <c r="M147" s="4" t="s">
        <v>56</v>
      </c>
      <c r="N147" s="3">
        <v>2</v>
      </c>
      <c r="O147" s="4" t="str" cm="1">
        <f t="array" ref="O147">_xlfn.IFS(P147&lt;=2,"Poor",P147=3,"Average",P147&gt;=4,"Good")</f>
        <v>Poor</v>
      </c>
      <c r="P147" s="3">
        <v>1</v>
      </c>
      <c r="Q147" s="2">
        <v>0</v>
      </c>
      <c r="R147" s="4" t="s">
        <v>72</v>
      </c>
      <c r="S147" s="4" t="s">
        <v>73</v>
      </c>
      <c r="T147" s="3">
        <v>0</v>
      </c>
      <c r="U147" s="4" t="str" cm="1">
        <f t="array" ref="U147">_xlfn.IFS(V147&lt;=4, "Dissatisfied",V147&lt;=7,"Neutral",V147&gt;=8,"Satisfied")</f>
        <v>Dissatisfied</v>
      </c>
      <c r="V147" s="3">
        <v>4</v>
      </c>
      <c r="W147" s="4" t="s">
        <v>72</v>
      </c>
      <c r="X147" s="4" t="s">
        <v>74</v>
      </c>
      <c r="Y147" s="4" t="s">
        <v>75</v>
      </c>
      <c r="Z147" s="1">
        <v>45353</v>
      </c>
      <c r="AA147" s="4" t="str" cm="1">
        <f t="array" ref="AA147">_xlfn.IFS(OR(AB147="December", AB147="February", AB147="January"), "Winter", OR(AB147="March", AB147="April", AB147="May"), "Spring", OR(AB147="June", AB147="July", AB147="August"), "Summer", TRUE, "Autumn")</f>
        <v>Spring</v>
      </c>
      <c r="AB147" s="7" t="str">
        <f>TEXT(Z147, "mmmm")</f>
        <v>March</v>
      </c>
      <c r="AC147" s="1" t="str">
        <f>TEXT(Z147, "dddd")</f>
        <v>Saturday</v>
      </c>
      <c r="AD147" s="4" t="s">
        <v>62</v>
      </c>
      <c r="AE147" s="4" t="s">
        <v>76</v>
      </c>
      <c r="AF147" s="4" t="s">
        <v>63</v>
      </c>
      <c r="AG147" s="4" t="s">
        <v>88</v>
      </c>
      <c r="AH147" s="3">
        <v>2</v>
      </c>
    </row>
    <row r="148" spans="1:34">
      <c r="A148" s="4" t="s">
        <v>403</v>
      </c>
      <c r="B148" s="3">
        <v>25</v>
      </c>
      <c r="C148" s="9" t="str" cm="1">
        <f t="array" ref="C148">_xlfn.IFS(B148&gt;65,"+65",B148&gt;54,"55-65",B148&gt;44,"45-54",B148&gt;35,"36-44",B148&gt;25,"26-35",B148&gt;=18,"18-25")</f>
        <v>18-25</v>
      </c>
      <c r="D148" s="4" t="s">
        <v>66</v>
      </c>
      <c r="E148" s="4" t="s">
        <v>51</v>
      </c>
      <c r="F148" s="4" t="s">
        <v>95</v>
      </c>
      <c r="G148" s="4" t="s">
        <v>80</v>
      </c>
      <c r="H148" s="4" t="s">
        <v>404</v>
      </c>
      <c r="I148" s="4" t="s">
        <v>82</v>
      </c>
      <c r="J148" s="5">
        <v>138.19999999999999</v>
      </c>
      <c r="K148" s="3">
        <v>8</v>
      </c>
      <c r="L148" s="4" t="str">
        <f>IF(AND(J148&gt;350,K148&gt;6), "True","False")</f>
        <v>False</v>
      </c>
      <c r="M148" s="4" t="s">
        <v>71</v>
      </c>
      <c r="N148" s="3">
        <v>1</v>
      </c>
      <c r="O148" s="4" t="str" cm="1">
        <f t="array" ref="O148">_xlfn.IFS(P148&lt;=2,"Poor",P148=3,"Average",P148&gt;=4,"Good")</f>
        <v>Poor</v>
      </c>
      <c r="P148" s="3">
        <v>2</v>
      </c>
      <c r="Q148" s="2">
        <v>2</v>
      </c>
      <c r="R148" s="4" t="s">
        <v>72</v>
      </c>
      <c r="S148" s="4" t="s">
        <v>58</v>
      </c>
      <c r="T148" s="3">
        <v>0</v>
      </c>
      <c r="U148" s="4" t="str" cm="1">
        <f t="array" ref="U148">_xlfn.IFS(V148&lt;=4, "Dissatisfied",V148&lt;=7,"Neutral",V148&gt;=8,"Satisfied")</f>
        <v>Neutral</v>
      </c>
      <c r="V148" s="3">
        <v>6</v>
      </c>
      <c r="W148" s="4" t="s">
        <v>59</v>
      </c>
      <c r="X148" s="4" t="s">
        <v>101</v>
      </c>
      <c r="Y148" s="4" t="s">
        <v>75</v>
      </c>
      <c r="Z148" s="1">
        <v>45353</v>
      </c>
      <c r="AA148" s="4" t="str" cm="1">
        <f t="array" ref="AA148">_xlfn.IFS(OR(AB148="December", AB148="February", AB148="January"), "Winter", OR(AB148="March", AB148="April", AB148="May"), "Spring", OR(AB148="June", AB148="July", AB148="August"), "Summer", TRUE, "Autumn")</f>
        <v>Spring</v>
      </c>
      <c r="AB148" s="7" t="str">
        <f>TEXT(Z148, "mmmm")</f>
        <v>March</v>
      </c>
      <c r="AC148" s="1" t="str">
        <f>TEXT(Z148, "dddd")</f>
        <v>Saturday</v>
      </c>
      <c r="AD148" s="4" t="s">
        <v>76</v>
      </c>
      <c r="AE148" s="4" t="s">
        <v>62</v>
      </c>
      <c r="AF148" s="4" t="s">
        <v>63</v>
      </c>
      <c r="AG148" s="4" t="s">
        <v>88</v>
      </c>
      <c r="AH148" s="3">
        <v>12</v>
      </c>
    </row>
    <row r="149" spans="1:34">
      <c r="A149" s="4" t="s">
        <v>405</v>
      </c>
      <c r="B149" s="3">
        <v>24</v>
      </c>
      <c r="C149" s="9" t="str" cm="1">
        <f t="array" ref="C149">_xlfn.IFS(B149&gt;65,"+65",B149&gt;54,"55-65",B149&gt;44,"45-54",B149&gt;35,"36-44",B149&gt;25,"26-35",B149&gt;=18,"18-25")</f>
        <v>18-25</v>
      </c>
      <c r="D149" s="4" t="s">
        <v>78</v>
      </c>
      <c r="E149" s="4" t="s">
        <v>51</v>
      </c>
      <c r="F149" s="4" t="s">
        <v>95</v>
      </c>
      <c r="G149" s="4" t="s">
        <v>53</v>
      </c>
      <c r="H149" s="4" t="s">
        <v>406</v>
      </c>
      <c r="I149" s="4" t="s">
        <v>234</v>
      </c>
      <c r="J149" s="5">
        <v>465.07</v>
      </c>
      <c r="K149" s="3">
        <v>8</v>
      </c>
      <c r="L149" s="4" t="str">
        <f>IF(AND(J149&gt;350,K149&gt;6), "True","False")</f>
        <v>True</v>
      </c>
      <c r="M149" s="4" t="s">
        <v>56</v>
      </c>
      <c r="N149" s="3">
        <v>2</v>
      </c>
      <c r="O149" s="4" t="str" cm="1">
        <f t="array" ref="O149">_xlfn.IFS(P149&lt;=2,"Poor",P149=3,"Average",P149&gt;=4,"Good")</f>
        <v>Good</v>
      </c>
      <c r="P149" s="3">
        <v>4</v>
      </c>
      <c r="Q149" s="2">
        <v>0</v>
      </c>
      <c r="R149" s="4" t="s">
        <v>85</v>
      </c>
      <c r="S149" s="4" t="s">
        <v>58</v>
      </c>
      <c r="T149" s="3">
        <v>1</v>
      </c>
      <c r="U149" s="4" t="str" cm="1">
        <f t="array" ref="U149">_xlfn.IFS(V149&lt;=4, "Dissatisfied",V149&lt;=7,"Neutral",V149&gt;=8,"Satisfied")</f>
        <v>Dissatisfied</v>
      </c>
      <c r="V149" s="3">
        <v>2</v>
      </c>
      <c r="W149" s="4" t="s">
        <v>72</v>
      </c>
      <c r="X149" s="4" t="s">
        <v>101</v>
      </c>
      <c r="Y149" s="4" t="s">
        <v>61</v>
      </c>
      <c r="Z149" s="1">
        <v>45353</v>
      </c>
      <c r="AA149" s="4" t="str" cm="1">
        <f t="array" ref="AA149">_xlfn.IFS(OR(AB149="December", AB149="February", AB149="January"), "Winter", OR(AB149="March", AB149="April", AB149="May"), "Spring", OR(AB149="June", AB149="July", AB149="August"), "Summer", TRUE, "Autumn")</f>
        <v>Spring</v>
      </c>
      <c r="AB149" s="7" t="str">
        <f>TEXT(Z149, "mmmm")</f>
        <v>March</v>
      </c>
      <c r="AC149" s="1" t="str">
        <f>TEXT(Z149, "dddd")</f>
        <v>Saturday</v>
      </c>
      <c r="AD149" s="4" t="s">
        <v>76</v>
      </c>
      <c r="AE149" s="4" t="s">
        <v>76</v>
      </c>
      <c r="AF149" s="4" t="s">
        <v>102</v>
      </c>
      <c r="AG149" s="4" t="s">
        <v>88</v>
      </c>
      <c r="AH149" s="3">
        <v>8</v>
      </c>
    </row>
    <row r="150" spans="1:34">
      <c r="A150" s="4" t="s">
        <v>407</v>
      </c>
      <c r="B150" s="3">
        <v>23</v>
      </c>
      <c r="C150" s="9" t="str" cm="1">
        <f t="array" ref="C150">_xlfn.IFS(B150&gt;65,"+65",B150&gt;54,"55-65",B150&gt;44,"45-54",B150&gt;35,"36-44",B150&gt;25,"26-35",B150&gt;=18,"18-25")</f>
        <v>18-25</v>
      </c>
      <c r="D150" s="4" t="s">
        <v>66</v>
      </c>
      <c r="E150" s="4" t="s">
        <v>51</v>
      </c>
      <c r="F150" s="4" t="s">
        <v>67</v>
      </c>
      <c r="G150" s="4" t="s">
        <v>68</v>
      </c>
      <c r="H150" s="4" t="s">
        <v>408</v>
      </c>
      <c r="I150" s="4" t="s">
        <v>118</v>
      </c>
      <c r="J150" s="5">
        <v>334.22</v>
      </c>
      <c r="K150" s="3">
        <v>8</v>
      </c>
      <c r="L150" s="4" t="str">
        <f>IF(AND(J150&gt;350,K150&gt;6), "True","False")</f>
        <v>False</v>
      </c>
      <c r="M150" s="4" t="s">
        <v>56</v>
      </c>
      <c r="N150" s="3">
        <v>2</v>
      </c>
      <c r="O150" s="4" t="str" cm="1">
        <f t="array" ref="O150">_xlfn.IFS(P150&lt;=2,"Poor",P150=3,"Average",P150&gt;=4,"Good")</f>
        <v>Poor</v>
      </c>
      <c r="P150" s="3">
        <v>2</v>
      </c>
      <c r="Q150" s="2">
        <v>2</v>
      </c>
      <c r="R150" s="4" t="s">
        <v>57</v>
      </c>
      <c r="S150" s="4" t="s">
        <v>73</v>
      </c>
      <c r="T150" s="3">
        <v>2</v>
      </c>
      <c r="U150" s="4" t="str" cm="1">
        <f t="array" ref="U150">_xlfn.IFS(V150&lt;=4, "Dissatisfied",V150&lt;=7,"Neutral",V150&gt;=8,"Satisfied")</f>
        <v>Satisfied</v>
      </c>
      <c r="V150" s="3">
        <v>8</v>
      </c>
      <c r="W150" s="4" t="s">
        <v>57</v>
      </c>
      <c r="X150" s="4" t="s">
        <v>74</v>
      </c>
      <c r="Y150" s="4" t="s">
        <v>61</v>
      </c>
      <c r="Z150" s="1">
        <v>45353</v>
      </c>
      <c r="AA150" s="4" t="str" cm="1">
        <f t="array" ref="AA150">_xlfn.IFS(OR(AB150="December", AB150="February", AB150="January"), "Winter", OR(AB150="March", AB150="April", AB150="May"), "Spring", OR(AB150="June", AB150="July", AB150="August"), "Summer", TRUE, "Autumn")</f>
        <v>Spring</v>
      </c>
      <c r="AB150" s="7" t="str">
        <f>TEXT(Z150, "mmmm")</f>
        <v>March</v>
      </c>
      <c r="AC150" s="1" t="str">
        <f>TEXT(Z150, "dddd")</f>
        <v>Saturday</v>
      </c>
      <c r="AD150" s="4" t="s">
        <v>76</v>
      </c>
      <c r="AE150" s="4" t="s">
        <v>76</v>
      </c>
      <c r="AF150" s="4" t="s">
        <v>63</v>
      </c>
      <c r="AG150" s="4" t="s">
        <v>64</v>
      </c>
      <c r="AH150" s="3">
        <v>1</v>
      </c>
    </row>
    <row r="151" spans="1:34">
      <c r="A151" s="4" t="s">
        <v>409</v>
      </c>
      <c r="B151" s="3">
        <v>47</v>
      </c>
      <c r="C151" s="9" t="str" cm="1">
        <f t="array" ref="C151">_xlfn.IFS(B151&gt;65,"+65",B151&gt;54,"55-65",B151&gt;44,"45-54",B151&gt;35,"36-44",B151&gt;25,"26-35",B151&gt;=18,"18-25")</f>
        <v>45-54</v>
      </c>
      <c r="D151" s="4" t="s">
        <v>78</v>
      </c>
      <c r="E151" s="4" t="s">
        <v>72</v>
      </c>
      <c r="F151" s="4" t="s">
        <v>52</v>
      </c>
      <c r="G151" s="4" t="s">
        <v>80</v>
      </c>
      <c r="H151" s="4" t="s">
        <v>410</v>
      </c>
      <c r="I151" s="4" t="s">
        <v>97</v>
      </c>
      <c r="J151" s="5">
        <v>70.3</v>
      </c>
      <c r="K151" s="3">
        <v>6</v>
      </c>
      <c r="L151" s="4" t="str">
        <f>IF(AND(J151&gt;350,K151&gt;6), "True","False")</f>
        <v>False</v>
      </c>
      <c r="M151" s="4" t="s">
        <v>56</v>
      </c>
      <c r="N151" s="3">
        <v>3</v>
      </c>
      <c r="O151" s="4" t="str" cm="1">
        <f t="array" ref="O151">_xlfn.IFS(P151&lt;=2,"Poor",P151=3,"Average",P151&gt;=4,"Good")</f>
        <v>Good</v>
      </c>
      <c r="P151" s="3">
        <v>5</v>
      </c>
      <c r="Q151" s="2">
        <v>0</v>
      </c>
      <c r="R151" s="4" t="s">
        <v>57</v>
      </c>
      <c r="S151" s="4" t="s">
        <v>73</v>
      </c>
      <c r="T151" s="3">
        <v>1</v>
      </c>
      <c r="U151" s="4" t="str" cm="1">
        <f t="array" ref="U151">_xlfn.IFS(V151&lt;=4, "Dissatisfied",V151&lt;=7,"Neutral",V151&gt;=8,"Satisfied")</f>
        <v>Satisfied</v>
      </c>
      <c r="V151" s="3">
        <v>8</v>
      </c>
      <c r="W151" s="4" t="s">
        <v>85</v>
      </c>
      <c r="X151" s="4" t="s">
        <v>101</v>
      </c>
      <c r="Y151" s="4" t="s">
        <v>61</v>
      </c>
      <c r="Z151" s="1">
        <v>45354</v>
      </c>
      <c r="AA151" s="4" t="str" cm="1">
        <f t="array" ref="AA151">_xlfn.IFS(OR(AB151="December", AB151="February", AB151="January"), "Winter", OR(AB151="March", AB151="April", AB151="May"), "Spring", OR(AB151="June", AB151="July", AB151="August"), "Summer", TRUE, "Autumn")</f>
        <v>Spring</v>
      </c>
      <c r="AB151" s="7" t="str">
        <f>TEXT(Z151, "mmmm")</f>
        <v>March</v>
      </c>
      <c r="AC151" s="1" t="str">
        <f>TEXT(Z151, "dddd")</f>
        <v>Sunday</v>
      </c>
      <c r="AD151" s="4" t="s">
        <v>62</v>
      </c>
      <c r="AE151" s="4" t="s">
        <v>62</v>
      </c>
      <c r="AF151" s="4" t="s">
        <v>63</v>
      </c>
      <c r="AG151" s="4" t="s">
        <v>64</v>
      </c>
      <c r="AH151" s="3">
        <v>3</v>
      </c>
    </row>
    <row r="152" spans="1:34">
      <c r="A152" s="4" t="s">
        <v>411</v>
      </c>
      <c r="B152" s="3">
        <v>43</v>
      </c>
      <c r="C152" s="9" t="str" cm="1">
        <f t="array" ref="C152">_xlfn.IFS(B152&gt;65,"+65",B152&gt;54,"55-65",B152&gt;44,"45-54",B152&gt;35,"36-44",B152&gt;25,"26-35",B152&gt;=18,"18-25")</f>
        <v>36-44</v>
      </c>
      <c r="D152" s="4" t="s">
        <v>66</v>
      </c>
      <c r="E152" s="4" t="s">
        <v>72</v>
      </c>
      <c r="F152" s="4" t="s">
        <v>95</v>
      </c>
      <c r="G152" s="4" t="s">
        <v>53</v>
      </c>
      <c r="H152" s="4" t="s">
        <v>412</v>
      </c>
      <c r="I152" s="4" t="s">
        <v>55</v>
      </c>
      <c r="J152" s="5">
        <v>293.04000000000002</v>
      </c>
      <c r="K152" s="3">
        <v>11</v>
      </c>
      <c r="L152" s="4" t="str">
        <f>IF(AND(J152&gt;350,K152&gt;6), "True","False")</f>
        <v>False</v>
      </c>
      <c r="M152" s="4" t="s">
        <v>71</v>
      </c>
      <c r="N152" s="3">
        <v>4</v>
      </c>
      <c r="O152" s="4" t="str" cm="1">
        <f t="array" ref="O152">_xlfn.IFS(P152&lt;=2,"Poor",P152=3,"Average",P152&gt;=4,"Good")</f>
        <v>Poor</v>
      </c>
      <c r="P152" s="3">
        <v>2</v>
      </c>
      <c r="Q152" s="2">
        <v>1</v>
      </c>
      <c r="R152" s="4" t="s">
        <v>57</v>
      </c>
      <c r="S152" s="4" t="s">
        <v>73</v>
      </c>
      <c r="T152" s="3">
        <v>1</v>
      </c>
      <c r="U152" s="4" t="str" cm="1">
        <f t="array" ref="U152">_xlfn.IFS(V152&lt;=4, "Dissatisfied",V152&lt;=7,"Neutral",V152&gt;=8,"Satisfied")</f>
        <v>Dissatisfied</v>
      </c>
      <c r="V152" s="3">
        <v>3</v>
      </c>
      <c r="W152" s="4" t="s">
        <v>59</v>
      </c>
      <c r="X152" s="4" t="s">
        <v>101</v>
      </c>
      <c r="Y152" s="4" t="s">
        <v>86</v>
      </c>
      <c r="Z152" s="1">
        <v>45354</v>
      </c>
      <c r="AA152" s="4" t="str" cm="1">
        <f t="array" ref="AA152">_xlfn.IFS(OR(AB152="December", AB152="February", AB152="January"), "Winter", OR(AB152="March", AB152="April", AB152="May"), "Spring", OR(AB152="June", AB152="July", AB152="August"), "Summer", TRUE, "Autumn")</f>
        <v>Spring</v>
      </c>
      <c r="AB152" s="7" t="str">
        <f>TEXT(Z152, "mmmm")</f>
        <v>March</v>
      </c>
      <c r="AC152" s="1" t="str">
        <f>TEXT(Z152, "dddd")</f>
        <v>Sunday</v>
      </c>
      <c r="AD152" s="4" t="s">
        <v>62</v>
      </c>
      <c r="AE152" s="4" t="s">
        <v>76</v>
      </c>
      <c r="AF152" s="4" t="s">
        <v>87</v>
      </c>
      <c r="AG152" s="4" t="s">
        <v>64</v>
      </c>
      <c r="AH152" s="3">
        <v>6</v>
      </c>
    </row>
    <row r="153" spans="1:34">
      <c r="A153" s="4" t="s">
        <v>413</v>
      </c>
      <c r="B153" s="3">
        <v>43</v>
      </c>
      <c r="C153" s="9" t="str" cm="1">
        <f t="array" ref="C153">_xlfn.IFS(B153&gt;65,"+65",B153&gt;54,"55-65",B153&gt;44,"45-54",B153&gt;35,"36-44",B153&gt;25,"26-35",B153&gt;=18,"18-25")</f>
        <v>36-44</v>
      </c>
      <c r="D153" s="4" t="s">
        <v>66</v>
      </c>
      <c r="E153" s="4" t="s">
        <v>72</v>
      </c>
      <c r="F153" s="4" t="s">
        <v>95</v>
      </c>
      <c r="G153" s="4" t="s">
        <v>53</v>
      </c>
      <c r="H153" s="4" t="s">
        <v>414</v>
      </c>
      <c r="I153" s="4" t="s">
        <v>194</v>
      </c>
      <c r="J153" s="5">
        <v>439.91</v>
      </c>
      <c r="K153" s="3">
        <v>5</v>
      </c>
      <c r="L153" s="4" t="str">
        <f>IF(AND(J153&gt;350,K153&gt;6), "True","False")</f>
        <v>False</v>
      </c>
      <c r="M153" s="4" t="s">
        <v>56</v>
      </c>
      <c r="N153" s="3">
        <v>1</v>
      </c>
      <c r="O153" s="4" t="str" cm="1">
        <f t="array" ref="O153">_xlfn.IFS(P153&lt;=2,"Poor",P153=3,"Average",P153&gt;=4,"Good")</f>
        <v>Good</v>
      </c>
      <c r="P153" s="3">
        <v>4</v>
      </c>
      <c r="Q153" s="2">
        <v>2</v>
      </c>
      <c r="R153" s="4" t="s">
        <v>59</v>
      </c>
      <c r="S153" s="4" t="s">
        <v>84</v>
      </c>
      <c r="T153" s="3">
        <v>0</v>
      </c>
      <c r="U153" s="4" t="str" cm="1">
        <f t="array" ref="U153">_xlfn.IFS(V153&lt;=4, "Dissatisfied",V153&lt;=7,"Neutral",V153&gt;=8,"Satisfied")</f>
        <v>Satisfied</v>
      </c>
      <c r="V153" s="3">
        <v>9</v>
      </c>
      <c r="W153" s="4" t="s">
        <v>85</v>
      </c>
      <c r="X153" s="4" t="s">
        <v>60</v>
      </c>
      <c r="Y153" s="4" t="s">
        <v>111</v>
      </c>
      <c r="Z153" s="1">
        <v>45354</v>
      </c>
      <c r="AA153" s="4" t="str" cm="1">
        <f t="array" ref="AA153">_xlfn.IFS(OR(AB153="December", AB153="February", AB153="January"), "Winter", OR(AB153="March", AB153="April", AB153="May"), "Spring", OR(AB153="June", AB153="July", AB153="August"), "Summer", TRUE, "Autumn")</f>
        <v>Spring</v>
      </c>
      <c r="AB153" s="7" t="str">
        <f>TEXT(Z153, "mmmm")</f>
        <v>March</v>
      </c>
      <c r="AC153" s="1" t="str">
        <f>TEXT(Z153, "dddd")</f>
        <v>Sunday</v>
      </c>
      <c r="AD153" s="4" t="s">
        <v>76</v>
      </c>
      <c r="AE153" s="4" t="s">
        <v>76</v>
      </c>
      <c r="AF153" s="4" t="s">
        <v>63</v>
      </c>
      <c r="AG153" s="4" t="s">
        <v>93</v>
      </c>
      <c r="AH153" s="3">
        <v>10</v>
      </c>
    </row>
    <row r="154" spans="1:34">
      <c r="A154" s="4" t="s">
        <v>415</v>
      </c>
      <c r="B154" s="3">
        <v>37</v>
      </c>
      <c r="C154" s="9" t="str" cm="1">
        <f t="array" ref="C154">_xlfn.IFS(B154&gt;65,"+65",B154&gt;54,"55-65",B154&gt;44,"45-54",B154&gt;35,"36-44",B154&gt;25,"26-35",B154&gt;=18,"18-25")</f>
        <v>36-44</v>
      </c>
      <c r="D154" s="4" t="s">
        <v>78</v>
      </c>
      <c r="E154" s="4" t="s">
        <v>51</v>
      </c>
      <c r="F154" s="4" t="s">
        <v>95</v>
      </c>
      <c r="G154" s="4" t="s">
        <v>53</v>
      </c>
      <c r="H154" s="4" t="s">
        <v>416</v>
      </c>
      <c r="I154" s="4" t="s">
        <v>151</v>
      </c>
      <c r="J154" s="5">
        <v>140.87</v>
      </c>
      <c r="K154" s="3">
        <v>8</v>
      </c>
      <c r="L154" s="4" t="str">
        <f>IF(AND(J154&gt;350,K154&gt;6), "True","False")</f>
        <v>False</v>
      </c>
      <c r="M154" s="4" t="s">
        <v>71</v>
      </c>
      <c r="N154" s="3">
        <v>3</v>
      </c>
      <c r="O154" s="4" t="str" cm="1">
        <f t="array" ref="O154">_xlfn.IFS(P154&lt;=2,"Poor",P154=3,"Average",P154&gt;=4,"Good")</f>
        <v>Average</v>
      </c>
      <c r="P154" s="3">
        <v>3</v>
      </c>
      <c r="Q154" s="2">
        <v>2</v>
      </c>
      <c r="R154" s="4" t="s">
        <v>59</v>
      </c>
      <c r="S154" s="4" t="s">
        <v>58</v>
      </c>
      <c r="T154" s="3">
        <v>2</v>
      </c>
      <c r="U154" s="4" t="str" cm="1">
        <f t="array" ref="U154">_xlfn.IFS(V154&lt;=4, "Dissatisfied",V154&lt;=7,"Neutral",V154&gt;=8,"Satisfied")</f>
        <v>Neutral</v>
      </c>
      <c r="V154" s="3">
        <v>7</v>
      </c>
      <c r="W154" s="4" t="s">
        <v>85</v>
      </c>
      <c r="X154" s="4" t="s">
        <v>74</v>
      </c>
      <c r="Y154" s="4" t="s">
        <v>111</v>
      </c>
      <c r="Z154" s="1">
        <v>45354</v>
      </c>
      <c r="AA154" s="4" t="str" cm="1">
        <f t="array" ref="AA154">_xlfn.IFS(OR(AB154="December", AB154="February", AB154="January"), "Winter", OR(AB154="March", AB154="April", AB154="May"), "Spring", OR(AB154="June", AB154="July", AB154="August"), "Summer", TRUE, "Autumn")</f>
        <v>Spring</v>
      </c>
      <c r="AB154" s="7" t="str">
        <f>TEXT(Z154, "mmmm")</f>
        <v>March</v>
      </c>
      <c r="AC154" s="1" t="str">
        <f>TEXT(Z154, "dddd")</f>
        <v>Sunday</v>
      </c>
      <c r="AD154" s="4" t="s">
        <v>62</v>
      </c>
      <c r="AE154" s="4" t="s">
        <v>76</v>
      </c>
      <c r="AF154" s="4" t="s">
        <v>92</v>
      </c>
      <c r="AG154" s="4" t="s">
        <v>88</v>
      </c>
      <c r="AH154" s="3">
        <v>9</v>
      </c>
    </row>
    <row r="155" spans="1:34">
      <c r="A155" s="4" t="s">
        <v>417</v>
      </c>
      <c r="B155" s="3">
        <v>36</v>
      </c>
      <c r="C155" s="9" t="str" cm="1">
        <f t="array" ref="C155">_xlfn.IFS(B155&gt;65,"+65",B155&gt;54,"55-65",B155&gt;44,"45-54",B155&gt;35,"36-44",B155&gt;25,"26-35",B155&gt;=18,"18-25")</f>
        <v>36-44</v>
      </c>
      <c r="D155" s="4" t="s">
        <v>78</v>
      </c>
      <c r="E155" s="4" t="s">
        <v>72</v>
      </c>
      <c r="F155" s="4" t="s">
        <v>79</v>
      </c>
      <c r="G155" s="4" t="s">
        <v>68</v>
      </c>
      <c r="H155" s="4" t="s">
        <v>418</v>
      </c>
      <c r="I155" s="4" t="s">
        <v>275</v>
      </c>
      <c r="J155" s="5">
        <v>245.14</v>
      </c>
      <c r="K155" s="3">
        <v>4</v>
      </c>
      <c r="L155" s="4" t="str">
        <f>IF(AND(J155&gt;350,K155&gt;6), "True","False")</f>
        <v>False</v>
      </c>
      <c r="M155" s="4" t="s">
        <v>56</v>
      </c>
      <c r="N155" s="3">
        <v>4</v>
      </c>
      <c r="O155" s="4" t="str" cm="1">
        <f t="array" ref="O155">_xlfn.IFS(P155&lt;=2,"Poor",P155=3,"Average",P155&gt;=4,"Good")</f>
        <v>Good</v>
      </c>
      <c r="P155" s="3">
        <v>5</v>
      </c>
      <c r="Q155" s="2">
        <v>1</v>
      </c>
      <c r="R155" s="4" t="s">
        <v>72</v>
      </c>
      <c r="S155" s="4" t="s">
        <v>73</v>
      </c>
      <c r="T155" s="3">
        <v>1</v>
      </c>
      <c r="U155" s="4" t="str" cm="1">
        <f t="array" ref="U155">_xlfn.IFS(V155&lt;=4, "Dissatisfied",V155&lt;=7,"Neutral",V155&gt;=8,"Satisfied")</f>
        <v>Dissatisfied</v>
      </c>
      <c r="V155" s="3">
        <v>4</v>
      </c>
      <c r="W155" s="4" t="s">
        <v>85</v>
      </c>
      <c r="X155" s="4" t="s">
        <v>60</v>
      </c>
      <c r="Y155" s="4" t="s">
        <v>86</v>
      </c>
      <c r="Z155" s="1">
        <v>45354</v>
      </c>
      <c r="AA155" s="4" t="str" cm="1">
        <f t="array" ref="AA155">_xlfn.IFS(OR(AB155="December", AB155="February", AB155="January"), "Winter", OR(AB155="March", AB155="April", AB155="May"), "Spring", OR(AB155="June", AB155="July", AB155="August"), "Summer", TRUE, "Autumn")</f>
        <v>Spring</v>
      </c>
      <c r="AB155" s="7" t="str">
        <f>TEXT(Z155, "mmmm")</f>
        <v>March</v>
      </c>
      <c r="AC155" s="1" t="str">
        <f>TEXT(Z155, "dddd")</f>
        <v>Sunday</v>
      </c>
      <c r="AD155" s="4" t="s">
        <v>62</v>
      </c>
      <c r="AE155" s="4" t="s">
        <v>76</v>
      </c>
      <c r="AF155" s="4" t="s">
        <v>92</v>
      </c>
      <c r="AG155" s="4" t="s">
        <v>64</v>
      </c>
      <c r="AH155" s="3">
        <v>3</v>
      </c>
    </row>
    <row r="156" spans="1:34">
      <c r="A156" s="4" t="s">
        <v>419</v>
      </c>
      <c r="B156" s="3">
        <v>30</v>
      </c>
      <c r="C156" s="9" t="str" cm="1">
        <f t="array" ref="C156">_xlfn.IFS(B156&gt;65,"+65",B156&gt;54,"55-65",B156&gt;44,"45-54",B156&gt;35,"36-44",B156&gt;25,"26-35",B156&gt;=18,"18-25")</f>
        <v>26-35</v>
      </c>
      <c r="D156" s="4" t="s">
        <v>66</v>
      </c>
      <c r="E156" s="4" t="s">
        <v>51</v>
      </c>
      <c r="F156" s="4" t="s">
        <v>79</v>
      </c>
      <c r="G156" s="4" t="s">
        <v>53</v>
      </c>
      <c r="H156" s="4" t="s">
        <v>420</v>
      </c>
      <c r="I156" s="4" t="s">
        <v>275</v>
      </c>
      <c r="J156" s="5">
        <v>276.77</v>
      </c>
      <c r="K156" s="3">
        <v>2</v>
      </c>
      <c r="L156" s="4" t="str">
        <f>IF(AND(J156&gt;350,K156&gt;6), "True","False")</f>
        <v>False</v>
      </c>
      <c r="M156" s="4" t="s">
        <v>83</v>
      </c>
      <c r="N156" s="3">
        <v>1</v>
      </c>
      <c r="O156" s="4" t="str" cm="1">
        <f t="array" ref="O156">_xlfn.IFS(P156&lt;=2,"Poor",P156=3,"Average",P156&gt;=4,"Good")</f>
        <v>Poor</v>
      </c>
      <c r="P156" s="3">
        <v>1</v>
      </c>
      <c r="Q156" s="2">
        <v>2</v>
      </c>
      <c r="R156" s="4" t="s">
        <v>59</v>
      </c>
      <c r="S156" s="4" t="s">
        <v>73</v>
      </c>
      <c r="T156" s="3">
        <v>1</v>
      </c>
      <c r="U156" s="4" t="str" cm="1">
        <f t="array" ref="U156">_xlfn.IFS(V156&lt;=4, "Dissatisfied",V156&lt;=7,"Neutral",V156&gt;=8,"Satisfied")</f>
        <v>Dissatisfied</v>
      </c>
      <c r="V156" s="3">
        <v>2</v>
      </c>
      <c r="W156" s="4" t="s">
        <v>72</v>
      </c>
      <c r="X156" s="4" t="s">
        <v>60</v>
      </c>
      <c r="Y156" s="4" t="s">
        <v>61</v>
      </c>
      <c r="Z156" s="1">
        <v>45354</v>
      </c>
      <c r="AA156" s="4" t="str" cm="1">
        <f t="array" ref="AA156">_xlfn.IFS(OR(AB156="December", AB156="February", AB156="January"), "Winter", OR(AB156="March", AB156="April", AB156="May"), "Spring", OR(AB156="June", AB156="July", AB156="August"), "Summer", TRUE, "Autumn")</f>
        <v>Spring</v>
      </c>
      <c r="AB156" s="7" t="str">
        <f>TEXT(Z156, "mmmm")</f>
        <v>March</v>
      </c>
      <c r="AC156" s="1" t="str">
        <f>TEXT(Z156, "dddd")</f>
        <v>Sunday</v>
      </c>
      <c r="AD156" s="4" t="s">
        <v>62</v>
      </c>
      <c r="AE156" s="4" t="s">
        <v>62</v>
      </c>
      <c r="AF156" s="4" t="s">
        <v>102</v>
      </c>
      <c r="AG156" s="4" t="s">
        <v>88</v>
      </c>
      <c r="AH156" s="3">
        <v>4</v>
      </c>
    </row>
    <row r="157" spans="1:34">
      <c r="A157" s="4" t="s">
        <v>421</v>
      </c>
      <c r="B157" s="3">
        <v>30</v>
      </c>
      <c r="C157" s="9" t="str" cm="1">
        <f t="array" ref="C157">_xlfn.IFS(B157&gt;65,"+65",B157&gt;54,"55-65",B157&gt;44,"45-54",B157&gt;35,"36-44",B157&gt;25,"26-35",B157&gt;=18,"18-25")</f>
        <v>26-35</v>
      </c>
      <c r="D157" s="4" t="s">
        <v>78</v>
      </c>
      <c r="E157" s="4" t="s">
        <v>72</v>
      </c>
      <c r="F157" s="4" t="s">
        <v>95</v>
      </c>
      <c r="G157" s="4" t="s">
        <v>80</v>
      </c>
      <c r="H157" s="4" t="s">
        <v>422</v>
      </c>
      <c r="I157" s="4" t="s">
        <v>169</v>
      </c>
      <c r="J157" s="5">
        <v>427.86</v>
      </c>
      <c r="K157" s="3">
        <v>11</v>
      </c>
      <c r="L157" s="4" t="str">
        <f>IF(AND(J157&gt;350,K157&gt;6), "True","False")</f>
        <v>True</v>
      </c>
      <c r="M157" s="4" t="s">
        <v>83</v>
      </c>
      <c r="N157" s="3">
        <v>4</v>
      </c>
      <c r="O157" s="4" t="str" cm="1">
        <f t="array" ref="O157">_xlfn.IFS(P157&lt;=2,"Poor",P157=3,"Average",P157&gt;=4,"Good")</f>
        <v>Average</v>
      </c>
      <c r="P157" s="3">
        <v>3</v>
      </c>
      <c r="Q157" s="2">
        <v>1</v>
      </c>
      <c r="R157" s="4" t="s">
        <v>85</v>
      </c>
      <c r="S157" s="4" t="s">
        <v>58</v>
      </c>
      <c r="T157" s="3">
        <v>0</v>
      </c>
      <c r="U157" s="4" t="str" cm="1">
        <f t="array" ref="U157">_xlfn.IFS(V157&lt;=4, "Dissatisfied",V157&lt;=7,"Neutral",V157&gt;=8,"Satisfied")</f>
        <v>Neutral</v>
      </c>
      <c r="V157" s="3">
        <v>6</v>
      </c>
      <c r="W157" s="4" t="s">
        <v>85</v>
      </c>
      <c r="X157" s="4" t="s">
        <v>101</v>
      </c>
      <c r="Y157" s="4" t="s">
        <v>75</v>
      </c>
      <c r="Z157" s="1">
        <v>45354</v>
      </c>
      <c r="AA157" s="4" t="str" cm="1">
        <f t="array" ref="AA157">_xlfn.IFS(OR(AB157="December", AB157="February", AB157="January"), "Winter", OR(AB157="March", AB157="April", AB157="May"), "Spring", OR(AB157="June", AB157="July", AB157="August"), "Summer", TRUE, "Autumn")</f>
        <v>Spring</v>
      </c>
      <c r="AB157" s="7" t="str">
        <f>TEXT(Z157, "mmmm")</f>
        <v>March</v>
      </c>
      <c r="AC157" s="1" t="str">
        <f>TEXT(Z157, "dddd")</f>
        <v>Sunday</v>
      </c>
      <c r="AD157" s="4" t="s">
        <v>62</v>
      </c>
      <c r="AE157" s="4" t="s">
        <v>62</v>
      </c>
      <c r="AF157" s="4" t="s">
        <v>63</v>
      </c>
      <c r="AG157" s="4" t="s">
        <v>93</v>
      </c>
      <c r="AH157" s="3">
        <v>8</v>
      </c>
    </row>
    <row r="158" spans="1:34">
      <c r="A158" s="4" t="s">
        <v>423</v>
      </c>
      <c r="B158" s="3">
        <v>28</v>
      </c>
      <c r="C158" s="9" t="str" cm="1">
        <f t="array" ref="C158">_xlfn.IFS(B158&gt;65,"+65",B158&gt;54,"55-65",B158&gt;44,"45-54",B158&gt;35,"36-44",B158&gt;25,"26-35",B158&gt;=18,"18-25")</f>
        <v>26-35</v>
      </c>
      <c r="D158" s="4" t="s">
        <v>78</v>
      </c>
      <c r="E158" s="4" t="s">
        <v>51</v>
      </c>
      <c r="F158" s="4" t="s">
        <v>95</v>
      </c>
      <c r="G158" s="4" t="s">
        <v>53</v>
      </c>
      <c r="H158" s="4" t="s">
        <v>424</v>
      </c>
      <c r="I158" s="4" t="s">
        <v>118</v>
      </c>
      <c r="J158" s="5">
        <v>494.34</v>
      </c>
      <c r="K158" s="3">
        <v>12</v>
      </c>
      <c r="L158" s="4" t="str">
        <f>IF(AND(J158&gt;350,K158&gt;6), "True","False")</f>
        <v>True</v>
      </c>
      <c r="M158" s="4" t="s">
        <v>56</v>
      </c>
      <c r="N158" s="3">
        <v>5</v>
      </c>
      <c r="O158" s="4" t="str" cm="1">
        <f t="array" ref="O158">_xlfn.IFS(P158&lt;=2,"Poor",P158=3,"Average",P158&gt;=4,"Good")</f>
        <v>Average</v>
      </c>
      <c r="P158" s="3">
        <v>3</v>
      </c>
      <c r="Q158" s="2">
        <v>0.25</v>
      </c>
      <c r="R158" s="4" t="s">
        <v>72</v>
      </c>
      <c r="S158" s="4" t="s">
        <v>73</v>
      </c>
      <c r="T158" s="3">
        <v>1</v>
      </c>
      <c r="U158" s="4" t="str" cm="1">
        <f t="array" ref="U158">_xlfn.IFS(V158&lt;=4, "Dissatisfied",V158&lt;=7,"Neutral",V158&gt;=8,"Satisfied")</f>
        <v>Satisfied</v>
      </c>
      <c r="V158" s="3">
        <v>8</v>
      </c>
      <c r="W158" s="4" t="s">
        <v>59</v>
      </c>
      <c r="X158" s="4" t="s">
        <v>101</v>
      </c>
      <c r="Y158" s="4" t="s">
        <v>75</v>
      </c>
      <c r="Z158" s="1">
        <v>45354</v>
      </c>
      <c r="AA158" s="4" t="str" cm="1">
        <f t="array" ref="AA158">_xlfn.IFS(OR(AB158="December", AB158="February", AB158="January"), "Winter", OR(AB158="March", AB158="April", AB158="May"), "Spring", OR(AB158="June", AB158="July", AB158="August"), "Summer", TRUE, "Autumn")</f>
        <v>Spring</v>
      </c>
      <c r="AB158" s="7" t="str">
        <f>TEXT(Z158, "mmmm")</f>
        <v>March</v>
      </c>
      <c r="AC158" s="1" t="str">
        <f>TEXT(Z158, "dddd")</f>
        <v>Sunday</v>
      </c>
      <c r="AD158" s="4" t="s">
        <v>76</v>
      </c>
      <c r="AE158" s="4" t="s">
        <v>76</v>
      </c>
      <c r="AF158" s="4" t="s">
        <v>102</v>
      </c>
      <c r="AG158" s="4" t="s">
        <v>93</v>
      </c>
      <c r="AH158" s="3">
        <v>3</v>
      </c>
    </row>
    <row r="159" spans="1:34">
      <c r="A159" s="4" t="s">
        <v>425</v>
      </c>
      <c r="B159" s="3">
        <v>40</v>
      </c>
      <c r="C159" s="9" t="str" cm="1">
        <f t="array" ref="C159">_xlfn.IFS(B159&gt;65,"+65",B159&gt;54,"55-65",B159&gt;44,"45-54",B159&gt;35,"36-44",B159&gt;25,"26-35",B159&gt;=18,"18-25")</f>
        <v>36-44</v>
      </c>
      <c r="D159" s="4" t="s">
        <v>78</v>
      </c>
      <c r="E159" s="4" t="s">
        <v>72</v>
      </c>
      <c r="F159" s="4" t="s">
        <v>79</v>
      </c>
      <c r="G159" s="4" t="s">
        <v>68</v>
      </c>
      <c r="H159" s="4" t="s">
        <v>426</v>
      </c>
      <c r="I159" s="4" t="s">
        <v>156</v>
      </c>
      <c r="J159" s="5">
        <v>370.38</v>
      </c>
      <c r="K159" s="3">
        <v>11</v>
      </c>
      <c r="L159" s="4" t="str">
        <f>IF(AND(J159&gt;350,K159&gt;6), "True","False")</f>
        <v>True</v>
      </c>
      <c r="M159" s="4" t="s">
        <v>71</v>
      </c>
      <c r="N159" s="3">
        <v>1</v>
      </c>
      <c r="O159" s="4" t="str" cm="1">
        <f t="array" ref="O159">_xlfn.IFS(P159&lt;=2,"Poor",P159=3,"Average",P159&gt;=4,"Good")</f>
        <v>Poor</v>
      </c>
      <c r="P159" s="3">
        <v>2</v>
      </c>
      <c r="Q159" s="2">
        <v>1</v>
      </c>
      <c r="R159" s="4" t="s">
        <v>57</v>
      </c>
      <c r="S159" s="4" t="s">
        <v>58</v>
      </c>
      <c r="T159" s="3">
        <v>1</v>
      </c>
      <c r="U159" s="4" t="str" cm="1">
        <f t="array" ref="U159">_xlfn.IFS(V159&lt;=4, "Dissatisfied",V159&lt;=7,"Neutral",V159&gt;=8,"Satisfied")</f>
        <v>Dissatisfied</v>
      </c>
      <c r="V159" s="3">
        <v>1</v>
      </c>
      <c r="W159" s="4" t="s">
        <v>72</v>
      </c>
      <c r="X159" s="4" t="s">
        <v>101</v>
      </c>
      <c r="Y159" s="4" t="s">
        <v>111</v>
      </c>
      <c r="Z159" s="1">
        <v>45355</v>
      </c>
      <c r="AA159" s="4" t="str" cm="1">
        <f t="array" ref="AA159">_xlfn.IFS(OR(AB159="December", AB159="February", AB159="January"), "Winter", OR(AB159="March", AB159="April", AB159="May"), "Spring", OR(AB159="June", AB159="July", AB159="August"), "Summer", TRUE, "Autumn")</f>
        <v>Spring</v>
      </c>
      <c r="AB159" s="7" t="str">
        <f>TEXT(Z159, "mmmm")</f>
        <v>March</v>
      </c>
      <c r="AC159" s="1" t="str">
        <f>TEXT(Z159, "dddd")</f>
        <v>Monday</v>
      </c>
      <c r="AD159" s="4" t="s">
        <v>62</v>
      </c>
      <c r="AE159" s="4" t="s">
        <v>62</v>
      </c>
      <c r="AF159" s="4" t="s">
        <v>102</v>
      </c>
      <c r="AG159" s="4" t="s">
        <v>88</v>
      </c>
      <c r="AH159" s="3">
        <v>9</v>
      </c>
    </row>
    <row r="160" spans="1:34">
      <c r="A160" s="4" t="s">
        <v>427</v>
      </c>
      <c r="B160" s="3">
        <v>21</v>
      </c>
      <c r="C160" s="9" t="str" cm="1">
        <f t="array" ref="C160">_xlfn.IFS(B160&gt;65,"+65",B160&gt;54,"55-65",B160&gt;44,"45-54",B160&gt;35,"36-44",B160&gt;25,"26-35",B160&gt;=18,"18-25")</f>
        <v>18-25</v>
      </c>
      <c r="D160" s="4" t="s">
        <v>78</v>
      </c>
      <c r="E160" s="4" t="s">
        <v>72</v>
      </c>
      <c r="F160" s="4" t="s">
        <v>52</v>
      </c>
      <c r="G160" s="4" t="s">
        <v>68</v>
      </c>
      <c r="H160" s="4" t="s">
        <v>428</v>
      </c>
      <c r="I160" s="4" t="s">
        <v>234</v>
      </c>
      <c r="J160" s="5">
        <v>160.25</v>
      </c>
      <c r="K160" s="3">
        <v>7</v>
      </c>
      <c r="L160" s="4" t="str">
        <f>IF(AND(J160&gt;350,K160&gt;6), "True","False")</f>
        <v>False</v>
      </c>
      <c r="M160" s="4" t="s">
        <v>56</v>
      </c>
      <c r="N160" s="3">
        <v>2</v>
      </c>
      <c r="O160" s="4" t="str" cm="1">
        <f t="array" ref="O160">_xlfn.IFS(P160&lt;=2,"Poor",P160=3,"Average",P160&gt;=4,"Good")</f>
        <v>Average</v>
      </c>
      <c r="P160" s="3">
        <v>3</v>
      </c>
      <c r="Q160" s="2">
        <v>2</v>
      </c>
      <c r="R160" s="4" t="s">
        <v>57</v>
      </c>
      <c r="S160" s="4" t="s">
        <v>73</v>
      </c>
      <c r="T160" s="3">
        <v>2</v>
      </c>
      <c r="U160" s="4" t="str" cm="1">
        <f t="array" ref="U160">_xlfn.IFS(V160&lt;=4, "Dissatisfied",V160&lt;=7,"Neutral",V160&gt;=8,"Satisfied")</f>
        <v>Neutral</v>
      </c>
      <c r="V160" s="3">
        <v>5</v>
      </c>
      <c r="W160" s="4" t="s">
        <v>72</v>
      </c>
      <c r="X160" s="4" t="s">
        <v>101</v>
      </c>
      <c r="Y160" s="4" t="s">
        <v>86</v>
      </c>
      <c r="Z160" s="1">
        <v>45355</v>
      </c>
      <c r="AA160" s="4" t="str" cm="1">
        <f t="array" ref="AA160">_xlfn.IFS(OR(AB160="December", AB160="February", AB160="January"), "Winter", OR(AB160="March", AB160="April", AB160="May"), "Spring", OR(AB160="June", AB160="July", AB160="August"), "Summer", TRUE, "Autumn")</f>
        <v>Spring</v>
      </c>
      <c r="AB160" s="7" t="str">
        <f>TEXT(Z160, "mmmm")</f>
        <v>March</v>
      </c>
      <c r="AC160" s="1" t="str">
        <f>TEXT(Z160, "dddd")</f>
        <v>Monday</v>
      </c>
      <c r="AD160" s="4" t="s">
        <v>62</v>
      </c>
      <c r="AE160" s="4" t="s">
        <v>62</v>
      </c>
      <c r="AF160" s="4" t="s">
        <v>63</v>
      </c>
      <c r="AG160" s="4" t="s">
        <v>88</v>
      </c>
      <c r="AH160" s="3">
        <v>12</v>
      </c>
    </row>
    <row r="161" spans="1:34">
      <c r="A161" s="4" t="s">
        <v>429</v>
      </c>
      <c r="B161" s="3">
        <v>21</v>
      </c>
      <c r="C161" s="9" t="str" cm="1">
        <f t="array" ref="C161">_xlfn.IFS(B161&gt;65,"+65",B161&gt;54,"55-65",B161&gt;44,"45-54",B161&gt;35,"36-44",B161&gt;25,"26-35",B161&gt;=18,"18-25")</f>
        <v>18-25</v>
      </c>
      <c r="D161" s="4" t="s">
        <v>78</v>
      </c>
      <c r="E161" s="4" t="s">
        <v>51</v>
      </c>
      <c r="F161" s="4" t="s">
        <v>79</v>
      </c>
      <c r="G161" s="4" t="s">
        <v>80</v>
      </c>
      <c r="H161" s="4" t="s">
        <v>430</v>
      </c>
      <c r="I161" s="4" t="s">
        <v>194</v>
      </c>
      <c r="J161" s="5">
        <v>263.14999999999998</v>
      </c>
      <c r="K161" s="3">
        <v>3</v>
      </c>
      <c r="L161" s="4" t="str">
        <f>IF(AND(J161&gt;350,K161&gt;6), "True","False")</f>
        <v>False</v>
      </c>
      <c r="M161" s="4" t="s">
        <v>71</v>
      </c>
      <c r="N161" s="3">
        <v>1</v>
      </c>
      <c r="O161" s="4" t="str" cm="1">
        <f t="array" ref="O161">_xlfn.IFS(P161&lt;=2,"Poor",P161=3,"Average",P161&gt;=4,"Good")</f>
        <v>Good</v>
      </c>
      <c r="P161" s="3">
        <v>5</v>
      </c>
      <c r="Q161" s="2">
        <v>1</v>
      </c>
      <c r="R161" s="4" t="s">
        <v>72</v>
      </c>
      <c r="S161" s="4" t="s">
        <v>84</v>
      </c>
      <c r="T161" s="3">
        <v>1</v>
      </c>
      <c r="U161" s="4" t="str" cm="1">
        <f t="array" ref="U161">_xlfn.IFS(V161&lt;=4, "Dissatisfied",V161&lt;=7,"Neutral",V161&gt;=8,"Satisfied")</f>
        <v>Satisfied</v>
      </c>
      <c r="V161" s="3">
        <v>10</v>
      </c>
      <c r="W161" s="4" t="s">
        <v>72</v>
      </c>
      <c r="X161" s="4" t="s">
        <v>74</v>
      </c>
      <c r="Y161" s="4" t="s">
        <v>111</v>
      </c>
      <c r="Z161" s="1">
        <v>45355</v>
      </c>
      <c r="AA161" s="4" t="str" cm="1">
        <f t="array" ref="AA161">_xlfn.IFS(OR(AB161="December", AB161="February", AB161="January"), "Winter", OR(AB161="March", AB161="April", AB161="May"), "Spring", OR(AB161="June", AB161="July", AB161="August"), "Summer", TRUE, "Autumn")</f>
        <v>Spring</v>
      </c>
      <c r="AB161" s="7" t="str">
        <f>TEXT(Z161, "mmmm")</f>
        <v>March</v>
      </c>
      <c r="AC161" s="1" t="str">
        <f>TEXT(Z161, "dddd")</f>
        <v>Monday</v>
      </c>
      <c r="AD161" s="4" t="s">
        <v>62</v>
      </c>
      <c r="AE161" s="4" t="s">
        <v>76</v>
      </c>
      <c r="AF161" s="4" t="s">
        <v>92</v>
      </c>
      <c r="AG161" s="4" t="s">
        <v>93</v>
      </c>
      <c r="AH161" s="3">
        <v>10</v>
      </c>
    </row>
    <row r="162" spans="1:34">
      <c r="A162" s="4" t="s">
        <v>431</v>
      </c>
      <c r="B162" s="3">
        <v>21</v>
      </c>
      <c r="C162" s="9" t="str" cm="1">
        <f t="array" ref="C162">_xlfn.IFS(B162&gt;65,"+65",B162&gt;54,"55-65",B162&gt;44,"45-54",B162&gt;35,"36-44",B162&gt;25,"26-35",B162&gt;=18,"18-25")</f>
        <v>18-25</v>
      </c>
      <c r="D162" s="4" t="s">
        <v>66</v>
      </c>
      <c r="E162" s="4" t="s">
        <v>51</v>
      </c>
      <c r="F162" s="4" t="s">
        <v>95</v>
      </c>
      <c r="G162" s="4" t="s">
        <v>53</v>
      </c>
      <c r="H162" s="4" t="s">
        <v>432</v>
      </c>
      <c r="I162" s="4" t="s">
        <v>70</v>
      </c>
      <c r="J162" s="5">
        <v>445.34</v>
      </c>
      <c r="K162" s="3">
        <v>9</v>
      </c>
      <c r="L162" s="4" t="str">
        <f>IF(AND(J162&gt;350,K162&gt;6), "True","False")</f>
        <v>True</v>
      </c>
      <c r="M162" s="4" t="s">
        <v>71</v>
      </c>
      <c r="N162" s="3">
        <v>5</v>
      </c>
      <c r="O162" s="4" t="str" cm="1">
        <f t="array" ref="O162">_xlfn.IFS(P162&lt;=2,"Poor",P162=3,"Average",P162&gt;=4,"Good")</f>
        <v>Poor</v>
      </c>
      <c r="P162" s="3">
        <v>2</v>
      </c>
      <c r="Q162" s="2">
        <v>1</v>
      </c>
      <c r="R162" s="4" t="s">
        <v>59</v>
      </c>
      <c r="S162" s="4" t="s">
        <v>84</v>
      </c>
      <c r="T162" s="3">
        <v>1</v>
      </c>
      <c r="U162" s="4" t="str" cm="1">
        <f t="array" ref="U162">_xlfn.IFS(V162&lt;=4, "Dissatisfied",V162&lt;=7,"Neutral",V162&gt;=8,"Satisfied")</f>
        <v>Dissatisfied</v>
      </c>
      <c r="V162" s="3">
        <v>3</v>
      </c>
      <c r="W162" s="4" t="s">
        <v>72</v>
      </c>
      <c r="X162" s="4" t="s">
        <v>74</v>
      </c>
      <c r="Y162" s="4" t="s">
        <v>61</v>
      </c>
      <c r="Z162" s="1">
        <v>45355</v>
      </c>
      <c r="AA162" s="4" t="str" cm="1">
        <f t="array" ref="AA162">_xlfn.IFS(OR(AB162="December", AB162="February", AB162="January"), "Winter", OR(AB162="March", AB162="April", AB162="May"), "Spring", OR(AB162="June", AB162="July", AB162="August"), "Summer", TRUE, "Autumn")</f>
        <v>Spring</v>
      </c>
      <c r="AB162" s="7" t="str">
        <f>TEXT(Z162, "mmmm")</f>
        <v>March</v>
      </c>
      <c r="AC162" s="1" t="str">
        <f>TEXT(Z162, "dddd")</f>
        <v>Monday</v>
      </c>
      <c r="AD162" s="4" t="s">
        <v>62</v>
      </c>
      <c r="AE162" s="4" t="s">
        <v>62</v>
      </c>
      <c r="AF162" s="4" t="s">
        <v>92</v>
      </c>
      <c r="AG162" s="4" t="s">
        <v>88</v>
      </c>
      <c r="AH162" s="3">
        <v>3</v>
      </c>
    </row>
    <row r="163" spans="1:34">
      <c r="A163" s="4" t="s">
        <v>433</v>
      </c>
      <c r="B163" s="3">
        <v>48</v>
      </c>
      <c r="C163" s="9" t="str" cm="1">
        <f t="array" ref="C163">_xlfn.IFS(B163&gt;65,"+65",B163&gt;54,"55-65",B163&gt;44,"45-54",B163&gt;35,"36-44",B163&gt;25,"26-35",B163&gt;=18,"18-25")</f>
        <v>45-54</v>
      </c>
      <c r="D163" s="4" t="s">
        <v>66</v>
      </c>
      <c r="E163" s="4" t="s">
        <v>51</v>
      </c>
      <c r="F163" s="4" t="s">
        <v>95</v>
      </c>
      <c r="G163" s="4" t="s">
        <v>68</v>
      </c>
      <c r="H163" s="4" t="s">
        <v>434</v>
      </c>
      <c r="I163" s="4" t="s">
        <v>275</v>
      </c>
      <c r="J163" s="5">
        <v>359.45</v>
      </c>
      <c r="K163" s="3">
        <v>6</v>
      </c>
      <c r="L163" s="4" t="str">
        <f>IF(AND(J163&gt;350,K163&gt;6), "True","False")</f>
        <v>False</v>
      </c>
      <c r="M163" s="4" t="s">
        <v>56</v>
      </c>
      <c r="N163" s="3">
        <v>4</v>
      </c>
      <c r="O163" s="4" t="str" cm="1">
        <f t="array" ref="O163">_xlfn.IFS(P163&lt;=2,"Poor",P163=3,"Average",P163&gt;=4,"Good")</f>
        <v>Poor</v>
      </c>
      <c r="P163" s="3">
        <v>1</v>
      </c>
      <c r="Q163" s="2">
        <v>2</v>
      </c>
      <c r="R163" s="4" t="s">
        <v>59</v>
      </c>
      <c r="S163" s="4" t="s">
        <v>58</v>
      </c>
      <c r="T163" s="3">
        <v>1</v>
      </c>
      <c r="U163" s="4" t="str" cm="1">
        <f t="array" ref="U163">_xlfn.IFS(V163&lt;=4, "Dissatisfied",V163&lt;=7,"Neutral",V163&gt;=8,"Satisfied")</f>
        <v>Satisfied</v>
      </c>
      <c r="V163" s="3">
        <v>8</v>
      </c>
      <c r="W163" s="4" t="s">
        <v>85</v>
      </c>
      <c r="X163" s="4" t="s">
        <v>101</v>
      </c>
      <c r="Y163" s="4" t="s">
        <v>111</v>
      </c>
      <c r="Z163" s="1">
        <v>45357</v>
      </c>
      <c r="AA163" s="4" t="str" cm="1">
        <f t="array" ref="AA163">_xlfn.IFS(OR(AB163="December", AB163="February", AB163="January"), "Winter", OR(AB163="March", AB163="April", AB163="May"), "Spring", OR(AB163="June", AB163="July", AB163="August"), "Summer", TRUE, "Autumn")</f>
        <v>Spring</v>
      </c>
      <c r="AB163" s="7" t="str">
        <f>TEXT(Z163, "mmmm")</f>
        <v>March</v>
      </c>
      <c r="AC163" s="1" t="str">
        <f>TEXT(Z163, "dddd")</f>
        <v>Wednesday</v>
      </c>
      <c r="AD163" s="4" t="s">
        <v>76</v>
      </c>
      <c r="AE163" s="4" t="s">
        <v>76</v>
      </c>
      <c r="AF163" s="4" t="s">
        <v>92</v>
      </c>
      <c r="AG163" s="4" t="s">
        <v>64</v>
      </c>
      <c r="AH163" s="3">
        <v>11</v>
      </c>
    </row>
    <row r="164" spans="1:34">
      <c r="A164" s="4" t="s">
        <v>435</v>
      </c>
      <c r="B164" s="3">
        <v>36</v>
      </c>
      <c r="C164" s="9" t="str" cm="1">
        <f t="array" ref="C164">_xlfn.IFS(B164&gt;65,"+65",B164&gt;54,"55-65",B164&gt;44,"45-54",B164&gt;35,"36-44",B164&gt;25,"26-35",B164&gt;=18,"18-25")</f>
        <v>36-44</v>
      </c>
      <c r="D164" s="4" t="s">
        <v>66</v>
      </c>
      <c r="E164" s="4" t="s">
        <v>51</v>
      </c>
      <c r="F164" s="4" t="s">
        <v>79</v>
      </c>
      <c r="G164" s="4" t="s">
        <v>68</v>
      </c>
      <c r="H164" s="4" t="s">
        <v>436</v>
      </c>
      <c r="I164" s="4" t="s">
        <v>97</v>
      </c>
      <c r="J164" s="5">
        <v>189.97</v>
      </c>
      <c r="K164" s="3">
        <v>2</v>
      </c>
      <c r="L164" s="4" t="str">
        <f>IF(AND(J164&gt;350,K164&gt;6), "True","False")</f>
        <v>False</v>
      </c>
      <c r="M164" s="4" t="s">
        <v>71</v>
      </c>
      <c r="N164" s="3">
        <v>2</v>
      </c>
      <c r="O164" s="4" t="str" cm="1">
        <f t="array" ref="O164">_xlfn.IFS(P164&lt;=2,"Poor",P164=3,"Average",P164&gt;=4,"Good")</f>
        <v>Average</v>
      </c>
      <c r="P164" s="3">
        <v>3</v>
      </c>
      <c r="Q164" s="2">
        <v>1</v>
      </c>
      <c r="R164" s="4" t="s">
        <v>72</v>
      </c>
      <c r="S164" s="4" t="s">
        <v>84</v>
      </c>
      <c r="T164" s="3">
        <v>0</v>
      </c>
      <c r="U164" s="4" t="str" cm="1">
        <f t="array" ref="U164">_xlfn.IFS(V164&lt;=4, "Dissatisfied",V164&lt;=7,"Neutral",V164&gt;=8,"Satisfied")</f>
        <v>Dissatisfied</v>
      </c>
      <c r="V164" s="3">
        <v>3</v>
      </c>
      <c r="W164" s="4" t="s">
        <v>85</v>
      </c>
      <c r="X164" s="4" t="s">
        <v>60</v>
      </c>
      <c r="Y164" s="4" t="s">
        <v>119</v>
      </c>
      <c r="Z164" s="1">
        <v>45357</v>
      </c>
      <c r="AA164" s="4" t="str" cm="1">
        <f t="array" ref="AA164">_xlfn.IFS(OR(AB164="December", AB164="February", AB164="January"), "Winter", OR(AB164="March", AB164="April", AB164="May"), "Spring", OR(AB164="June", AB164="July", AB164="August"), "Summer", TRUE, "Autumn")</f>
        <v>Spring</v>
      </c>
      <c r="AB164" s="7" t="str">
        <f>TEXT(Z164, "mmmm")</f>
        <v>March</v>
      </c>
      <c r="AC164" s="1" t="str">
        <f>TEXT(Z164, "dddd")</f>
        <v>Wednesday</v>
      </c>
      <c r="AD164" s="4" t="s">
        <v>62</v>
      </c>
      <c r="AE164" s="4" t="s">
        <v>76</v>
      </c>
      <c r="AF164" s="4" t="s">
        <v>63</v>
      </c>
      <c r="AG164" s="4" t="s">
        <v>64</v>
      </c>
      <c r="AH164" s="3">
        <v>8</v>
      </c>
    </row>
    <row r="165" spans="1:34">
      <c r="A165" s="4" t="s">
        <v>437</v>
      </c>
      <c r="B165" s="3">
        <v>33</v>
      </c>
      <c r="C165" s="9" t="str" cm="1">
        <f t="array" ref="C165">_xlfn.IFS(B165&gt;65,"+65",B165&gt;54,"55-65",B165&gt;44,"45-54",B165&gt;35,"36-44",B165&gt;25,"26-35",B165&gt;=18,"18-25")</f>
        <v>26-35</v>
      </c>
      <c r="D165" s="4" t="s">
        <v>66</v>
      </c>
      <c r="E165" s="4" t="s">
        <v>72</v>
      </c>
      <c r="F165" s="4" t="s">
        <v>67</v>
      </c>
      <c r="G165" s="4" t="s">
        <v>80</v>
      </c>
      <c r="H165" s="4" t="s">
        <v>438</v>
      </c>
      <c r="I165" s="4" t="s">
        <v>146</v>
      </c>
      <c r="J165" s="5">
        <v>461.34</v>
      </c>
      <c r="K165" s="3">
        <v>4</v>
      </c>
      <c r="L165" s="4" t="str">
        <f>IF(AND(J165&gt;350,K165&gt;6), "True","False")</f>
        <v>False</v>
      </c>
      <c r="M165" s="4" t="s">
        <v>71</v>
      </c>
      <c r="N165" s="3">
        <v>3</v>
      </c>
      <c r="O165" s="4" t="str" cm="1">
        <f t="array" ref="O165">_xlfn.IFS(P165&lt;=2,"Poor",P165=3,"Average",P165&gt;=4,"Good")</f>
        <v>Poor</v>
      </c>
      <c r="P165" s="3">
        <v>1</v>
      </c>
      <c r="Q165" s="2">
        <v>0</v>
      </c>
      <c r="R165" s="4" t="s">
        <v>72</v>
      </c>
      <c r="S165" s="4" t="s">
        <v>84</v>
      </c>
      <c r="T165" s="3">
        <v>1</v>
      </c>
      <c r="U165" s="4" t="str" cm="1">
        <f t="array" ref="U165">_xlfn.IFS(V165&lt;=4, "Dissatisfied",V165&lt;=7,"Neutral",V165&gt;=8,"Satisfied")</f>
        <v>Satisfied</v>
      </c>
      <c r="V165" s="3">
        <v>9</v>
      </c>
      <c r="W165" s="4" t="s">
        <v>59</v>
      </c>
      <c r="X165" s="4" t="s">
        <v>101</v>
      </c>
      <c r="Y165" s="4" t="s">
        <v>61</v>
      </c>
      <c r="Z165" s="1">
        <v>45357</v>
      </c>
      <c r="AA165" s="4" t="str" cm="1">
        <f t="array" ref="AA165">_xlfn.IFS(OR(AB165="December", AB165="February", AB165="January"), "Winter", OR(AB165="March", AB165="April", AB165="May"), "Spring", OR(AB165="June", AB165="July", AB165="August"), "Summer", TRUE, "Autumn")</f>
        <v>Spring</v>
      </c>
      <c r="AB165" s="7" t="str">
        <f>TEXT(Z165, "mmmm")</f>
        <v>March</v>
      </c>
      <c r="AC165" s="1" t="str">
        <f>TEXT(Z165, "dddd")</f>
        <v>Wednesday</v>
      </c>
      <c r="AD165" s="4" t="s">
        <v>76</v>
      </c>
      <c r="AE165" s="4" t="s">
        <v>62</v>
      </c>
      <c r="AF165" s="4" t="s">
        <v>102</v>
      </c>
      <c r="AG165" s="4" t="s">
        <v>93</v>
      </c>
      <c r="AH165" s="3">
        <v>7</v>
      </c>
    </row>
    <row r="166" spans="1:34">
      <c r="A166" s="4" t="s">
        <v>439</v>
      </c>
      <c r="B166" s="3">
        <v>37</v>
      </c>
      <c r="C166" s="9" t="str" cm="1">
        <f t="array" ref="C166">_xlfn.IFS(B166&gt;65,"+65",B166&gt;54,"55-65",B166&gt;44,"45-54",B166&gt;35,"36-44",B166&gt;25,"26-35",B166&gt;=18,"18-25")</f>
        <v>36-44</v>
      </c>
      <c r="D166" s="4" t="s">
        <v>78</v>
      </c>
      <c r="E166" s="4" t="s">
        <v>72</v>
      </c>
      <c r="F166" s="4" t="s">
        <v>79</v>
      </c>
      <c r="G166" s="4" t="s">
        <v>68</v>
      </c>
      <c r="H166" s="4" t="s">
        <v>440</v>
      </c>
      <c r="I166" s="4" t="s">
        <v>133</v>
      </c>
      <c r="J166" s="5">
        <v>399.95</v>
      </c>
      <c r="K166" s="3">
        <v>10</v>
      </c>
      <c r="L166" s="4" t="str">
        <f>IF(AND(J166&gt;350,K166&gt;6), "True","False")</f>
        <v>True</v>
      </c>
      <c r="M166" s="4" t="s">
        <v>71</v>
      </c>
      <c r="N166" s="3">
        <v>2</v>
      </c>
      <c r="O166" s="4" t="str" cm="1">
        <f t="array" ref="O166">_xlfn.IFS(P166&lt;=2,"Poor",P166=3,"Average",P166&gt;=4,"Good")</f>
        <v>Poor</v>
      </c>
      <c r="P166" s="3">
        <v>1</v>
      </c>
      <c r="Q166" s="2">
        <v>0</v>
      </c>
      <c r="R166" s="4" t="s">
        <v>59</v>
      </c>
      <c r="S166" s="4" t="s">
        <v>58</v>
      </c>
      <c r="T166" s="3">
        <v>1</v>
      </c>
      <c r="U166" s="4" t="str" cm="1">
        <f t="array" ref="U166">_xlfn.IFS(V166&lt;=4, "Dissatisfied",V166&lt;=7,"Neutral",V166&gt;=8,"Satisfied")</f>
        <v>Dissatisfied</v>
      </c>
      <c r="V166" s="3">
        <v>2</v>
      </c>
      <c r="W166" s="4" t="s">
        <v>72</v>
      </c>
      <c r="X166" s="4" t="s">
        <v>60</v>
      </c>
      <c r="Y166" s="4" t="s">
        <v>61</v>
      </c>
      <c r="Z166" s="1">
        <v>45358</v>
      </c>
      <c r="AA166" s="4" t="str" cm="1">
        <f t="array" ref="AA166">_xlfn.IFS(OR(AB166="December", AB166="February", AB166="January"), "Winter", OR(AB166="March", AB166="April", AB166="May"), "Spring", OR(AB166="June", AB166="July", AB166="August"), "Summer", TRUE, "Autumn")</f>
        <v>Spring</v>
      </c>
      <c r="AB166" s="7" t="str">
        <f>TEXT(Z166, "mmmm")</f>
        <v>March</v>
      </c>
      <c r="AC166" s="1" t="str">
        <f>TEXT(Z166, "dddd")</f>
        <v>Thursday</v>
      </c>
      <c r="AD166" s="4" t="s">
        <v>62</v>
      </c>
      <c r="AE166" s="4" t="s">
        <v>76</v>
      </c>
      <c r="AF166" s="4" t="s">
        <v>63</v>
      </c>
      <c r="AG166" s="4" t="s">
        <v>93</v>
      </c>
      <c r="AH166" s="3">
        <v>10</v>
      </c>
    </row>
    <row r="167" spans="1:34">
      <c r="A167" s="4" t="s">
        <v>441</v>
      </c>
      <c r="B167" s="3">
        <v>30</v>
      </c>
      <c r="C167" s="9" t="str" cm="1">
        <f t="array" ref="C167">_xlfn.IFS(B167&gt;65,"+65",B167&gt;54,"55-65",B167&gt;44,"45-54",B167&gt;35,"36-44",B167&gt;25,"26-35",B167&gt;=18,"18-25")</f>
        <v>26-35</v>
      </c>
      <c r="D167" s="4" t="s">
        <v>66</v>
      </c>
      <c r="E167" s="4" t="s">
        <v>72</v>
      </c>
      <c r="F167" s="4" t="s">
        <v>52</v>
      </c>
      <c r="G167" s="4" t="s">
        <v>53</v>
      </c>
      <c r="H167" s="4" t="s">
        <v>442</v>
      </c>
      <c r="I167" s="4" t="s">
        <v>82</v>
      </c>
      <c r="J167" s="5">
        <v>497.76</v>
      </c>
      <c r="K167" s="3">
        <v>2</v>
      </c>
      <c r="L167" s="4" t="str">
        <f>IF(AND(J167&gt;350,K167&gt;6), "True","False")</f>
        <v>False</v>
      </c>
      <c r="M167" s="4" t="s">
        <v>71</v>
      </c>
      <c r="N167" s="3">
        <v>1</v>
      </c>
      <c r="O167" s="4" t="str" cm="1">
        <f t="array" ref="O167">_xlfn.IFS(P167&lt;=2,"Poor",P167=3,"Average",P167&gt;=4,"Good")</f>
        <v>Poor</v>
      </c>
      <c r="P167" s="3">
        <v>2</v>
      </c>
      <c r="Q167" s="2">
        <v>2</v>
      </c>
      <c r="R167" s="4" t="s">
        <v>72</v>
      </c>
      <c r="S167" s="4" t="s">
        <v>73</v>
      </c>
      <c r="T167" s="3">
        <v>2</v>
      </c>
      <c r="U167" s="4" t="str" cm="1">
        <f t="array" ref="U167">_xlfn.IFS(V167&lt;=4, "Dissatisfied",V167&lt;=7,"Neutral",V167&gt;=8,"Satisfied")</f>
        <v>Dissatisfied</v>
      </c>
      <c r="V167" s="3">
        <v>3</v>
      </c>
      <c r="W167" s="4" t="s">
        <v>85</v>
      </c>
      <c r="X167" s="4" t="s">
        <v>60</v>
      </c>
      <c r="Y167" s="4" t="s">
        <v>119</v>
      </c>
      <c r="Z167" s="1">
        <v>45359</v>
      </c>
      <c r="AA167" s="4" t="str" cm="1">
        <f t="array" ref="AA167">_xlfn.IFS(OR(AB167="December", AB167="February", AB167="January"), "Winter", OR(AB167="March", AB167="April", AB167="May"), "Spring", OR(AB167="June", AB167="July", AB167="August"), "Summer", TRUE, "Autumn")</f>
        <v>Spring</v>
      </c>
      <c r="AB167" s="7" t="str">
        <f>TEXT(Z167, "mmmm")</f>
        <v>March</v>
      </c>
      <c r="AC167" s="1" t="str">
        <f>TEXT(Z167, "dddd")</f>
        <v>Friday</v>
      </c>
      <c r="AD167" s="4" t="s">
        <v>62</v>
      </c>
      <c r="AE167" s="4" t="s">
        <v>62</v>
      </c>
      <c r="AF167" s="4" t="s">
        <v>102</v>
      </c>
      <c r="AG167" s="4" t="s">
        <v>88</v>
      </c>
      <c r="AH167" s="3">
        <v>4</v>
      </c>
    </row>
    <row r="168" spans="1:34">
      <c r="A168" s="4" t="s">
        <v>443</v>
      </c>
      <c r="B168" s="3">
        <v>29</v>
      </c>
      <c r="C168" s="9" t="str" cm="1">
        <f t="array" ref="C168">_xlfn.IFS(B168&gt;65,"+65",B168&gt;54,"55-65",B168&gt;44,"45-54",B168&gt;35,"36-44",B168&gt;25,"26-35",B168&gt;=18,"18-25")</f>
        <v>26-35</v>
      </c>
      <c r="D168" s="4" t="s">
        <v>78</v>
      </c>
      <c r="E168" s="4" t="s">
        <v>51</v>
      </c>
      <c r="F168" s="4" t="s">
        <v>67</v>
      </c>
      <c r="G168" s="4" t="s">
        <v>53</v>
      </c>
      <c r="H168" s="4" t="s">
        <v>444</v>
      </c>
      <c r="I168" s="4" t="s">
        <v>234</v>
      </c>
      <c r="J168" s="5">
        <v>437.06</v>
      </c>
      <c r="K168" s="3">
        <v>7</v>
      </c>
      <c r="L168" s="4" t="str">
        <f>IF(AND(J168&gt;350,K168&gt;6), "True","False")</f>
        <v>True</v>
      </c>
      <c r="M168" s="4" t="s">
        <v>71</v>
      </c>
      <c r="N168" s="3">
        <v>3</v>
      </c>
      <c r="O168" s="4" t="str" cm="1">
        <f t="array" ref="O168">_xlfn.IFS(P168&lt;=2,"Poor",P168=3,"Average",P168&gt;=4,"Good")</f>
        <v>Good</v>
      </c>
      <c r="P168" s="3">
        <v>5</v>
      </c>
      <c r="Q168" s="2">
        <v>2</v>
      </c>
      <c r="R168" s="4" t="s">
        <v>59</v>
      </c>
      <c r="S168" s="4" t="s">
        <v>73</v>
      </c>
      <c r="T168" s="3">
        <v>0</v>
      </c>
      <c r="U168" s="4" t="str" cm="1">
        <f t="array" ref="U168">_xlfn.IFS(V168&lt;=4, "Dissatisfied",V168&lt;=7,"Neutral",V168&gt;=8,"Satisfied")</f>
        <v>Neutral</v>
      </c>
      <c r="V168" s="3">
        <v>6</v>
      </c>
      <c r="W168" s="4" t="s">
        <v>59</v>
      </c>
      <c r="X168" s="4" t="s">
        <v>60</v>
      </c>
      <c r="Y168" s="4" t="s">
        <v>61</v>
      </c>
      <c r="Z168" s="1">
        <v>45360</v>
      </c>
      <c r="AA168" s="4" t="str" cm="1">
        <f t="array" ref="AA168">_xlfn.IFS(OR(AB168="December", AB168="February", AB168="January"), "Winter", OR(AB168="March", AB168="April", AB168="May"), "Spring", OR(AB168="June", AB168="July", AB168="August"), "Summer", TRUE, "Autumn")</f>
        <v>Spring</v>
      </c>
      <c r="AB168" s="7" t="str">
        <f>TEXT(Z168, "mmmm")</f>
        <v>March</v>
      </c>
      <c r="AC168" s="1" t="str">
        <f>TEXT(Z168, "dddd")</f>
        <v>Saturday</v>
      </c>
      <c r="AD168" s="4" t="s">
        <v>76</v>
      </c>
      <c r="AE168" s="4" t="s">
        <v>76</v>
      </c>
      <c r="AF168" s="4" t="s">
        <v>92</v>
      </c>
      <c r="AG168" s="4" t="s">
        <v>93</v>
      </c>
      <c r="AH168" s="3">
        <v>11</v>
      </c>
    </row>
    <row r="169" spans="1:34">
      <c r="A169" s="4" t="s">
        <v>445</v>
      </c>
      <c r="B169" s="3">
        <v>27</v>
      </c>
      <c r="C169" s="9" t="str" cm="1">
        <f t="array" ref="C169">_xlfn.IFS(B169&gt;65,"+65",B169&gt;54,"55-65",B169&gt;44,"45-54",B169&gt;35,"36-44",B169&gt;25,"26-35",B169&gt;=18,"18-25")</f>
        <v>26-35</v>
      </c>
      <c r="D169" s="4" t="s">
        <v>66</v>
      </c>
      <c r="E169" s="4" t="s">
        <v>51</v>
      </c>
      <c r="F169" s="4" t="s">
        <v>67</v>
      </c>
      <c r="G169" s="4" t="s">
        <v>53</v>
      </c>
      <c r="H169" s="4" t="s">
        <v>446</v>
      </c>
      <c r="I169" s="4" t="s">
        <v>172</v>
      </c>
      <c r="J169" s="5">
        <v>106.96</v>
      </c>
      <c r="K169" s="3">
        <v>6</v>
      </c>
      <c r="L169" s="4" t="str">
        <f>IF(AND(J169&gt;350,K169&gt;6), "True","False")</f>
        <v>False</v>
      </c>
      <c r="M169" s="4" t="s">
        <v>71</v>
      </c>
      <c r="N169" s="3">
        <v>3</v>
      </c>
      <c r="O169" s="4" t="str" cm="1">
        <f t="array" ref="O169">_xlfn.IFS(P169&lt;=2,"Poor",P169=3,"Average",P169&gt;=4,"Good")</f>
        <v>Poor</v>
      </c>
      <c r="P169" s="3">
        <v>1</v>
      </c>
      <c r="Q169" s="2">
        <v>2</v>
      </c>
      <c r="R169" s="4" t="s">
        <v>59</v>
      </c>
      <c r="S169" s="4" t="s">
        <v>58</v>
      </c>
      <c r="T169" s="3">
        <v>0</v>
      </c>
      <c r="U169" s="4" t="str" cm="1">
        <f t="array" ref="U169">_xlfn.IFS(V169&lt;=4, "Dissatisfied",V169&lt;=7,"Neutral",V169&gt;=8,"Satisfied")</f>
        <v>Neutral</v>
      </c>
      <c r="V169" s="3">
        <v>7</v>
      </c>
      <c r="W169" s="4" t="s">
        <v>85</v>
      </c>
      <c r="X169" s="4" t="s">
        <v>74</v>
      </c>
      <c r="Y169" s="4" t="s">
        <v>75</v>
      </c>
      <c r="Z169" s="1">
        <v>45360</v>
      </c>
      <c r="AA169" s="4" t="str" cm="1">
        <f t="array" ref="AA169">_xlfn.IFS(OR(AB169="December", AB169="February", AB169="January"), "Winter", OR(AB169="March", AB169="April", AB169="May"), "Spring", OR(AB169="June", AB169="July", AB169="August"), "Summer", TRUE, "Autumn")</f>
        <v>Spring</v>
      </c>
      <c r="AB169" s="7" t="str">
        <f>TEXT(Z169, "mmmm")</f>
        <v>March</v>
      </c>
      <c r="AC169" s="1" t="str">
        <f>TEXT(Z169, "dddd")</f>
        <v>Saturday</v>
      </c>
      <c r="AD169" s="4" t="s">
        <v>62</v>
      </c>
      <c r="AE169" s="4" t="s">
        <v>62</v>
      </c>
      <c r="AF169" s="4" t="s">
        <v>92</v>
      </c>
      <c r="AG169" s="4" t="s">
        <v>64</v>
      </c>
      <c r="AH169" s="3">
        <v>3</v>
      </c>
    </row>
    <row r="170" spans="1:34">
      <c r="A170" s="4" t="s">
        <v>447</v>
      </c>
      <c r="B170" s="3">
        <v>40</v>
      </c>
      <c r="C170" s="9" t="str" cm="1">
        <f t="array" ref="C170">_xlfn.IFS(B170&gt;65,"+65",B170&gt;54,"55-65",B170&gt;44,"45-54",B170&gt;35,"36-44",B170&gt;25,"26-35",B170&gt;=18,"18-25")</f>
        <v>36-44</v>
      </c>
      <c r="D170" s="4" t="s">
        <v>78</v>
      </c>
      <c r="E170" s="4" t="s">
        <v>72</v>
      </c>
      <c r="F170" s="4" t="s">
        <v>79</v>
      </c>
      <c r="G170" s="4" t="s">
        <v>80</v>
      </c>
      <c r="H170" s="4" t="s">
        <v>448</v>
      </c>
      <c r="I170" s="4" t="s">
        <v>97</v>
      </c>
      <c r="J170" s="5">
        <v>149.52000000000001</v>
      </c>
      <c r="K170" s="3">
        <v>9</v>
      </c>
      <c r="L170" s="4" t="str">
        <f>IF(AND(J170&gt;350,K170&gt;6), "True","False")</f>
        <v>False</v>
      </c>
      <c r="M170" s="4" t="s">
        <v>71</v>
      </c>
      <c r="N170" s="3">
        <v>2</v>
      </c>
      <c r="O170" s="4" t="str" cm="1">
        <f t="array" ref="O170">_xlfn.IFS(P170&lt;=2,"Poor",P170=3,"Average",P170&gt;=4,"Good")</f>
        <v>Good</v>
      </c>
      <c r="P170" s="3">
        <v>5</v>
      </c>
      <c r="Q170" s="2">
        <v>1</v>
      </c>
      <c r="R170" s="4" t="s">
        <v>57</v>
      </c>
      <c r="S170" s="4" t="s">
        <v>84</v>
      </c>
      <c r="T170" s="3">
        <v>0</v>
      </c>
      <c r="U170" s="4" t="str" cm="1">
        <f t="array" ref="U170">_xlfn.IFS(V170&lt;=4, "Dissatisfied",V170&lt;=7,"Neutral",V170&gt;=8,"Satisfied")</f>
        <v>Neutral</v>
      </c>
      <c r="V170" s="3">
        <v>6</v>
      </c>
      <c r="W170" s="4" t="s">
        <v>57</v>
      </c>
      <c r="X170" s="4" t="s">
        <v>60</v>
      </c>
      <c r="Y170" s="4" t="s">
        <v>61</v>
      </c>
      <c r="Z170" s="1">
        <v>45361</v>
      </c>
      <c r="AA170" s="4" t="str" cm="1">
        <f t="array" ref="AA170">_xlfn.IFS(OR(AB170="December", AB170="February", AB170="January"), "Winter", OR(AB170="March", AB170="April", AB170="May"), "Spring", OR(AB170="June", AB170="July", AB170="August"), "Summer", TRUE, "Autumn")</f>
        <v>Spring</v>
      </c>
      <c r="AB170" s="7" t="str">
        <f>TEXT(Z170, "mmmm")</f>
        <v>March</v>
      </c>
      <c r="AC170" s="1" t="str">
        <f>TEXT(Z170, "dddd")</f>
        <v>Sunday</v>
      </c>
      <c r="AD170" s="4" t="s">
        <v>76</v>
      </c>
      <c r="AE170" s="4" t="s">
        <v>76</v>
      </c>
      <c r="AF170" s="4" t="s">
        <v>102</v>
      </c>
      <c r="AG170" s="4" t="s">
        <v>88</v>
      </c>
      <c r="AH170" s="3">
        <v>8</v>
      </c>
    </row>
    <row r="171" spans="1:34">
      <c r="A171" s="4" t="s">
        <v>449</v>
      </c>
      <c r="B171" s="3">
        <v>18</v>
      </c>
      <c r="C171" s="9" t="str" cm="1">
        <f t="array" ref="C171">_xlfn.IFS(B171&gt;65,"+65",B171&gt;54,"55-65",B171&gt;44,"45-54",B171&gt;35,"36-44",B171&gt;25,"26-35",B171&gt;=18,"18-25")</f>
        <v>18-25</v>
      </c>
      <c r="D171" s="4" t="s">
        <v>78</v>
      </c>
      <c r="E171" s="4" t="s">
        <v>51</v>
      </c>
      <c r="F171" s="4" t="s">
        <v>52</v>
      </c>
      <c r="G171" s="4" t="s">
        <v>80</v>
      </c>
      <c r="H171" s="4" t="s">
        <v>450</v>
      </c>
      <c r="I171" s="4" t="s">
        <v>223</v>
      </c>
      <c r="J171" s="5">
        <v>89.6</v>
      </c>
      <c r="K171" s="3">
        <v>7</v>
      </c>
      <c r="L171" s="4" t="str">
        <f>IF(AND(J171&gt;350,K171&gt;6), "True","False")</f>
        <v>False</v>
      </c>
      <c r="M171" s="4" t="s">
        <v>71</v>
      </c>
      <c r="N171" s="3">
        <v>5</v>
      </c>
      <c r="O171" s="4" t="str" cm="1">
        <f t="array" ref="O171">_xlfn.IFS(P171&lt;=2,"Poor",P171=3,"Average",P171&gt;=4,"Good")</f>
        <v>Average</v>
      </c>
      <c r="P171" s="3">
        <v>3</v>
      </c>
      <c r="Q171" s="2">
        <v>2</v>
      </c>
      <c r="R171" s="4" t="s">
        <v>57</v>
      </c>
      <c r="S171" s="4" t="s">
        <v>58</v>
      </c>
      <c r="T171" s="3">
        <v>1</v>
      </c>
      <c r="U171" s="4" t="str" cm="1">
        <f t="array" ref="U171">_xlfn.IFS(V171&lt;=4, "Dissatisfied",V171&lt;=7,"Neutral",V171&gt;=8,"Satisfied")</f>
        <v>Neutral</v>
      </c>
      <c r="V171" s="3">
        <v>5</v>
      </c>
      <c r="W171" s="4" t="s">
        <v>59</v>
      </c>
      <c r="X171" s="4" t="s">
        <v>101</v>
      </c>
      <c r="Y171" s="4" t="s">
        <v>61</v>
      </c>
      <c r="Z171" s="1">
        <v>45361</v>
      </c>
      <c r="AA171" s="4" t="str" cm="1">
        <f t="array" ref="AA171">_xlfn.IFS(OR(AB171="December", AB171="February", AB171="January"), "Winter", OR(AB171="March", AB171="April", AB171="May"), "Spring", OR(AB171="June", AB171="July", AB171="August"), "Summer", TRUE, "Autumn")</f>
        <v>Spring</v>
      </c>
      <c r="AB171" s="7" t="str">
        <f>TEXT(Z171, "mmmm")</f>
        <v>March</v>
      </c>
      <c r="AC171" s="1" t="str">
        <f>TEXT(Z171, "dddd")</f>
        <v>Sunday</v>
      </c>
      <c r="AD171" s="4" t="s">
        <v>76</v>
      </c>
      <c r="AE171" s="4" t="s">
        <v>76</v>
      </c>
      <c r="AF171" s="4" t="s">
        <v>87</v>
      </c>
      <c r="AG171" s="4" t="s">
        <v>64</v>
      </c>
      <c r="AH171" s="3">
        <v>8</v>
      </c>
    </row>
    <row r="172" spans="1:34">
      <c r="A172" s="4" t="s">
        <v>451</v>
      </c>
      <c r="B172" s="3">
        <v>41</v>
      </c>
      <c r="C172" s="9" t="str" cm="1">
        <f t="array" ref="C172">_xlfn.IFS(B172&gt;65,"+65",B172&gt;54,"55-65",B172&gt;44,"45-54",B172&gt;35,"36-44",B172&gt;25,"26-35",B172&gt;=18,"18-25")</f>
        <v>36-44</v>
      </c>
      <c r="D172" s="4" t="s">
        <v>78</v>
      </c>
      <c r="E172" s="4" t="s">
        <v>51</v>
      </c>
      <c r="F172" s="4" t="s">
        <v>95</v>
      </c>
      <c r="G172" s="4" t="s">
        <v>68</v>
      </c>
      <c r="H172" s="4" t="s">
        <v>452</v>
      </c>
      <c r="I172" s="4" t="s">
        <v>122</v>
      </c>
      <c r="J172" s="5">
        <v>287.18</v>
      </c>
      <c r="K172" s="3">
        <v>7</v>
      </c>
      <c r="L172" s="4" t="str">
        <f>IF(AND(J172&gt;350,K172&gt;6), "True","False")</f>
        <v>False</v>
      </c>
      <c r="M172" s="4" t="s">
        <v>71</v>
      </c>
      <c r="N172" s="3">
        <v>4</v>
      </c>
      <c r="O172" s="4" t="str" cm="1">
        <f t="array" ref="O172">_xlfn.IFS(P172&lt;=2,"Poor",P172=3,"Average",P172&gt;=4,"Good")</f>
        <v>Good</v>
      </c>
      <c r="P172" s="3">
        <v>5</v>
      </c>
      <c r="Q172" s="2">
        <v>0</v>
      </c>
      <c r="R172" s="4" t="s">
        <v>57</v>
      </c>
      <c r="S172" s="4" t="s">
        <v>58</v>
      </c>
      <c r="T172" s="3">
        <v>0</v>
      </c>
      <c r="U172" s="4" t="str" cm="1">
        <f t="array" ref="U172">_xlfn.IFS(V172&lt;=4, "Dissatisfied",V172&lt;=7,"Neutral",V172&gt;=8,"Satisfied")</f>
        <v>Dissatisfied</v>
      </c>
      <c r="V172" s="3">
        <v>1</v>
      </c>
      <c r="W172" s="4" t="s">
        <v>57</v>
      </c>
      <c r="X172" s="4" t="s">
        <v>74</v>
      </c>
      <c r="Y172" s="4" t="s">
        <v>75</v>
      </c>
      <c r="Z172" s="1">
        <v>45362</v>
      </c>
      <c r="AA172" s="4" t="str" cm="1">
        <f t="array" ref="AA172">_xlfn.IFS(OR(AB172="December", AB172="February", AB172="January"), "Winter", OR(AB172="March", AB172="April", AB172="May"), "Spring", OR(AB172="June", AB172="July", AB172="August"), "Summer", TRUE, "Autumn")</f>
        <v>Spring</v>
      </c>
      <c r="AB172" s="7" t="str">
        <f>TEXT(Z172, "mmmm")</f>
        <v>March</v>
      </c>
      <c r="AC172" s="1" t="str">
        <f>TEXT(Z172, "dddd")</f>
        <v>Monday</v>
      </c>
      <c r="AD172" s="4" t="s">
        <v>62</v>
      </c>
      <c r="AE172" s="4" t="s">
        <v>76</v>
      </c>
      <c r="AF172" s="4" t="s">
        <v>87</v>
      </c>
      <c r="AG172" s="4" t="s">
        <v>88</v>
      </c>
      <c r="AH172" s="3">
        <v>8</v>
      </c>
    </row>
    <row r="173" spans="1:34">
      <c r="A173" s="4" t="s">
        <v>453</v>
      </c>
      <c r="B173" s="3">
        <v>38</v>
      </c>
      <c r="C173" s="9" t="str" cm="1">
        <f t="array" ref="C173">_xlfn.IFS(B173&gt;65,"+65",B173&gt;54,"55-65",B173&gt;44,"45-54",B173&gt;35,"36-44",B173&gt;25,"26-35",B173&gt;=18,"18-25")</f>
        <v>36-44</v>
      </c>
      <c r="D173" s="4" t="s">
        <v>78</v>
      </c>
      <c r="E173" s="4" t="s">
        <v>51</v>
      </c>
      <c r="F173" s="4" t="s">
        <v>79</v>
      </c>
      <c r="G173" s="4" t="s">
        <v>80</v>
      </c>
      <c r="H173" s="4" t="s">
        <v>454</v>
      </c>
      <c r="I173" s="4" t="s">
        <v>82</v>
      </c>
      <c r="J173" s="5">
        <v>301.60000000000002</v>
      </c>
      <c r="K173" s="3">
        <v>4</v>
      </c>
      <c r="L173" s="4" t="str">
        <f>IF(AND(J173&gt;350,K173&gt;6), "True","False")</f>
        <v>False</v>
      </c>
      <c r="M173" s="4" t="s">
        <v>83</v>
      </c>
      <c r="N173" s="3">
        <v>4</v>
      </c>
      <c r="O173" s="4" t="str" cm="1">
        <f t="array" ref="O173">_xlfn.IFS(P173&lt;=2,"Poor",P173=3,"Average",P173&gt;=4,"Good")</f>
        <v>Good</v>
      </c>
      <c r="P173" s="3">
        <v>5</v>
      </c>
      <c r="Q173" s="2">
        <v>1</v>
      </c>
      <c r="R173" s="4" t="s">
        <v>59</v>
      </c>
      <c r="S173" s="4" t="s">
        <v>58</v>
      </c>
      <c r="T173" s="3">
        <v>2</v>
      </c>
      <c r="U173" s="4" t="str" cm="1">
        <f t="array" ref="U173">_xlfn.IFS(V173&lt;=4, "Dissatisfied",V173&lt;=7,"Neutral",V173&gt;=8,"Satisfied")</f>
        <v>Satisfied</v>
      </c>
      <c r="V173" s="3">
        <v>10</v>
      </c>
      <c r="W173" s="4" t="s">
        <v>72</v>
      </c>
      <c r="X173" s="4" t="s">
        <v>101</v>
      </c>
      <c r="Y173" s="4" t="s">
        <v>119</v>
      </c>
      <c r="Z173" s="1">
        <v>45362</v>
      </c>
      <c r="AA173" s="4" t="str" cm="1">
        <f t="array" ref="AA173">_xlfn.IFS(OR(AB173="December", AB173="February", AB173="January"), "Winter", OR(AB173="March", AB173="April", AB173="May"), "Spring", OR(AB173="June", AB173="July", AB173="August"), "Summer", TRUE, "Autumn")</f>
        <v>Spring</v>
      </c>
      <c r="AB173" s="7" t="str">
        <f>TEXT(Z173, "mmmm")</f>
        <v>March</v>
      </c>
      <c r="AC173" s="1" t="str">
        <f>TEXT(Z173, "dddd")</f>
        <v>Monday</v>
      </c>
      <c r="AD173" s="4" t="s">
        <v>76</v>
      </c>
      <c r="AE173" s="4" t="s">
        <v>76</v>
      </c>
      <c r="AF173" s="4" t="s">
        <v>92</v>
      </c>
      <c r="AG173" s="4" t="s">
        <v>64</v>
      </c>
      <c r="AH173" s="3">
        <v>13</v>
      </c>
    </row>
    <row r="174" spans="1:34">
      <c r="A174" s="4" t="s">
        <v>455</v>
      </c>
      <c r="B174" s="3">
        <v>27</v>
      </c>
      <c r="C174" s="9" t="str" cm="1">
        <f t="array" ref="C174">_xlfn.IFS(B174&gt;65,"+65",B174&gt;54,"55-65",B174&gt;44,"45-54",B174&gt;35,"36-44",B174&gt;25,"26-35",B174&gt;=18,"18-25")</f>
        <v>26-35</v>
      </c>
      <c r="D174" s="4" t="s">
        <v>456</v>
      </c>
      <c r="E174" s="4" t="s">
        <v>51</v>
      </c>
      <c r="F174" s="4" t="s">
        <v>79</v>
      </c>
      <c r="G174" s="4" t="s">
        <v>80</v>
      </c>
      <c r="H174" s="4" t="s">
        <v>457</v>
      </c>
      <c r="I174" s="4" t="s">
        <v>223</v>
      </c>
      <c r="J174" s="5">
        <v>328.36</v>
      </c>
      <c r="K174" s="3">
        <v>11</v>
      </c>
      <c r="L174" s="4" t="str">
        <f>IF(AND(J174&gt;350,K174&gt;6), "True","False")</f>
        <v>False</v>
      </c>
      <c r="M174" s="4" t="s">
        <v>71</v>
      </c>
      <c r="N174" s="3">
        <v>1</v>
      </c>
      <c r="O174" s="4" t="str" cm="1">
        <f t="array" ref="O174">_xlfn.IFS(P174&lt;=2,"Poor",P174=3,"Average",P174&gt;=4,"Good")</f>
        <v>Good</v>
      </c>
      <c r="P174" s="3">
        <v>4</v>
      </c>
      <c r="Q174" s="2">
        <v>2</v>
      </c>
      <c r="R174" s="4" t="s">
        <v>72</v>
      </c>
      <c r="S174" s="4" t="s">
        <v>73</v>
      </c>
      <c r="T174" s="3">
        <v>0</v>
      </c>
      <c r="U174" s="4" t="str" cm="1">
        <f t="array" ref="U174">_xlfn.IFS(V174&lt;=4, "Dissatisfied",V174&lt;=7,"Neutral",V174&gt;=8,"Satisfied")</f>
        <v>Dissatisfied</v>
      </c>
      <c r="V174" s="3">
        <v>4</v>
      </c>
      <c r="W174" s="4" t="s">
        <v>57</v>
      </c>
      <c r="X174" s="4" t="s">
        <v>74</v>
      </c>
      <c r="Y174" s="4" t="s">
        <v>61</v>
      </c>
      <c r="Z174" s="1">
        <v>45362</v>
      </c>
      <c r="AA174" s="4" t="str" cm="1">
        <f t="array" ref="AA174">_xlfn.IFS(OR(AB174="December", AB174="February", AB174="January"), "Winter", OR(AB174="March", AB174="April", AB174="May"), "Spring", OR(AB174="June", AB174="July", AB174="August"), "Summer", TRUE, "Autumn")</f>
        <v>Spring</v>
      </c>
      <c r="AB174" s="7" t="str">
        <f>TEXT(Z174, "mmmm")</f>
        <v>March</v>
      </c>
      <c r="AC174" s="1" t="str">
        <f>TEXT(Z174, "dddd")</f>
        <v>Monday</v>
      </c>
      <c r="AD174" s="4" t="s">
        <v>76</v>
      </c>
      <c r="AE174" s="4" t="s">
        <v>62</v>
      </c>
      <c r="AF174" s="4" t="s">
        <v>102</v>
      </c>
      <c r="AG174" s="4" t="s">
        <v>93</v>
      </c>
      <c r="AH174" s="3">
        <v>4</v>
      </c>
    </row>
    <row r="175" spans="1:34">
      <c r="A175" s="4" t="s">
        <v>458</v>
      </c>
      <c r="B175" s="3">
        <v>26</v>
      </c>
      <c r="C175" s="9" t="str" cm="1">
        <f t="array" ref="C175">_xlfn.IFS(B175&gt;65,"+65",B175&gt;54,"55-65",B175&gt;44,"45-54",B175&gt;35,"36-44",B175&gt;25,"26-35",B175&gt;=18,"18-25")</f>
        <v>26-35</v>
      </c>
      <c r="D175" s="4" t="s">
        <v>66</v>
      </c>
      <c r="E175" s="4" t="s">
        <v>72</v>
      </c>
      <c r="F175" s="4" t="s">
        <v>67</v>
      </c>
      <c r="G175" s="4" t="s">
        <v>53</v>
      </c>
      <c r="H175" s="4" t="s">
        <v>459</v>
      </c>
      <c r="I175" s="4" t="s">
        <v>133</v>
      </c>
      <c r="J175" s="5">
        <v>453.37</v>
      </c>
      <c r="K175" s="3">
        <v>10</v>
      </c>
      <c r="L175" s="4" t="str">
        <f>IF(AND(J175&gt;350,K175&gt;6), "True","False")</f>
        <v>True</v>
      </c>
      <c r="M175" s="4" t="s">
        <v>83</v>
      </c>
      <c r="N175" s="3">
        <v>1</v>
      </c>
      <c r="O175" s="4" t="str" cm="1">
        <f t="array" ref="O175">_xlfn.IFS(P175&lt;=2,"Poor",P175=3,"Average",P175&gt;=4,"Good")</f>
        <v>Poor</v>
      </c>
      <c r="P175" s="3">
        <v>1</v>
      </c>
      <c r="Q175" s="2">
        <v>2</v>
      </c>
      <c r="R175" s="4" t="s">
        <v>59</v>
      </c>
      <c r="S175" s="4" t="s">
        <v>73</v>
      </c>
      <c r="T175" s="3">
        <v>0</v>
      </c>
      <c r="U175" s="4" t="str" cm="1">
        <f t="array" ref="U175">_xlfn.IFS(V175&lt;=4, "Dissatisfied",V175&lt;=7,"Neutral",V175&gt;=8,"Satisfied")</f>
        <v>Neutral</v>
      </c>
      <c r="V175" s="3">
        <v>6</v>
      </c>
      <c r="W175" s="4" t="s">
        <v>72</v>
      </c>
      <c r="X175" s="4" t="s">
        <v>101</v>
      </c>
      <c r="Y175" s="4" t="s">
        <v>119</v>
      </c>
      <c r="Z175" s="1">
        <v>45362</v>
      </c>
      <c r="AA175" s="4" t="str" cm="1">
        <f t="array" ref="AA175">_xlfn.IFS(OR(AB175="December", AB175="February", AB175="January"), "Winter", OR(AB175="March", AB175="April", AB175="May"), "Spring", OR(AB175="June", AB175="July", AB175="August"), "Summer", TRUE, "Autumn")</f>
        <v>Spring</v>
      </c>
      <c r="AB175" s="7" t="str">
        <f>TEXT(Z175, "mmmm")</f>
        <v>March</v>
      </c>
      <c r="AC175" s="1" t="str">
        <f>TEXT(Z175, "dddd")</f>
        <v>Monday</v>
      </c>
      <c r="AD175" s="4" t="s">
        <v>62</v>
      </c>
      <c r="AE175" s="4" t="s">
        <v>62</v>
      </c>
      <c r="AF175" s="4" t="s">
        <v>102</v>
      </c>
      <c r="AG175" s="4" t="s">
        <v>93</v>
      </c>
      <c r="AH175" s="3">
        <v>9</v>
      </c>
    </row>
    <row r="176" spans="1:34">
      <c r="A176" s="4" t="s">
        <v>460</v>
      </c>
      <c r="B176" s="3">
        <v>22</v>
      </c>
      <c r="C176" s="9" t="str" cm="1">
        <f t="array" ref="C176">_xlfn.IFS(B176&gt;65,"+65",B176&gt;54,"55-65",B176&gt;44,"45-54",B176&gt;35,"36-44",B176&gt;25,"26-35",B176&gt;=18,"18-25")</f>
        <v>18-25</v>
      </c>
      <c r="D176" s="4" t="s">
        <v>78</v>
      </c>
      <c r="E176" s="4" t="s">
        <v>72</v>
      </c>
      <c r="F176" s="4" t="s">
        <v>52</v>
      </c>
      <c r="G176" s="4" t="s">
        <v>80</v>
      </c>
      <c r="H176" s="4" t="s">
        <v>461</v>
      </c>
      <c r="I176" s="4" t="s">
        <v>133</v>
      </c>
      <c r="J176" s="5">
        <v>429.24</v>
      </c>
      <c r="K176" s="3">
        <v>2</v>
      </c>
      <c r="L176" s="4" t="str">
        <f>IF(AND(J176&gt;350,K176&gt;6), "True","False")</f>
        <v>False</v>
      </c>
      <c r="M176" s="4" t="s">
        <v>56</v>
      </c>
      <c r="N176" s="3">
        <v>2</v>
      </c>
      <c r="O176" s="4" t="str" cm="1">
        <f t="array" ref="O176">_xlfn.IFS(P176&lt;=2,"Poor",P176=3,"Average",P176&gt;=4,"Good")</f>
        <v>Poor</v>
      </c>
      <c r="P176" s="3">
        <v>2</v>
      </c>
      <c r="Q176" s="2">
        <v>2</v>
      </c>
      <c r="R176" s="4" t="s">
        <v>85</v>
      </c>
      <c r="S176" s="4" t="s">
        <v>73</v>
      </c>
      <c r="T176" s="3">
        <v>0</v>
      </c>
      <c r="U176" s="4" t="str" cm="1">
        <f t="array" ref="U176">_xlfn.IFS(V176&lt;=4, "Dissatisfied",V176&lt;=7,"Neutral",V176&gt;=8,"Satisfied")</f>
        <v>Dissatisfied</v>
      </c>
      <c r="V176" s="3">
        <v>3</v>
      </c>
      <c r="W176" s="4" t="s">
        <v>57</v>
      </c>
      <c r="X176" s="4" t="s">
        <v>101</v>
      </c>
      <c r="Y176" s="4" t="s">
        <v>61</v>
      </c>
      <c r="Z176" s="1">
        <v>45362</v>
      </c>
      <c r="AA176" s="4" t="str" cm="1">
        <f t="array" ref="AA176">_xlfn.IFS(OR(AB176="December", AB176="February", AB176="January"), "Winter", OR(AB176="March", AB176="April", AB176="May"), "Spring", OR(AB176="June", AB176="July", AB176="August"), "Summer", TRUE, "Autumn")</f>
        <v>Spring</v>
      </c>
      <c r="AB176" s="7" t="str">
        <f>TEXT(Z176, "mmmm")</f>
        <v>March</v>
      </c>
      <c r="AC176" s="1" t="str">
        <f>TEXT(Z176, "dddd")</f>
        <v>Monday</v>
      </c>
      <c r="AD176" s="4" t="s">
        <v>76</v>
      </c>
      <c r="AE176" s="4" t="s">
        <v>76</v>
      </c>
      <c r="AF176" s="4" t="s">
        <v>87</v>
      </c>
      <c r="AG176" s="4" t="s">
        <v>88</v>
      </c>
      <c r="AH176" s="3">
        <v>13</v>
      </c>
    </row>
    <row r="177" spans="1:34">
      <c r="A177" s="4" t="s">
        <v>462</v>
      </c>
      <c r="B177" s="3">
        <v>46</v>
      </c>
      <c r="C177" s="9" t="str" cm="1">
        <f t="array" ref="C177">_xlfn.IFS(B177&gt;65,"+65",B177&gt;54,"55-65",B177&gt;44,"45-54",B177&gt;35,"36-44",B177&gt;25,"26-35",B177&gt;=18,"18-25")</f>
        <v>45-54</v>
      </c>
      <c r="D177" s="4" t="s">
        <v>78</v>
      </c>
      <c r="E177" s="4" t="s">
        <v>51</v>
      </c>
      <c r="F177" s="4" t="s">
        <v>67</v>
      </c>
      <c r="G177" s="4" t="s">
        <v>68</v>
      </c>
      <c r="H177" s="4" t="s">
        <v>463</v>
      </c>
      <c r="I177" s="4" t="s">
        <v>110</v>
      </c>
      <c r="J177" s="5">
        <v>290.56</v>
      </c>
      <c r="K177" s="3">
        <v>3</v>
      </c>
      <c r="L177" s="4" t="str">
        <f>IF(AND(J177&gt;350,K177&gt;6), "True","False")</f>
        <v>False</v>
      </c>
      <c r="M177" s="4" t="s">
        <v>71</v>
      </c>
      <c r="N177" s="3">
        <v>5</v>
      </c>
      <c r="O177" s="4" t="str" cm="1">
        <f t="array" ref="O177">_xlfn.IFS(P177&lt;=2,"Poor",P177=3,"Average",P177&gt;=4,"Good")</f>
        <v>Poor</v>
      </c>
      <c r="P177" s="3">
        <v>1</v>
      </c>
      <c r="Q177" s="2">
        <v>2</v>
      </c>
      <c r="R177" s="4" t="s">
        <v>57</v>
      </c>
      <c r="S177" s="4" t="s">
        <v>84</v>
      </c>
      <c r="T177" s="3">
        <v>1</v>
      </c>
      <c r="U177" s="4" t="str" cm="1">
        <f t="array" ref="U177">_xlfn.IFS(V177&lt;=4, "Dissatisfied",V177&lt;=7,"Neutral",V177&gt;=8,"Satisfied")</f>
        <v>Dissatisfied</v>
      </c>
      <c r="V177" s="3">
        <v>1</v>
      </c>
      <c r="W177" s="4" t="s">
        <v>57</v>
      </c>
      <c r="X177" s="4" t="s">
        <v>101</v>
      </c>
      <c r="Y177" s="4" t="s">
        <v>86</v>
      </c>
      <c r="Z177" s="1">
        <v>45363</v>
      </c>
      <c r="AA177" s="4" t="str" cm="1">
        <f t="array" ref="AA177">_xlfn.IFS(OR(AB177="December", AB177="February", AB177="January"), "Winter", OR(AB177="March", AB177="April", AB177="May"), "Spring", OR(AB177="June", AB177="July", AB177="August"), "Summer", TRUE, "Autumn")</f>
        <v>Spring</v>
      </c>
      <c r="AB177" s="7" t="str">
        <f>TEXT(Z177, "mmmm")</f>
        <v>March</v>
      </c>
      <c r="AC177" s="1" t="str">
        <f>TEXT(Z177, "dddd")</f>
        <v>Tuesday</v>
      </c>
      <c r="AD177" s="4" t="s">
        <v>62</v>
      </c>
      <c r="AE177" s="4" t="s">
        <v>76</v>
      </c>
      <c r="AF177" s="4" t="s">
        <v>102</v>
      </c>
      <c r="AG177" s="4" t="s">
        <v>88</v>
      </c>
      <c r="AH177" s="3">
        <v>4</v>
      </c>
    </row>
    <row r="178" spans="1:34">
      <c r="A178" s="4" t="s">
        <v>464</v>
      </c>
      <c r="B178" s="3">
        <v>38</v>
      </c>
      <c r="C178" s="9" t="str" cm="1">
        <f t="array" ref="C178">_xlfn.IFS(B178&gt;65,"+65",B178&gt;54,"55-65",B178&gt;44,"45-54",B178&gt;35,"36-44",B178&gt;25,"26-35",B178&gt;=18,"18-25")</f>
        <v>36-44</v>
      </c>
      <c r="D178" s="4" t="s">
        <v>66</v>
      </c>
      <c r="E178" s="4" t="s">
        <v>51</v>
      </c>
      <c r="F178" s="4" t="s">
        <v>67</v>
      </c>
      <c r="G178" s="4" t="s">
        <v>53</v>
      </c>
      <c r="H178" s="4" t="s">
        <v>465</v>
      </c>
      <c r="I178" s="4" t="s">
        <v>164</v>
      </c>
      <c r="J178" s="5">
        <v>303.93</v>
      </c>
      <c r="K178" s="3">
        <v>6</v>
      </c>
      <c r="L178" s="4" t="str">
        <f>IF(AND(J178&gt;350,K178&gt;6), "True","False")</f>
        <v>False</v>
      </c>
      <c r="M178" s="4" t="s">
        <v>83</v>
      </c>
      <c r="N178" s="3">
        <v>3</v>
      </c>
      <c r="O178" s="4" t="str" cm="1">
        <f t="array" ref="O178">_xlfn.IFS(P178&lt;=2,"Poor",P178=3,"Average",P178&gt;=4,"Good")</f>
        <v>Poor</v>
      </c>
      <c r="P178" s="3">
        <v>2</v>
      </c>
      <c r="Q178" s="2">
        <v>0</v>
      </c>
      <c r="R178" s="4" t="s">
        <v>72</v>
      </c>
      <c r="S178" s="4" t="s">
        <v>58</v>
      </c>
      <c r="T178" s="3">
        <v>1</v>
      </c>
      <c r="U178" s="4" t="str" cm="1">
        <f t="array" ref="U178">_xlfn.IFS(V178&lt;=4, "Dissatisfied",V178&lt;=7,"Neutral",V178&gt;=8,"Satisfied")</f>
        <v>Satisfied</v>
      </c>
      <c r="V178" s="3">
        <v>10</v>
      </c>
      <c r="W178" s="4" t="s">
        <v>59</v>
      </c>
      <c r="X178" s="4" t="s">
        <v>60</v>
      </c>
      <c r="Y178" s="4" t="s">
        <v>75</v>
      </c>
      <c r="Z178" s="1">
        <v>45364</v>
      </c>
      <c r="AA178" s="4" t="str" cm="1">
        <f t="array" ref="AA178">_xlfn.IFS(OR(AB178="December", AB178="February", AB178="January"), "Winter", OR(AB178="March", AB178="April", AB178="May"), "Spring", OR(AB178="June", AB178="July", AB178="August"), "Summer", TRUE, "Autumn")</f>
        <v>Spring</v>
      </c>
      <c r="AB178" s="7" t="str">
        <f>TEXT(Z178, "mmmm")</f>
        <v>March</v>
      </c>
      <c r="AC178" s="1" t="str">
        <f>TEXT(Z178, "dddd")</f>
        <v>Wednesday</v>
      </c>
      <c r="AD178" s="4" t="s">
        <v>62</v>
      </c>
      <c r="AE178" s="4" t="s">
        <v>76</v>
      </c>
      <c r="AF178" s="4" t="s">
        <v>63</v>
      </c>
      <c r="AG178" s="4" t="s">
        <v>88</v>
      </c>
      <c r="AH178" s="3">
        <v>2</v>
      </c>
    </row>
    <row r="179" spans="1:34">
      <c r="A179" s="4" t="s">
        <v>466</v>
      </c>
      <c r="B179" s="3">
        <v>37</v>
      </c>
      <c r="C179" s="9" t="str" cm="1">
        <f t="array" ref="C179">_xlfn.IFS(B179&gt;65,"+65",B179&gt;54,"55-65",B179&gt;44,"45-54",B179&gt;35,"36-44",B179&gt;25,"26-35",B179&gt;=18,"18-25")</f>
        <v>36-44</v>
      </c>
      <c r="D179" s="4" t="s">
        <v>78</v>
      </c>
      <c r="E179" s="4" t="s">
        <v>72</v>
      </c>
      <c r="F179" s="4" t="s">
        <v>52</v>
      </c>
      <c r="G179" s="4" t="s">
        <v>68</v>
      </c>
      <c r="H179" s="4" t="s">
        <v>467</v>
      </c>
      <c r="I179" s="4" t="s">
        <v>110</v>
      </c>
      <c r="J179" s="5">
        <v>102.09</v>
      </c>
      <c r="K179" s="3">
        <v>3</v>
      </c>
      <c r="L179" s="4" t="str">
        <f>IF(AND(J179&gt;350,K179&gt;6), "True","False")</f>
        <v>False</v>
      </c>
      <c r="M179" s="4" t="s">
        <v>83</v>
      </c>
      <c r="N179" s="3">
        <v>1</v>
      </c>
      <c r="O179" s="4" t="str" cm="1">
        <f t="array" ref="O179">_xlfn.IFS(P179&lt;=2,"Poor",P179=3,"Average",P179&gt;=4,"Good")</f>
        <v>Good</v>
      </c>
      <c r="P179" s="3">
        <v>4</v>
      </c>
      <c r="Q179" s="2">
        <v>0</v>
      </c>
      <c r="R179" s="4" t="s">
        <v>57</v>
      </c>
      <c r="S179" s="4" t="s">
        <v>73</v>
      </c>
      <c r="T179" s="3">
        <v>1</v>
      </c>
      <c r="U179" s="4" t="str" cm="1">
        <f t="array" ref="U179">_xlfn.IFS(V179&lt;=4, "Dissatisfied",V179&lt;=7,"Neutral",V179&gt;=8,"Satisfied")</f>
        <v>Satisfied</v>
      </c>
      <c r="V179" s="3">
        <v>9</v>
      </c>
      <c r="W179" s="4" t="s">
        <v>85</v>
      </c>
      <c r="X179" s="4" t="s">
        <v>74</v>
      </c>
      <c r="Y179" s="4" t="s">
        <v>86</v>
      </c>
      <c r="Z179" s="1">
        <v>45364</v>
      </c>
      <c r="AA179" s="4" t="str" cm="1">
        <f t="array" ref="AA179">_xlfn.IFS(OR(AB179="December", AB179="February", AB179="January"), "Winter", OR(AB179="March", AB179="April", AB179="May"), "Spring", OR(AB179="June", AB179="July", AB179="August"), "Summer", TRUE, "Autumn")</f>
        <v>Spring</v>
      </c>
      <c r="AB179" s="7" t="str">
        <f>TEXT(Z179, "mmmm")</f>
        <v>March</v>
      </c>
      <c r="AC179" s="1" t="str">
        <f>TEXT(Z179, "dddd")</f>
        <v>Wednesday</v>
      </c>
      <c r="AD179" s="4" t="s">
        <v>76</v>
      </c>
      <c r="AE179" s="4" t="s">
        <v>62</v>
      </c>
      <c r="AF179" s="4" t="s">
        <v>63</v>
      </c>
      <c r="AG179" s="4" t="s">
        <v>93</v>
      </c>
      <c r="AH179" s="3">
        <v>1</v>
      </c>
    </row>
    <row r="180" spans="1:34">
      <c r="A180" s="4" t="s">
        <v>468</v>
      </c>
      <c r="B180" s="3">
        <v>23</v>
      </c>
      <c r="C180" s="9" t="str" cm="1">
        <f t="array" ref="C180">_xlfn.IFS(B180&gt;65,"+65",B180&gt;54,"55-65",B180&gt;44,"45-54",B180&gt;35,"36-44",B180&gt;25,"26-35",B180&gt;=18,"18-25")</f>
        <v>18-25</v>
      </c>
      <c r="D180" s="4" t="s">
        <v>78</v>
      </c>
      <c r="E180" s="4" t="s">
        <v>51</v>
      </c>
      <c r="F180" s="4" t="s">
        <v>67</v>
      </c>
      <c r="G180" s="4" t="s">
        <v>53</v>
      </c>
      <c r="H180" s="4" t="s">
        <v>469</v>
      </c>
      <c r="I180" s="4" t="s">
        <v>234</v>
      </c>
      <c r="J180" s="5">
        <v>58.32</v>
      </c>
      <c r="K180" s="3">
        <v>7</v>
      </c>
      <c r="L180" s="4" t="str">
        <f>IF(AND(J180&gt;350,K180&gt;6), "True","False")</f>
        <v>False</v>
      </c>
      <c r="M180" s="4" t="s">
        <v>71</v>
      </c>
      <c r="N180" s="3">
        <v>1</v>
      </c>
      <c r="O180" s="4" t="str" cm="1">
        <f t="array" ref="O180">_xlfn.IFS(P180&lt;=2,"Poor",P180=3,"Average",P180&gt;=4,"Good")</f>
        <v>Good</v>
      </c>
      <c r="P180" s="3">
        <v>5</v>
      </c>
      <c r="Q180" s="2">
        <v>0</v>
      </c>
      <c r="R180" s="4" t="s">
        <v>59</v>
      </c>
      <c r="S180" s="4" t="s">
        <v>58</v>
      </c>
      <c r="T180" s="3">
        <v>1</v>
      </c>
      <c r="U180" s="4" t="str" cm="1">
        <f t="array" ref="U180">_xlfn.IFS(V180&lt;=4, "Dissatisfied",V180&lt;=7,"Neutral",V180&gt;=8,"Satisfied")</f>
        <v>Neutral</v>
      </c>
      <c r="V180" s="3">
        <v>6</v>
      </c>
      <c r="W180" s="4" t="s">
        <v>59</v>
      </c>
      <c r="X180" s="4" t="s">
        <v>60</v>
      </c>
      <c r="Y180" s="4" t="s">
        <v>86</v>
      </c>
      <c r="Z180" s="1">
        <v>45364</v>
      </c>
      <c r="AA180" s="4" t="str" cm="1">
        <f t="array" ref="AA180">_xlfn.IFS(OR(AB180="December", AB180="February", AB180="January"), "Winter", OR(AB180="March", AB180="April", AB180="May"), "Spring", OR(AB180="June", AB180="July", AB180="August"), "Summer", TRUE, "Autumn")</f>
        <v>Spring</v>
      </c>
      <c r="AB180" s="7" t="str">
        <f>TEXT(Z180, "mmmm")</f>
        <v>March</v>
      </c>
      <c r="AC180" s="1" t="str">
        <f>TEXT(Z180, "dddd")</f>
        <v>Wednesday</v>
      </c>
      <c r="AD180" s="4" t="s">
        <v>62</v>
      </c>
      <c r="AE180" s="4" t="s">
        <v>62</v>
      </c>
      <c r="AF180" s="4" t="s">
        <v>63</v>
      </c>
      <c r="AG180" s="4" t="s">
        <v>64</v>
      </c>
      <c r="AH180" s="3">
        <v>8</v>
      </c>
    </row>
    <row r="181" spans="1:34">
      <c r="A181" s="4" t="s">
        <v>470</v>
      </c>
      <c r="B181" s="3">
        <v>21</v>
      </c>
      <c r="C181" s="9" t="str" cm="1">
        <f t="array" ref="C181">_xlfn.IFS(B181&gt;65,"+65",B181&gt;54,"55-65",B181&gt;44,"45-54",B181&gt;35,"36-44",B181&gt;25,"26-35",B181&gt;=18,"18-25")</f>
        <v>18-25</v>
      </c>
      <c r="D181" s="4" t="s">
        <v>66</v>
      </c>
      <c r="E181" s="4" t="s">
        <v>51</v>
      </c>
      <c r="F181" s="4" t="s">
        <v>67</v>
      </c>
      <c r="G181" s="4" t="s">
        <v>68</v>
      </c>
      <c r="H181" s="4" t="s">
        <v>471</v>
      </c>
      <c r="I181" s="4" t="s">
        <v>223</v>
      </c>
      <c r="J181" s="5">
        <v>156.47999999999999</v>
      </c>
      <c r="K181" s="3">
        <v>7</v>
      </c>
      <c r="L181" s="4" t="str">
        <f>IF(AND(J181&gt;350,K181&gt;6), "True","False")</f>
        <v>False</v>
      </c>
      <c r="M181" s="4" t="s">
        <v>71</v>
      </c>
      <c r="N181" s="3">
        <v>5</v>
      </c>
      <c r="O181" s="4" t="str" cm="1">
        <f t="array" ref="O181">_xlfn.IFS(P181&lt;=2,"Poor",P181=3,"Average",P181&gt;=4,"Good")</f>
        <v>Poor</v>
      </c>
      <c r="P181" s="3">
        <v>1</v>
      </c>
      <c r="Q181" s="2">
        <v>0</v>
      </c>
      <c r="R181" s="4" t="s">
        <v>59</v>
      </c>
      <c r="S181" s="4" t="s">
        <v>58</v>
      </c>
      <c r="T181" s="3">
        <v>2</v>
      </c>
      <c r="U181" s="4" t="str" cm="1">
        <f t="array" ref="U181">_xlfn.IFS(V181&lt;=4, "Dissatisfied",V181&lt;=7,"Neutral",V181&gt;=8,"Satisfied")</f>
        <v>Neutral</v>
      </c>
      <c r="V181" s="3">
        <v>5</v>
      </c>
      <c r="W181" s="4" t="s">
        <v>85</v>
      </c>
      <c r="X181" s="4" t="s">
        <v>101</v>
      </c>
      <c r="Y181" s="4" t="s">
        <v>111</v>
      </c>
      <c r="Z181" s="1">
        <v>45364</v>
      </c>
      <c r="AA181" s="4" t="str" cm="1">
        <f t="array" ref="AA181">_xlfn.IFS(OR(AB181="December", AB181="February", AB181="January"), "Winter", OR(AB181="March", AB181="April", AB181="May"), "Spring", OR(AB181="June", AB181="July", AB181="August"), "Summer", TRUE, "Autumn")</f>
        <v>Spring</v>
      </c>
      <c r="AB181" s="7" t="str">
        <f>TEXT(Z181, "mmmm")</f>
        <v>March</v>
      </c>
      <c r="AC181" s="1" t="str">
        <f>TEXT(Z181, "dddd")</f>
        <v>Wednesday</v>
      </c>
      <c r="AD181" s="4" t="s">
        <v>76</v>
      </c>
      <c r="AE181" s="4" t="s">
        <v>62</v>
      </c>
      <c r="AF181" s="4" t="s">
        <v>102</v>
      </c>
      <c r="AG181" s="4" t="s">
        <v>88</v>
      </c>
      <c r="AH181" s="3">
        <v>4</v>
      </c>
    </row>
    <row r="182" spans="1:34">
      <c r="A182" s="4" t="s">
        <v>472</v>
      </c>
      <c r="B182" s="3">
        <v>44</v>
      </c>
      <c r="C182" s="9" t="str" cm="1">
        <f t="array" ref="C182">_xlfn.IFS(B182&gt;65,"+65",B182&gt;54,"55-65",B182&gt;44,"45-54",B182&gt;35,"36-44",B182&gt;25,"26-35",B182&gt;=18,"18-25")</f>
        <v>36-44</v>
      </c>
      <c r="D182" s="4" t="s">
        <v>78</v>
      </c>
      <c r="E182" s="4" t="s">
        <v>51</v>
      </c>
      <c r="F182" s="4" t="s">
        <v>79</v>
      </c>
      <c r="G182" s="4" t="s">
        <v>53</v>
      </c>
      <c r="H182" s="4" t="s">
        <v>473</v>
      </c>
      <c r="I182" s="4" t="s">
        <v>97</v>
      </c>
      <c r="J182" s="5">
        <v>373.05</v>
      </c>
      <c r="K182" s="3">
        <v>3</v>
      </c>
      <c r="L182" s="4" t="str">
        <f>IF(AND(J182&gt;350,K182&gt;6), "True","False")</f>
        <v>False</v>
      </c>
      <c r="M182" s="4" t="s">
        <v>71</v>
      </c>
      <c r="N182" s="3">
        <v>3</v>
      </c>
      <c r="O182" s="4" t="str" cm="1">
        <f t="array" ref="O182">_xlfn.IFS(P182&lt;=2,"Poor",P182=3,"Average",P182&gt;=4,"Good")</f>
        <v>Good</v>
      </c>
      <c r="P182" s="3">
        <v>4</v>
      </c>
      <c r="Q182" s="2">
        <v>0.3</v>
      </c>
      <c r="R182" s="4" t="s">
        <v>59</v>
      </c>
      <c r="S182" s="4" t="s">
        <v>58</v>
      </c>
      <c r="T182" s="3">
        <v>1</v>
      </c>
      <c r="U182" s="4" t="str" cm="1">
        <f t="array" ref="U182">_xlfn.IFS(V182&lt;=4, "Dissatisfied",V182&lt;=7,"Neutral",V182&gt;=8,"Satisfied")</f>
        <v>Satisfied</v>
      </c>
      <c r="V182" s="3">
        <v>10</v>
      </c>
      <c r="W182" s="4" t="s">
        <v>85</v>
      </c>
      <c r="X182" s="4" t="s">
        <v>74</v>
      </c>
      <c r="Y182" s="4" t="s">
        <v>61</v>
      </c>
      <c r="Z182" s="1">
        <v>45365</v>
      </c>
      <c r="AA182" s="4" t="str" cm="1">
        <f t="array" ref="AA182">_xlfn.IFS(OR(AB182="December", AB182="February", AB182="January"), "Winter", OR(AB182="March", AB182="April", AB182="May"), "Spring", OR(AB182="June", AB182="July", AB182="August"), "Summer", TRUE, "Autumn")</f>
        <v>Spring</v>
      </c>
      <c r="AB182" s="7" t="str">
        <f>TEXT(Z182, "mmmm")</f>
        <v>March</v>
      </c>
      <c r="AC182" s="1" t="str">
        <f>TEXT(Z182, "dddd")</f>
        <v>Thursday</v>
      </c>
      <c r="AD182" s="4" t="s">
        <v>76</v>
      </c>
      <c r="AE182" s="4" t="s">
        <v>62</v>
      </c>
      <c r="AF182" s="4" t="s">
        <v>87</v>
      </c>
      <c r="AG182" s="4" t="s">
        <v>64</v>
      </c>
      <c r="AH182" s="3">
        <v>7</v>
      </c>
    </row>
    <row r="183" spans="1:34">
      <c r="A183" s="4" t="s">
        <v>474</v>
      </c>
      <c r="B183" s="3">
        <v>40</v>
      </c>
      <c r="C183" s="9" t="str" cm="1">
        <f t="array" ref="C183">_xlfn.IFS(B183&gt;65,"+65",B183&gt;54,"55-65",B183&gt;44,"45-54",B183&gt;35,"36-44",B183&gt;25,"26-35",B183&gt;=18,"18-25")</f>
        <v>36-44</v>
      </c>
      <c r="D183" s="4" t="s">
        <v>78</v>
      </c>
      <c r="E183" s="4" t="s">
        <v>51</v>
      </c>
      <c r="F183" s="4" t="s">
        <v>67</v>
      </c>
      <c r="G183" s="4" t="s">
        <v>53</v>
      </c>
      <c r="H183" s="4" t="s">
        <v>475</v>
      </c>
      <c r="I183" s="4" t="s">
        <v>70</v>
      </c>
      <c r="J183" s="5">
        <v>426.87</v>
      </c>
      <c r="K183" s="3">
        <v>2</v>
      </c>
      <c r="L183" s="4" t="str">
        <f>IF(AND(J183&gt;350,K183&gt;6), "True","False")</f>
        <v>False</v>
      </c>
      <c r="M183" s="4" t="s">
        <v>71</v>
      </c>
      <c r="N183" s="3">
        <v>4</v>
      </c>
      <c r="O183" s="4" t="str" cm="1">
        <f t="array" ref="O183">_xlfn.IFS(P183&lt;=2,"Poor",P183=3,"Average",P183&gt;=4,"Good")</f>
        <v>Poor</v>
      </c>
      <c r="P183" s="3">
        <v>2</v>
      </c>
      <c r="Q183" s="2">
        <v>2</v>
      </c>
      <c r="R183" s="4" t="s">
        <v>57</v>
      </c>
      <c r="S183" s="4" t="s">
        <v>58</v>
      </c>
      <c r="T183" s="3">
        <v>0</v>
      </c>
      <c r="U183" s="4" t="str" cm="1">
        <f t="array" ref="U183">_xlfn.IFS(V183&lt;=4, "Dissatisfied",V183&lt;=7,"Neutral",V183&gt;=8,"Satisfied")</f>
        <v>Dissatisfied</v>
      </c>
      <c r="V183" s="3">
        <v>4</v>
      </c>
      <c r="W183" s="4" t="s">
        <v>85</v>
      </c>
      <c r="X183" s="4" t="s">
        <v>60</v>
      </c>
      <c r="Y183" s="4" t="s">
        <v>75</v>
      </c>
      <c r="Z183" s="1">
        <v>45365</v>
      </c>
      <c r="AA183" s="4" t="str" cm="1">
        <f t="array" ref="AA183">_xlfn.IFS(OR(AB183="December", AB183="February", AB183="January"), "Winter", OR(AB183="March", AB183="April", AB183="May"), "Spring", OR(AB183="June", AB183="July", AB183="August"), "Summer", TRUE, "Autumn")</f>
        <v>Spring</v>
      </c>
      <c r="AB183" s="7" t="str">
        <f>TEXT(Z183, "mmmm")</f>
        <v>March</v>
      </c>
      <c r="AC183" s="1" t="str">
        <f>TEXT(Z183, "dddd")</f>
        <v>Thursday</v>
      </c>
      <c r="AD183" s="4" t="s">
        <v>76</v>
      </c>
      <c r="AE183" s="4" t="s">
        <v>76</v>
      </c>
      <c r="AF183" s="4" t="s">
        <v>102</v>
      </c>
      <c r="AG183" s="4" t="s">
        <v>88</v>
      </c>
      <c r="AH183" s="3">
        <v>3</v>
      </c>
    </row>
    <row r="184" spans="1:34">
      <c r="A184" s="4" t="s">
        <v>476</v>
      </c>
      <c r="B184" s="3">
        <v>45</v>
      </c>
      <c r="C184" s="9" t="str" cm="1">
        <f t="array" ref="C184">_xlfn.IFS(B184&gt;65,"+65",B184&gt;54,"55-65",B184&gt;44,"45-54",B184&gt;35,"36-44",B184&gt;25,"26-35",B184&gt;=18,"18-25")</f>
        <v>45-54</v>
      </c>
      <c r="D184" s="4" t="s">
        <v>66</v>
      </c>
      <c r="E184" s="4" t="s">
        <v>51</v>
      </c>
      <c r="F184" s="4" t="s">
        <v>67</v>
      </c>
      <c r="G184" s="4" t="s">
        <v>80</v>
      </c>
      <c r="H184" s="4" t="s">
        <v>477</v>
      </c>
      <c r="I184" s="4" t="s">
        <v>70</v>
      </c>
      <c r="J184" s="5">
        <v>487.96</v>
      </c>
      <c r="K184" s="3">
        <v>2</v>
      </c>
      <c r="L184" s="4" t="str">
        <f>IF(AND(J184&gt;350,K184&gt;6), "True","False")</f>
        <v>False</v>
      </c>
      <c r="M184" s="4" t="s">
        <v>83</v>
      </c>
      <c r="N184" s="3">
        <v>5</v>
      </c>
      <c r="O184" s="4" t="str" cm="1">
        <f t="array" ref="O184">_xlfn.IFS(P184&lt;=2,"Poor",P184=3,"Average",P184&gt;=4,"Good")</f>
        <v>Average</v>
      </c>
      <c r="P184" s="3">
        <v>3</v>
      </c>
      <c r="Q184" s="2">
        <v>2</v>
      </c>
      <c r="R184" s="4" t="s">
        <v>59</v>
      </c>
      <c r="S184" s="4" t="s">
        <v>73</v>
      </c>
      <c r="T184" s="3">
        <v>0</v>
      </c>
      <c r="U184" s="4" t="str" cm="1">
        <f t="array" ref="U184">_xlfn.IFS(V184&lt;=4, "Dissatisfied",V184&lt;=7,"Neutral",V184&gt;=8,"Satisfied")</f>
        <v>Dissatisfied</v>
      </c>
      <c r="V184" s="3">
        <v>2</v>
      </c>
      <c r="W184" s="4" t="s">
        <v>57</v>
      </c>
      <c r="X184" s="4" t="s">
        <v>101</v>
      </c>
      <c r="Y184" s="4" t="s">
        <v>86</v>
      </c>
      <c r="Z184" s="1">
        <v>45366</v>
      </c>
      <c r="AA184" s="4" t="str" cm="1">
        <f t="array" ref="AA184">_xlfn.IFS(OR(AB184="December", AB184="February", AB184="January"), "Winter", OR(AB184="March", AB184="April", AB184="May"), "Spring", OR(AB184="June", AB184="July", AB184="August"), "Summer", TRUE, "Autumn")</f>
        <v>Spring</v>
      </c>
      <c r="AB184" s="7" t="str">
        <f>TEXT(Z184, "mmmm")</f>
        <v>March</v>
      </c>
      <c r="AC184" s="1" t="str">
        <f>TEXT(Z184, "dddd")</f>
        <v>Friday</v>
      </c>
      <c r="AD184" s="4" t="s">
        <v>62</v>
      </c>
      <c r="AE184" s="4" t="s">
        <v>62</v>
      </c>
      <c r="AF184" s="4" t="s">
        <v>63</v>
      </c>
      <c r="AG184" s="4" t="s">
        <v>88</v>
      </c>
      <c r="AH184" s="3">
        <v>12</v>
      </c>
    </row>
    <row r="185" spans="1:34">
      <c r="A185" s="4" t="s">
        <v>478</v>
      </c>
      <c r="B185" s="3">
        <v>24</v>
      </c>
      <c r="C185" s="9" t="str" cm="1">
        <f t="array" ref="C185">_xlfn.IFS(B185&gt;65,"+65",B185&gt;54,"55-65",B185&gt;44,"45-54",B185&gt;35,"36-44",B185&gt;25,"26-35",B185&gt;=18,"18-25")</f>
        <v>18-25</v>
      </c>
      <c r="D185" s="4" t="s">
        <v>78</v>
      </c>
      <c r="E185" s="4" t="s">
        <v>51</v>
      </c>
      <c r="F185" s="4" t="s">
        <v>52</v>
      </c>
      <c r="G185" s="4" t="s">
        <v>68</v>
      </c>
      <c r="H185" s="4" t="s">
        <v>479</v>
      </c>
      <c r="I185" s="4" t="s">
        <v>105</v>
      </c>
      <c r="J185" s="5">
        <v>426.22</v>
      </c>
      <c r="K185" s="3">
        <v>2</v>
      </c>
      <c r="L185" s="4" t="str">
        <f>IF(AND(J185&gt;350,K185&gt;6), "True","False")</f>
        <v>False</v>
      </c>
      <c r="M185" s="4" t="s">
        <v>83</v>
      </c>
      <c r="N185" s="3">
        <v>5</v>
      </c>
      <c r="O185" s="4" t="str" cm="1">
        <f t="array" ref="O185">_xlfn.IFS(P185&lt;=2,"Poor",P185=3,"Average",P185&gt;=4,"Good")</f>
        <v>Good</v>
      </c>
      <c r="P185" s="3">
        <v>5</v>
      </c>
      <c r="Q185" s="2">
        <v>0.3</v>
      </c>
      <c r="R185" s="4" t="s">
        <v>59</v>
      </c>
      <c r="S185" s="4" t="s">
        <v>58</v>
      </c>
      <c r="T185" s="3">
        <v>1</v>
      </c>
      <c r="U185" s="4" t="str" cm="1">
        <f t="array" ref="U185">_xlfn.IFS(V185&lt;=4, "Dissatisfied",V185&lt;=7,"Neutral",V185&gt;=8,"Satisfied")</f>
        <v>Neutral</v>
      </c>
      <c r="V185" s="3">
        <v>7</v>
      </c>
      <c r="W185" s="4" t="s">
        <v>59</v>
      </c>
      <c r="X185" s="4" t="s">
        <v>60</v>
      </c>
      <c r="Y185" s="4" t="s">
        <v>75</v>
      </c>
      <c r="Z185" s="1">
        <v>45366</v>
      </c>
      <c r="AA185" s="4" t="str" cm="1">
        <f t="array" ref="AA185">_xlfn.IFS(OR(AB185="December", AB185="February", AB185="January"), "Winter", OR(AB185="March", AB185="April", AB185="May"), "Spring", OR(AB185="June", AB185="July", AB185="August"), "Summer", TRUE, "Autumn")</f>
        <v>Spring</v>
      </c>
      <c r="AB185" s="7" t="str">
        <f>TEXT(Z185, "mmmm")</f>
        <v>March</v>
      </c>
      <c r="AC185" s="1" t="str">
        <f>TEXT(Z185, "dddd")</f>
        <v>Friday</v>
      </c>
      <c r="AD185" s="4" t="s">
        <v>62</v>
      </c>
      <c r="AE185" s="4" t="s">
        <v>62</v>
      </c>
      <c r="AF185" s="4" t="s">
        <v>92</v>
      </c>
      <c r="AG185" s="4" t="s">
        <v>88</v>
      </c>
      <c r="AH185" s="3">
        <v>3</v>
      </c>
    </row>
    <row r="186" spans="1:34">
      <c r="A186" s="4" t="s">
        <v>480</v>
      </c>
      <c r="B186" s="3">
        <v>21</v>
      </c>
      <c r="C186" s="9" t="str" cm="1">
        <f t="array" ref="C186">_xlfn.IFS(B186&gt;65,"+65",B186&gt;54,"55-65",B186&gt;44,"45-54",B186&gt;35,"36-44",B186&gt;25,"26-35",B186&gt;=18,"18-25")</f>
        <v>18-25</v>
      </c>
      <c r="D186" s="4" t="s">
        <v>78</v>
      </c>
      <c r="E186" s="4" t="s">
        <v>51</v>
      </c>
      <c r="F186" s="4" t="s">
        <v>95</v>
      </c>
      <c r="G186" s="4" t="s">
        <v>80</v>
      </c>
      <c r="H186" s="4" t="s">
        <v>481</v>
      </c>
      <c r="I186" s="4" t="s">
        <v>223</v>
      </c>
      <c r="J186" s="5">
        <v>486.4</v>
      </c>
      <c r="K186" s="3">
        <v>12</v>
      </c>
      <c r="L186" s="4" t="str">
        <f>IF(AND(J186&gt;350,K186&gt;6), "True","False")</f>
        <v>True</v>
      </c>
      <c r="M186" s="4" t="s">
        <v>56</v>
      </c>
      <c r="N186" s="3">
        <v>2</v>
      </c>
      <c r="O186" s="4" t="str" cm="1">
        <f t="array" ref="O186">_xlfn.IFS(P186&lt;=2,"Poor",P186=3,"Average",P186&gt;=4,"Good")</f>
        <v>Good</v>
      </c>
      <c r="P186" s="3">
        <v>5</v>
      </c>
      <c r="Q186" s="2">
        <v>1</v>
      </c>
      <c r="R186" s="4" t="s">
        <v>72</v>
      </c>
      <c r="S186" s="4" t="s">
        <v>84</v>
      </c>
      <c r="T186" s="3">
        <v>0</v>
      </c>
      <c r="U186" s="4" t="str" cm="1">
        <f t="array" ref="U186">_xlfn.IFS(V186&lt;=4, "Dissatisfied",V186&lt;=7,"Neutral",V186&gt;=8,"Satisfied")</f>
        <v>Satisfied</v>
      </c>
      <c r="V186" s="3">
        <v>9</v>
      </c>
      <c r="W186" s="4" t="s">
        <v>59</v>
      </c>
      <c r="X186" s="4" t="s">
        <v>101</v>
      </c>
      <c r="Y186" s="4" t="s">
        <v>75</v>
      </c>
      <c r="Z186" s="1">
        <v>45366</v>
      </c>
      <c r="AA186" s="4" t="str" cm="1">
        <f t="array" ref="AA186">_xlfn.IFS(OR(AB186="December", AB186="February", AB186="January"), "Winter", OR(AB186="March", AB186="April", AB186="May"), "Spring", OR(AB186="June", AB186="July", AB186="August"), "Summer", TRUE, "Autumn")</f>
        <v>Spring</v>
      </c>
      <c r="AB186" s="7" t="str">
        <f>TEXT(Z186, "mmmm")</f>
        <v>March</v>
      </c>
      <c r="AC186" s="1" t="str">
        <f>TEXT(Z186, "dddd")</f>
        <v>Friday</v>
      </c>
      <c r="AD186" s="4" t="s">
        <v>62</v>
      </c>
      <c r="AE186" s="4" t="s">
        <v>76</v>
      </c>
      <c r="AF186" s="4" t="s">
        <v>63</v>
      </c>
      <c r="AG186" s="4" t="s">
        <v>93</v>
      </c>
      <c r="AH186" s="3">
        <v>13</v>
      </c>
    </row>
    <row r="187" spans="1:34">
      <c r="A187" s="4" t="s">
        <v>482</v>
      </c>
      <c r="B187" s="3">
        <v>44</v>
      </c>
      <c r="C187" s="9" t="str" cm="1">
        <f t="array" ref="C187">_xlfn.IFS(B187&gt;65,"+65",B187&gt;54,"55-65",B187&gt;44,"45-54",B187&gt;35,"36-44",B187&gt;25,"26-35",B187&gt;=18,"18-25")</f>
        <v>36-44</v>
      </c>
      <c r="D187" s="4" t="s">
        <v>50</v>
      </c>
      <c r="E187" s="4" t="s">
        <v>51</v>
      </c>
      <c r="F187" s="4" t="s">
        <v>52</v>
      </c>
      <c r="G187" s="4" t="s">
        <v>53</v>
      </c>
      <c r="H187" s="4" t="s">
        <v>483</v>
      </c>
      <c r="I187" s="4" t="s">
        <v>234</v>
      </c>
      <c r="J187" s="5">
        <v>314.32</v>
      </c>
      <c r="K187" s="3">
        <v>6</v>
      </c>
      <c r="L187" s="4" t="str">
        <f>IF(AND(J187&gt;350,K187&gt;6), "True","False")</f>
        <v>False</v>
      </c>
      <c r="M187" s="4" t="s">
        <v>56</v>
      </c>
      <c r="N187" s="3">
        <v>1</v>
      </c>
      <c r="O187" s="4" t="str" cm="1">
        <f t="array" ref="O187">_xlfn.IFS(P187&lt;=2,"Poor",P187=3,"Average",P187&gt;=4,"Good")</f>
        <v>Good</v>
      </c>
      <c r="P187" s="3">
        <v>4</v>
      </c>
      <c r="Q187" s="2">
        <v>2</v>
      </c>
      <c r="R187" s="4" t="s">
        <v>72</v>
      </c>
      <c r="S187" s="4" t="s">
        <v>73</v>
      </c>
      <c r="T187" s="3">
        <v>2</v>
      </c>
      <c r="U187" s="4" t="str" cm="1">
        <f t="array" ref="U187">_xlfn.IFS(V187&lt;=4, "Dissatisfied",V187&lt;=7,"Neutral",V187&gt;=8,"Satisfied")</f>
        <v>Neutral</v>
      </c>
      <c r="V187" s="3">
        <v>5</v>
      </c>
      <c r="W187" s="4" t="s">
        <v>59</v>
      </c>
      <c r="X187" s="4" t="s">
        <v>60</v>
      </c>
      <c r="Y187" s="4" t="s">
        <v>119</v>
      </c>
      <c r="Z187" s="1">
        <v>45367</v>
      </c>
      <c r="AA187" s="4" t="str" cm="1">
        <f t="array" ref="AA187">_xlfn.IFS(OR(AB187="December", AB187="February", AB187="January"), "Winter", OR(AB187="March", AB187="April", AB187="May"), "Spring", OR(AB187="June", AB187="July", AB187="August"), "Summer", TRUE, "Autumn")</f>
        <v>Spring</v>
      </c>
      <c r="AB187" s="7" t="str">
        <f>TEXT(Z187, "mmmm")</f>
        <v>March</v>
      </c>
      <c r="AC187" s="1" t="str">
        <f>TEXT(Z187, "dddd")</f>
        <v>Saturday</v>
      </c>
      <c r="AD187" s="4" t="s">
        <v>62</v>
      </c>
      <c r="AE187" s="4" t="s">
        <v>76</v>
      </c>
      <c r="AF187" s="4" t="s">
        <v>92</v>
      </c>
      <c r="AG187" s="4" t="s">
        <v>64</v>
      </c>
      <c r="AH187" s="3">
        <v>7</v>
      </c>
    </row>
    <row r="188" spans="1:34">
      <c r="A188" s="4" t="s">
        <v>484</v>
      </c>
      <c r="B188" s="3">
        <v>46</v>
      </c>
      <c r="C188" s="9" t="str" cm="1">
        <f t="array" ref="C188">_xlfn.IFS(B188&gt;65,"+65",B188&gt;54,"55-65",B188&gt;44,"45-54",B188&gt;35,"36-44",B188&gt;25,"26-35",B188&gt;=18,"18-25")</f>
        <v>45-54</v>
      </c>
      <c r="D188" s="4" t="s">
        <v>78</v>
      </c>
      <c r="E188" s="4" t="s">
        <v>51</v>
      </c>
      <c r="F188" s="4" t="s">
        <v>67</v>
      </c>
      <c r="G188" s="4" t="s">
        <v>53</v>
      </c>
      <c r="H188" s="4" t="s">
        <v>485</v>
      </c>
      <c r="I188" s="4" t="s">
        <v>97</v>
      </c>
      <c r="J188" s="5">
        <v>367.7</v>
      </c>
      <c r="K188" s="3">
        <v>3</v>
      </c>
      <c r="L188" s="4" t="str">
        <f>IF(AND(J188&gt;350,K188&gt;6), "True","False")</f>
        <v>False</v>
      </c>
      <c r="M188" s="4" t="s">
        <v>83</v>
      </c>
      <c r="N188" s="3">
        <v>3</v>
      </c>
      <c r="O188" s="4" t="str" cm="1">
        <f t="array" ref="O188">_xlfn.IFS(P188&lt;=2,"Poor",P188=3,"Average",P188&gt;=4,"Good")</f>
        <v>Good</v>
      </c>
      <c r="P188" s="3">
        <v>5</v>
      </c>
      <c r="Q188" s="2">
        <v>2</v>
      </c>
      <c r="R188" s="4" t="s">
        <v>57</v>
      </c>
      <c r="S188" s="4" t="s">
        <v>84</v>
      </c>
      <c r="T188" s="3">
        <v>2</v>
      </c>
      <c r="U188" s="4" t="str" cm="1">
        <f t="array" ref="U188">_xlfn.IFS(V188&lt;=4, "Dissatisfied",V188&lt;=7,"Neutral",V188&gt;=8,"Satisfied")</f>
        <v>Dissatisfied</v>
      </c>
      <c r="V188" s="3">
        <v>3</v>
      </c>
      <c r="W188" s="4" t="s">
        <v>72</v>
      </c>
      <c r="X188" s="4" t="s">
        <v>101</v>
      </c>
      <c r="Y188" s="4" t="s">
        <v>119</v>
      </c>
      <c r="Z188" s="1">
        <v>45368</v>
      </c>
      <c r="AA188" s="4" t="str" cm="1">
        <f t="array" ref="AA188">_xlfn.IFS(OR(AB188="December", AB188="February", AB188="January"), "Winter", OR(AB188="March", AB188="April", AB188="May"), "Spring", OR(AB188="June", AB188="July", AB188="August"), "Summer", TRUE, "Autumn")</f>
        <v>Spring</v>
      </c>
      <c r="AB188" s="7" t="str">
        <f>TEXT(Z188, "mmmm")</f>
        <v>March</v>
      </c>
      <c r="AC188" s="1" t="str">
        <f>TEXT(Z188, "dddd")</f>
        <v>Sunday</v>
      </c>
      <c r="AD188" s="4" t="s">
        <v>62</v>
      </c>
      <c r="AE188" s="4" t="s">
        <v>62</v>
      </c>
      <c r="AF188" s="4" t="s">
        <v>63</v>
      </c>
      <c r="AG188" s="4" t="s">
        <v>88</v>
      </c>
      <c r="AH188" s="3">
        <v>3</v>
      </c>
    </row>
    <row r="189" spans="1:34">
      <c r="A189" s="4" t="s">
        <v>486</v>
      </c>
      <c r="B189" s="3">
        <v>39</v>
      </c>
      <c r="C189" s="9" t="str" cm="1">
        <f t="array" ref="C189">_xlfn.IFS(B189&gt;65,"+65",B189&gt;54,"55-65",B189&gt;44,"45-54",B189&gt;35,"36-44",B189&gt;25,"26-35",B189&gt;=18,"18-25")</f>
        <v>36-44</v>
      </c>
      <c r="D189" s="4" t="s">
        <v>66</v>
      </c>
      <c r="E189" s="4" t="s">
        <v>51</v>
      </c>
      <c r="F189" s="4" t="s">
        <v>52</v>
      </c>
      <c r="G189" s="4" t="s">
        <v>80</v>
      </c>
      <c r="H189" s="4" t="s">
        <v>487</v>
      </c>
      <c r="I189" s="4" t="s">
        <v>275</v>
      </c>
      <c r="J189" s="5">
        <v>218.06</v>
      </c>
      <c r="K189" s="3">
        <v>6</v>
      </c>
      <c r="L189" s="4" t="str">
        <f>IF(AND(J189&gt;350,K189&gt;6), "True","False")</f>
        <v>False</v>
      </c>
      <c r="M189" s="4" t="s">
        <v>56</v>
      </c>
      <c r="N189" s="3">
        <v>5</v>
      </c>
      <c r="O189" s="4" t="str" cm="1">
        <f t="array" ref="O189">_xlfn.IFS(P189&lt;=2,"Poor",P189=3,"Average",P189&gt;=4,"Good")</f>
        <v>Good</v>
      </c>
      <c r="P189" s="3">
        <v>4</v>
      </c>
      <c r="Q189" s="2">
        <v>1</v>
      </c>
      <c r="R189" s="4" t="s">
        <v>59</v>
      </c>
      <c r="S189" s="4" t="s">
        <v>84</v>
      </c>
      <c r="T189" s="3">
        <v>2</v>
      </c>
      <c r="U189" s="4" t="str" cm="1">
        <f t="array" ref="U189">_xlfn.IFS(V189&lt;=4, "Dissatisfied",V189&lt;=7,"Neutral",V189&gt;=8,"Satisfied")</f>
        <v>Satisfied</v>
      </c>
      <c r="V189" s="3">
        <v>9</v>
      </c>
      <c r="W189" s="4" t="s">
        <v>57</v>
      </c>
      <c r="X189" s="4" t="s">
        <v>101</v>
      </c>
      <c r="Y189" s="4" t="s">
        <v>119</v>
      </c>
      <c r="Z189" s="1">
        <v>45368</v>
      </c>
      <c r="AA189" s="4" t="str" cm="1">
        <f t="array" ref="AA189">_xlfn.IFS(OR(AB189="December", AB189="February", AB189="January"), "Winter", OR(AB189="March", AB189="April", AB189="May"), "Spring", OR(AB189="June", AB189="July", AB189="August"), "Summer", TRUE, "Autumn")</f>
        <v>Spring</v>
      </c>
      <c r="AB189" s="7" t="str">
        <f>TEXT(Z189, "mmmm")</f>
        <v>March</v>
      </c>
      <c r="AC189" s="1" t="str">
        <f>TEXT(Z189, "dddd")</f>
        <v>Sunday</v>
      </c>
      <c r="AD189" s="4" t="s">
        <v>76</v>
      </c>
      <c r="AE189" s="4" t="s">
        <v>62</v>
      </c>
      <c r="AF189" s="4" t="s">
        <v>92</v>
      </c>
      <c r="AG189" s="4" t="s">
        <v>88</v>
      </c>
      <c r="AH189" s="3">
        <v>13</v>
      </c>
    </row>
    <row r="190" spans="1:34">
      <c r="A190" s="4" t="s">
        <v>488</v>
      </c>
      <c r="B190" s="3">
        <v>36</v>
      </c>
      <c r="C190" s="9" t="str" cm="1">
        <f t="array" ref="C190">_xlfn.IFS(B190&gt;65,"+65",B190&gt;54,"55-65",B190&gt;44,"45-54",B190&gt;35,"36-44",B190&gt;25,"26-35",B190&gt;=18,"18-25")</f>
        <v>36-44</v>
      </c>
      <c r="D190" s="4" t="s">
        <v>66</v>
      </c>
      <c r="E190" s="4" t="s">
        <v>51</v>
      </c>
      <c r="F190" s="4" t="s">
        <v>95</v>
      </c>
      <c r="G190" s="4" t="s">
        <v>68</v>
      </c>
      <c r="H190" s="4" t="s">
        <v>489</v>
      </c>
      <c r="I190" s="4" t="s">
        <v>122</v>
      </c>
      <c r="J190" s="5">
        <v>96.52</v>
      </c>
      <c r="K190" s="3">
        <v>11</v>
      </c>
      <c r="L190" s="4" t="str">
        <f>IF(AND(J190&gt;350,K190&gt;6), "True","False")</f>
        <v>False</v>
      </c>
      <c r="M190" s="4" t="s">
        <v>71</v>
      </c>
      <c r="N190" s="3">
        <v>5</v>
      </c>
      <c r="O190" s="4" t="str" cm="1">
        <f t="array" ref="O190">_xlfn.IFS(P190&lt;=2,"Poor",P190=3,"Average",P190&gt;=4,"Good")</f>
        <v>Average</v>
      </c>
      <c r="P190" s="3">
        <v>3</v>
      </c>
      <c r="Q190" s="2">
        <v>2</v>
      </c>
      <c r="R190" s="4" t="s">
        <v>59</v>
      </c>
      <c r="S190" s="4" t="s">
        <v>58</v>
      </c>
      <c r="T190" s="3">
        <v>1</v>
      </c>
      <c r="U190" s="4" t="str" cm="1">
        <f t="array" ref="U190">_xlfn.IFS(V190&lt;=4, "Dissatisfied",V190&lt;=7,"Neutral",V190&gt;=8,"Satisfied")</f>
        <v>Dissatisfied</v>
      </c>
      <c r="V190" s="3">
        <v>3</v>
      </c>
      <c r="W190" s="4" t="s">
        <v>57</v>
      </c>
      <c r="X190" s="4" t="s">
        <v>74</v>
      </c>
      <c r="Y190" s="4" t="s">
        <v>61</v>
      </c>
      <c r="Z190" s="1">
        <v>45368</v>
      </c>
      <c r="AA190" s="4" t="str" cm="1">
        <f t="array" ref="AA190">_xlfn.IFS(OR(AB190="December", AB190="February", AB190="January"), "Winter", OR(AB190="March", AB190="April", AB190="May"), "Spring", OR(AB190="June", AB190="July", AB190="August"), "Summer", TRUE, "Autumn")</f>
        <v>Spring</v>
      </c>
      <c r="AB190" s="7" t="str">
        <f>TEXT(Z190, "mmmm")</f>
        <v>March</v>
      </c>
      <c r="AC190" s="1" t="str">
        <f>TEXT(Z190, "dddd")</f>
        <v>Sunday</v>
      </c>
      <c r="AD190" s="4" t="s">
        <v>76</v>
      </c>
      <c r="AE190" s="4" t="s">
        <v>76</v>
      </c>
      <c r="AF190" s="4" t="s">
        <v>87</v>
      </c>
      <c r="AG190" s="4" t="s">
        <v>64</v>
      </c>
      <c r="AH190" s="3">
        <v>11</v>
      </c>
    </row>
    <row r="191" spans="1:34">
      <c r="A191" s="4" t="s">
        <v>490</v>
      </c>
      <c r="B191" s="3">
        <v>28</v>
      </c>
      <c r="C191" s="9" t="str" cm="1">
        <f t="array" ref="C191">_xlfn.IFS(B191&gt;65,"+65",B191&gt;54,"55-65",B191&gt;44,"45-54",B191&gt;35,"36-44",B191&gt;25,"26-35",B191&gt;=18,"18-25")</f>
        <v>26-35</v>
      </c>
      <c r="D191" s="4" t="s">
        <v>78</v>
      </c>
      <c r="E191" s="4" t="s">
        <v>51</v>
      </c>
      <c r="F191" s="4" t="s">
        <v>95</v>
      </c>
      <c r="G191" s="4" t="s">
        <v>80</v>
      </c>
      <c r="H191" s="4" t="s">
        <v>491</v>
      </c>
      <c r="I191" s="4" t="s">
        <v>70</v>
      </c>
      <c r="J191" s="5">
        <v>160.47</v>
      </c>
      <c r="K191" s="3">
        <v>7</v>
      </c>
      <c r="L191" s="4" t="str">
        <f>IF(AND(J191&gt;350,K191&gt;6), "True","False")</f>
        <v>False</v>
      </c>
      <c r="M191" s="4" t="s">
        <v>83</v>
      </c>
      <c r="N191" s="3">
        <v>1</v>
      </c>
      <c r="O191" s="4" t="str" cm="1">
        <f t="array" ref="O191">_xlfn.IFS(P191&lt;=2,"Poor",P191=3,"Average",P191&gt;=4,"Good")</f>
        <v>Good</v>
      </c>
      <c r="P191" s="3">
        <v>5</v>
      </c>
      <c r="Q191" s="2">
        <v>0</v>
      </c>
      <c r="R191" s="4" t="s">
        <v>57</v>
      </c>
      <c r="S191" s="4" t="s">
        <v>58</v>
      </c>
      <c r="T191" s="3">
        <v>0</v>
      </c>
      <c r="U191" s="4" t="str" cm="1">
        <f t="array" ref="U191">_xlfn.IFS(V191&lt;=4, "Dissatisfied",V191&lt;=7,"Neutral",V191&gt;=8,"Satisfied")</f>
        <v>Dissatisfied</v>
      </c>
      <c r="V191" s="3">
        <v>3</v>
      </c>
      <c r="W191" s="4" t="s">
        <v>57</v>
      </c>
      <c r="X191" s="4" t="s">
        <v>60</v>
      </c>
      <c r="Y191" s="4" t="s">
        <v>75</v>
      </c>
      <c r="Z191" s="1">
        <v>45368</v>
      </c>
      <c r="AA191" s="4" t="str" cm="1">
        <f t="array" ref="AA191">_xlfn.IFS(OR(AB191="December", AB191="February", AB191="January"), "Winter", OR(AB191="March", AB191="April", AB191="May"), "Spring", OR(AB191="June", AB191="July", AB191="August"), "Summer", TRUE, "Autumn")</f>
        <v>Spring</v>
      </c>
      <c r="AB191" s="7" t="str">
        <f>TEXT(Z191, "mmmm")</f>
        <v>March</v>
      </c>
      <c r="AC191" s="1" t="str">
        <f>TEXT(Z191, "dddd")</f>
        <v>Sunday</v>
      </c>
      <c r="AD191" s="4" t="s">
        <v>62</v>
      </c>
      <c r="AE191" s="4" t="s">
        <v>76</v>
      </c>
      <c r="AF191" s="4" t="s">
        <v>102</v>
      </c>
      <c r="AG191" s="4" t="s">
        <v>88</v>
      </c>
      <c r="AH191" s="3">
        <v>6</v>
      </c>
    </row>
    <row r="192" spans="1:34">
      <c r="A192" s="4" t="s">
        <v>492</v>
      </c>
      <c r="B192" s="3">
        <v>18</v>
      </c>
      <c r="C192" s="9" t="str" cm="1">
        <f t="array" ref="C192">_xlfn.IFS(B192&gt;65,"+65",B192&gt;54,"55-65",B192&gt;44,"45-54",B192&gt;35,"36-44",B192&gt;25,"26-35",B192&gt;=18,"18-25")</f>
        <v>18-25</v>
      </c>
      <c r="D192" s="4" t="s">
        <v>66</v>
      </c>
      <c r="E192" s="4" t="s">
        <v>72</v>
      </c>
      <c r="F192" s="4" t="s">
        <v>67</v>
      </c>
      <c r="G192" s="4" t="s">
        <v>53</v>
      </c>
      <c r="H192" s="4" t="s">
        <v>493</v>
      </c>
      <c r="I192" s="4" t="s">
        <v>194</v>
      </c>
      <c r="J192" s="5">
        <v>50.71</v>
      </c>
      <c r="K192" s="3">
        <v>12</v>
      </c>
      <c r="L192" s="4" t="str">
        <f>IF(AND(J192&gt;350,K192&gt;6), "True","False")</f>
        <v>False</v>
      </c>
      <c r="M192" s="4" t="s">
        <v>56</v>
      </c>
      <c r="N192" s="3">
        <v>4</v>
      </c>
      <c r="O192" s="4" t="str" cm="1">
        <f t="array" ref="O192">_xlfn.IFS(P192&lt;=2,"Poor",P192=3,"Average",P192&gt;=4,"Good")</f>
        <v>Average</v>
      </c>
      <c r="P192" s="3">
        <v>3</v>
      </c>
      <c r="Q192" s="2">
        <v>0.3</v>
      </c>
      <c r="R192" s="4" t="s">
        <v>57</v>
      </c>
      <c r="S192" s="4" t="s">
        <v>58</v>
      </c>
      <c r="T192" s="3">
        <v>0</v>
      </c>
      <c r="U192" s="4" t="str" cm="1">
        <f t="array" ref="U192">_xlfn.IFS(V192&lt;=4, "Dissatisfied",V192&lt;=7,"Neutral",V192&gt;=8,"Satisfied")</f>
        <v>Satisfied</v>
      </c>
      <c r="V192" s="3">
        <v>9</v>
      </c>
      <c r="W192" s="4" t="s">
        <v>85</v>
      </c>
      <c r="X192" s="4" t="s">
        <v>60</v>
      </c>
      <c r="Y192" s="4" t="s">
        <v>75</v>
      </c>
      <c r="Z192" s="1">
        <v>45368</v>
      </c>
      <c r="AA192" s="4" t="str" cm="1">
        <f t="array" ref="AA192">_xlfn.IFS(OR(AB192="December", AB192="February", AB192="January"), "Winter", OR(AB192="March", AB192="April", AB192="May"), "Spring", OR(AB192="June", AB192="July", AB192="August"), "Summer", TRUE, "Autumn")</f>
        <v>Spring</v>
      </c>
      <c r="AB192" s="7" t="str">
        <f>TEXT(Z192, "mmmm")</f>
        <v>March</v>
      </c>
      <c r="AC192" s="1" t="str">
        <f>TEXT(Z192, "dddd")</f>
        <v>Sunday</v>
      </c>
      <c r="AD192" s="4" t="s">
        <v>62</v>
      </c>
      <c r="AE192" s="4" t="s">
        <v>62</v>
      </c>
      <c r="AF192" s="4" t="s">
        <v>102</v>
      </c>
      <c r="AG192" s="4" t="s">
        <v>88</v>
      </c>
      <c r="AH192" s="3">
        <v>8</v>
      </c>
    </row>
    <row r="193" spans="1:34">
      <c r="A193" s="4" t="s">
        <v>494</v>
      </c>
      <c r="B193" s="3">
        <v>28</v>
      </c>
      <c r="C193" s="9" t="str" cm="1">
        <f t="array" ref="C193">_xlfn.IFS(B193&gt;65,"+65",B193&gt;54,"55-65",B193&gt;44,"45-54",B193&gt;35,"36-44",B193&gt;25,"26-35",B193&gt;=18,"18-25")</f>
        <v>26-35</v>
      </c>
      <c r="D193" s="4" t="s">
        <v>66</v>
      </c>
      <c r="E193" s="4" t="s">
        <v>72</v>
      </c>
      <c r="F193" s="4" t="s">
        <v>95</v>
      </c>
      <c r="G193" s="4" t="s">
        <v>68</v>
      </c>
      <c r="H193" s="4" t="s">
        <v>495</v>
      </c>
      <c r="I193" s="4" t="s">
        <v>223</v>
      </c>
      <c r="J193" s="5">
        <v>450.47</v>
      </c>
      <c r="K193" s="3">
        <v>11</v>
      </c>
      <c r="L193" s="4" t="str">
        <f>IF(AND(J193&gt;350,K193&gt;6), "True","False")</f>
        <v>True</v>
      </c>
      <c r="M193" s="4" t="s">
        <v>56</v>
      </c>
      <c r="N193" s="3">
        <v>5</v>
      </c>
      <c r="O193" s="4" t="str" cm="1">
        <f t="array" ref="O193">_xlfn.IFS(P193&lt;=2,"Poor",P193=3,"Average",P193&gt;=4,"Good")</f>
        <v>Poor</v>
      </c>
      <c r="P193" s="3">
        <v>2</v>
      </c>
      <c r="Q193" s="2">
        <v>2</v>
      </c>
      <c r="R193" s="4" t="s">
        <v>57</v>
      </c>
      <c r="S193" s="4" t="s">
        <v>58</v>
      </c>
      <c r="T193" s="3">
        <v>2</v>
      </c>
      <c r="U193" s="4" t="str" cm="1">
        <f t="array" ref="U193">_xlfn.IFS(V193&lt;=4, "Dissatisfied",V193&lt;=7,"Neutral",V193&gt;=8,"Satisfied")</f>
        <v>Dissatisfied</v>
      </c>
      <c r="V193" s="3">
        <v>3</v>
      </c>
      <c r="W193" s="4" t="s">
        <v>57</v>
      </c>
      <c r="X193" s="4" t="s">
        <v>60</v>
      </c>
      <c r="Y193" s="4" t="s">
        <v>119</v>
      </c>
      <c r="Z193" s="1">
        <v>45369</v>
      </c>
      <c r="AA193" s="4" t="str" cm="1">
        <f t="array" ref="AA193">_xlfn.IFS(OR(AB193="December", AB193="February", AB193="January"), "Winter", OR(AB193="March", AB193="April", AB193="May"), "Spring", OR(AB193="June", AB193="July", AB193="August"), "Summer", TRUE, "Autumn")</f>
        <v>Spring</v>
      </c>
      <c r="AB193" s="7" t="str">
        <f>TEXT(Z193, "mmmm")</f>
        <v>March</v>
      </c>
      <c r="AC193" s="1" t="str">
        <f>TEXT(Z193, "dddd")</f>
        <v>Monday</v>
      </c>
      <c r="AD193" s="4" t="s">
        <v>62</v>
      </c>
      <c r="AE193" s="4" t="s">
        <v>62</v>
      </c>
      <c r="AF193" s="4" t="s">
        <v>102</v>
      </c>
      <c r="AG193" s="4" t="s">
        <v>93</v>
      </c>
      <c r="AH193" s="3">
        <v>10</v>
      </c>
    </row>
    <row r="194" spans="1:34">
      <c r="A194" s="4" t="s">
        <v>496</v>
      </c>
      <c r="B194" s="3">
        <v>23</v>
      </c>
      <c r="C194" s="9" t="str" cm="1">
        <f t="array" ref="C194">_xlfn.IFS(B194&gt;65,"+65",B194&gt;54,"55-65",B194&gt;44,"45-54",B194&gt;35,"36-44",B194&gt;25,"26-35",B194&gt;=18,"18-25")</f>
        <v>18-25</v>
      </c>
      <c r="D194" s="4" t="s">
        <v>78</v>
      </c>
      <c r="E194" s="4" t="s">
        <v>51</v>
      </c>
      <c r="F194" s="4" t="s">
        <v>79</v>
      </c>
      <c r="G194" s="4" t="s">
        <v>53</v>
      </c>
      <c r="H194" s="4" t="s">
        <v>497</v>
      </c>
      <c r="I194" s="4" t="s">
        <v>172</v>
      </c>
      <c r="J194" s="5">
        <v>421.95</v>
      </c>
      <c r="K194" s="3">
        <v>8</v>
      </c>
      <c r="L194" s="4" t="str">
        <f>IF(AND(J194&gt;350,K194&gt;6), "True","False")</f>
        <v>True</v>
      </c>
      <c r="M194" s="4" t="s">
        <v>83</v>
      </c>
      <c r="N194" s="3">
        <v>3</v>
      </c>
      <c r="O194" s="4" t="str" cm="1">
        <f t="array" ref="O194">_xlfn.IFS(P194&lt;=2,"Poor",P194=3,"Average",P194&gt;=4,"Good")</f>
        <v>Good</v>
      </c>
      <c r="P194" s="3">
        <v>5</v>
      </c>
      <c r="Q194" s="2">
        <v>0</v>
      </c>
      <c r="R194" s="4" t="s">
        <v>85</v>
      </c>
      <c r="S194" s="4" t="s">
        <v>58</v>
      </c>
      <c r="T194" s="3">
        <v>1</v>
      </c>
      <c r="U194" s="4" t="str" cm="1">
        <f t="array" ref="U194">_xlfn.IFS(V194&lt;=4, "Dissatisfied",V194&lt;=7,"Neutral",V194&gt;=8,"Satisfied")</f>
        <v>Dissatisfied</v>
      </c>
      <c r="V194" s="3">
        <v>1</v>
      </c>
      <c r="W194" s="4" t="s">
        <v>57</v>
      </c>
      <c r="X194" s="4" t="s">
        <v>60</v>
      </c>
      <c r="Y194" s="4" t="s">
        <v>111</v>
      </c>
      <c r="Z194" s="1">
        <v>45369</v>
      </c>
      <c r="AA194" s="4" t="str" cm="1">
        <f t="array" ref="AA194">_xlfn.IFS(OR(AB194="December", AB194="February", AB194="January"), "Winter", OR(AB194="March", AB194="April", AB194="May"), "Spring", OR(AB194="June", AB194="July", AB194="August"), "Summer", TRUE, "Autumn")</f>
        <v>Spring</v>
      </c>
      <c r="AB194" s="7" t="str">
        <f>TEXT(Z194, "mmmm")</f>
        <v>March</v>
      </c>
      <c r="AC194" s="1" t="str">
        <f>TEXT(Z194, "dddd")</f>
        <v>Monday</v>
      </c>
      <c r="AD194" s="4" t="s">
        <v>76</v>
      </c>
      <c r="AE194" s="4" t="s">
        <v>62</v>
      </c>
      <c r="AF194" s="4" t="s">
        <v>63</v>
      </c>
      <c r="AG194" s="4" t="s">
        <v>88</v>
      </c>
      <c r="AH194" s="3">
        <v>7</v>
      </c>
    </row>
    <row r="195" spans="1:34">
      <c r="A195" s="4" t="s">
        <v>498</v>
      </c>
      <c r="B195" s="3">
        <v>19</v>
      </c>
      <c r="C195" s="9" t="str" cm="1">
        <f t="array" ref="C195">_xlfn.IFS(B195&gt;65,"+65",B195&gt;54,"55-65",B195&gt;44,"45-54",B195&gt;35,"36-44",B195&gt;25,"26-35",B195&gt;=18,"18-25")</f>
        <v>18-25</v>
      </c>
      <c r="D195" s="4" t="s">
        <v>66</v>
      </c>
      <c r="E195" s="4" t="s">
        <v>72</v>
      </c>
      <c r="F195" s="4" t="s">
        <v>52</v>
      </c>
      <c r="G195" s="4" t="s">
        <v>68</v>
      </c>
      <c r="H195" s="4" t="s">
        <v>499</v>
      </c>
      <c r="I195" s="4" t="s">
        <v>234</v>
      </c>
      <c r="J195" s="5">
        <v>167.67</v>
      </c>
      <c r="K195" s="3">
        <v>11</v>
      </c>
      <c r="L195" s="4" t="str">
        <f>IF(AND(J195&gt;350,K195&gt;6), "True","False")</f>
        <v>False</v>
      </c>
      <c r="M195" s="4" t="s">
        <v>71</v>
      </c>
      <c r="N195" s="3">
        <v>5</v>
      </c>
      <c r="O195" s="4" t="str" cm="1">
        <f t="array" ref="O195">_xlfn.IFS(P195&lt;=2,"Poor",P195=3,"Average",P195&gt;=4,"Good")</f>
        <v>Poor</v>
      </c>
      <c r="P195" s="3">
        <v>2</v>
      </c>
      <c r="Q195" s="2">
        <v>1</v>
      </c>
      <c r="R195" s="4" t="s">
        <v>72</v>
      </c>
      <c r="S195" s="4" t="s">
        <v>73</v>
      </c>
      <c r="T195" s="3">
        <v>0</v>
      </c>
      <c r="U195" s="4" t="str" cm="1">
        <f t="array" ref="U195">_xlfn.IFS(V195&lt;=4, "Dissatisfied",V195&lt;=7,"Neutral",V195&gt;=8,"Satisfied")</f>
        <v>Neutral</v>
      </c>
      <c r="V195" s="3">
        <v>6</v>
      </c>
      <c r="W195" s="4" t="s">
        <v>85</v>
      </c>
      <c r="X195" s="4" t="s">
        <v>60</v>
      </c>
      <c r="Y195" s="4" t="s">
        <v>119</v>
      </c>
      <c r="Z195" s="1">
        <v>45369</v>
      </c>
      <c r="AA195" s="4" t="str" cm="1">
        <f t="array" ref="AA195">_xlfn.IFS(OR(AB195="December", AB195="February", AB195="January"), "Winter", OR(AB195="March", AB195="April", AB195="May"), "Spring", OR(AB195="June", AB195="July", AB195="August"), "Summer", TRUE, "Autumn")</f>
        <v>Spring</v>
      </c>
      <c r="AB195" s="7" t="str">
        <f>TEXT(Z195, "mmmm")</f>
        <v>March</v>
      </c>
      <c r="AC195" s="1" t="str">
        <f>TEXT(Z195, "dddd")</f>
        <v>Monday</v>
      </c>
      <c r="AD195" s="4" t="s">
        <v>76</v>
      </c>
      <c r="AE195" s="4" t="s">
        <v>62</v>
      </c>
      <c r="AF195" s="4" t="s">
        <v>63</v>
      </c>
      <c r="AG195" s="4" t="s">
        <v>93</v>
      </c>
      <c r="AH195" s="3">
        <v>5</v>
      </c>
    </row>
    <row r="196" spans="1:34">
      <c r="A196" s="4" t="s">
        <v>500</v>
      </c>
      <c r="B196" s="3">
        <v>49</v>
      </c>
      <c r="C196" s="9" t="str" cm="1">
        <f t="array" ref="C196">_xlfn.IFS(B196&gt;65,"+65",B196&gt;54,"55-65",B196&gt;44,"45-54",B196&gt;35,"36-44",B196&gt;25,"26-35",B196&gt;=18,"18-25")</f>
        <v>45-54</v>
      </c>
      <c r="D196" s="4" t="s">
        <v>66</v>
      </c>
      <c r="E196" s="4" t="s">
        <v>51</v>
      </c>
      <c r="F196" s="4" t="s">
        <v>95</v>
      </c>
      <c r="G196" s="4" t="s">
        <v>53</v>
      </c>
      <c r="H196" s="4" t="s">
        <v>501</v>
      </c>
      <c r="I196" s="4" t="s">
        <v>70</v>
      </c>
      <c r="J196" s="5">
        <v>425.18</v>
      </c>
      <c r="K196" s="3">
        <v>4</v>
      </c>
      <c r="L196" s="4" t="str">
        <f>IF(AND(J196&gt;350,K196&gt;6), "True","False")</f>
        <v>False</v>
      </c>
      <c r="M196" s="4" t="s">
        <v>83</v>
      </c>
      <c r="N196" s="3">
        <v>2</v>
      </c>
      <c r="O196" s="4" t="str" cm="1">
        <f t="array" ref="O196">_xlfn.IFS(P196&lt;=2,"Poor",P196=3,"Average",P196&gt;=4,"Good")</f>
        <v>Poor</v>
      </c>
      <c r="P196" s="3">
        <v>1</v>
      </c>
      <c r="Q196" s="2">
        <v>0</v>
      </c>
      <c r="R196" s="4" t="s">
        <v>85</v>
      </c>
      <c r="S196" s="4" t="s">
        <v>73</v>
      </c>
      <c r="T196" s="3">
        <v>1</v>
      </c>
      <c r="U196" s="4" t="str" cm="1">
        <f t="array" ref="U196">_xlfn.IFS(V196&lt;=4, "Dissatisfied",V196&lt;=7,"Neutral",V196&gt;=8,"Satisfied")</f>
        <v>Satisfied</v>
      </c>
      <c r="V196" s="3">
        <v>8</v>
      </c>
      <c r="W196" s="4" t="s">
        <v>85</v>
      </c>
      <c r="X196" s="4" t="s">
        <v>74</v>
      </c>
      <c r="Y196" s="4" t="s">
        <v>86</v>
      </c>
      <c r="Z196" s="1">
        <v>45370</v>
      </c>
      <c r="AA196" s="4" t="str" cm="1">
        <f t="array" ref="AA196">_xlfn.IFS(OR(AB196="December", AB196="February", AB196="January"), "Winter", OR(AB196="March", AB196="April", AB196="May"), "Spring", OR(AB196="June", AB196="July", AB196="August"), "Summer", TRUE, "Autumn")</f>
        <v>Spring</v>
      </c>
      <c r="AB196" s="7" t="str">
        <f>TEXT(Z196, "mmmm")</f>
        <v>March</v>
      </c>
      <c r="AC196" s="1" t="str">
        <f>TEXT(Z196, "dddd")</f>
        <v>Tuesday</v>
      </c>
      <c r="AD196" s="4" t="s">
        <v>62</v>
      </c>
      <c r="AE196" s="4" t="s">
        <v>76</v>
      </c>
      <c r="AF196" s="4" t="s">
        <v>102</v>
      </c>
      <c r="AG196" s="4" t="s">
        <v>64</v>
      </c>
      <c r="AH196" s="3">
        <v>10</v>
      </c>
    </row>
    <row r="197" spans="1:34">
      <c r="A197" s="4" t="s">
        <v>502</v>
      </c>
      <c r="B197" s="3">
        <v>45</v>
      </c>
      <c r="C197" s="9" t="str" cm="1">
        <f t="array" ref="C197">_xlfn.IFS(B197&gt;65,"+65",B197&gt;54,"55-65",B197&gt;44,"45-54",B197&gt;35,"36-44",B197&gt;25,"26-35",B197&gt;=18,"18-25")</f>
        <v>45-54</v>
      </c>
      <c r="D197" s="4" t="s">
        <v>66</v>
      </c>
      <c r="E197" s="4" t="s">
        <v>72</v>
      </c>
      <c r="F197" s="4" t="s">
        <v>52</v>
      </c>
      <c r="G197" s="4" t="s">
        <v>68</v>
      </c>
      <c r="H197" s="4" t="s">
        <v>503</v>
      </c>
      <c r="I197" s="4" t="s">
        <v>97</v>
      </c>
      <c r="J197" s="5">
        <v>462.24</v>
      </c>
      <c r="K197" s="3">
        <v>2</v>
      </c>
      <c r="L197" s="4" t="str">
        <f>IF(AND(J197&gt;350,K197&gt;6), "True","False")</f>
        <v>False</v>
      </c>
      <c r="M197" s="4" t="s">
        <v>83</v>
      </c>
      <c r="N197" s="3">
        <v>4</v>
      </c>
      <c r="O197" s="4" t="str" cm="1">
        <f t="array" ref="O197">_xlfn.IFS(P197&lt;=2,"Poor",P197=3,"Average",P197&gt;=4,"Good")</f>
        <v>Good</v>
      </c>
      <c r="P197" s="3">
        <v>5</v>
      </c>
      <c r="Q197" s="2">
        <v>0</v>
      </c>
      <c r="R197" s="4" t="s">
        <v>59</v>
      </c>
      <c r="S197" s="4" t="s">
        <v>58</v>
      </c>
      <c r="T197" s="3">
        <v>2</v>
      </c>
      <c r="U197" s="4" t="str" cm="1">
        <f t="array" ref="U197">_xlfn.IFS(V197&lt;=4, "Dissatisfied",V197&lt;=7,"Neutral",V197&gt;=8,"Satisfied")</f>
        <v>Dissatisfied</v>
      </c>
      <c r="V197" s="3">
        <v>1</v>
      </c>
      <c r="W197" s="4" t="s">
        <v>57</v>
      </c>
      <c r="X197" s="4" t="s">
        <v>60</v>
      </c>
      <c r="Y197" s="4" t="s">
        <v>111</v>
      </c>
      <c r="Z197" s="1">
        <v>45370</v>
      </c>
      <c r="AA197" s="4" t="str" cm="1">
        <f t="array" ref="AA197">_xlfn.IFS(OR(AB197="December", AB197="February", AB197="January"), "Winter", OR(AB197="March", AB197="April", AB197="May"), "Spring", OR(AB197="June", AB197="July", AB197="August"), "Summer", TRUE, "Autumn")</f>
        <v>Spring</v>
      </c>
      <c r="AB197" s="7" t="str">
        <f>TEXT(Z197, "mmmm")</f>
        <v>March</v>
      </c>
      <c r="AC197" s="1" t="str">
        <f>TEXT(Z197, "dddd")</f>
        <v>Tuesday</v>
      </c>
      <c r="AD197" s="4" t="s">
        <v>62</v>
      </c>
      <c r="AE197" s="4" t="s">
        <v>62</v>
      </c>
      <c r="AF197" s="4" t="s">
        <v>102</v>
      </c>
      <c r="AG197" s="4" t="s">
        <v>93</v>
      </c>
      <c r="AH197" s="3">
        <v>13</v>
      </c>
    </row>
    <row r="198" spans="1:34">
      <c r="A198" s="4" t="s">
        <v>504</v>
      </c>
      <c r="B198" s="3">
        <v>45</v>
      </c>
      <c r="C198" s="9" t="str" cm="1">
        <f t="array" ref="C198">_xlfn.IFS(B198&gt;65,"+65",B198&gt;54,"55-65",B198&gt;44,"45-54",B198&gt;35,"36-44",B198&gt;25,"26-35",B198&gt;=18,"18-25")</f>
        <v>45-54</v>
      </c>
      <c r="D198" s="4" t="s">
        <v>66</v>
      </c>
      <c r="E198" s="4" t="s">
        <v>51</v>
      </c>
      <c r="F198" s="4" t="s">
        <v>67</v>
      </c>
      <c r="G198" s="4" t="s">
        <v>68</v>
      </c>
      <c r="H198" s="4" t="s">
        <v>505</v>
      </c>
      <c r="I198" s="4" t="s">
        <v>105</v>
      </c>
      <c r="J198" s="5">
        <v>487.95</v>
      </c>
      <c r="K198" s="3">
        <v>8</v>
      </c>
      <c r="L198" s="4" t="str">
        <f>IF(AND(J198&gt;350,K198&gt;6), "True","False")</f>
        <v>True</v>
      </c>
      <c r="M198" s="4" t="s">
        <v>83</v>
      </c>
      <c r="N198" s="3">
        <v>3</v>
      </c>
      <c r="O198" s="4" t="str" cm="1">
        <f t="array" ref="O198">_xlfn.IFS(P198&lt;=2,"Poor",P198=3,"Average",P198&gt;=4,"Good")</f>
        <v>Average</v>
      </c>
      <c r="P198" s="3">
        <v>3</v>
      </c>
      <c r="Q198" s="2">
        <v>0</v>
      </c>
      <c r="R198" s="4" t="s">
        <v>72</v>
      </c>
      <c r="S198" s="4" t="s">
        <v>58</v>
      </c>
      <c r="T198" s="3">
        <v>2</v>
      </c>
      <c r="U198" s="4" t="str" cm="1">
        <f t="array" ref="U198">_xlfn.IFS(V198&lt;=4, "Dissatisfied",V198&lt;=7,"Neutral",V198&gt;=8,"Satisfied")</f>
        <v>Dissatisfied</v>
      </c>
      <c r="V198" s="3">
        <v>3</v>
      </c>
      <c r="W198" s="4" t="s">
        <v>57</v>
      </c>
      <c r="X198" s="4" t="s">
        <v>74</v>
      </c>
      <c r="Y198" s="4" t="s">
        <v>75</v>
      </c>
      <c r="Z198" s="1">
        <v>45370</v>
      </c>
      <c r="AA198" s="4" t="str" cm="1">
        <f t="array" ref="AA198">_xlfn.IFS(OR(AB198="December", AB198="February", AB198="January"), "Winter", OR(AB198="March", AB198="April", AB198="May"), "Spring", OR(AB198="June", AB198="July", AB198="August"), "Summer", TRUE, "Autumn")</f>
        <v>Spring</v>
      </c>
      <c r="AB198" s="7" t="str">
        <f>TEXT(Z198, "mmmm")</f>
        <v>March</v>
      </c>
      <c r="AC198" s="1" t="str">
        <f>TEXT(Z198, "dddd")</f>
        <v>Tuesday</v>
      </c>
      <c r="AD198" s="4" t="s">
        <v>76</v>
      </c>
      <c r="AE198" s="4" t="s">
        <v>76</v>
      </c>
      <c r="AF198" s="4" t="s">
        <v>87</v>
      </c>
      <c r="AG198" s="4" t="s">
        <v>88</v>
      </c>
      <c r="AH198" s="3">
        <v>7</v>
      </c>
    </row>
    <row r="199" spans="1:34">
      <c r="A199" s="4" t="s">
        <v>506</v>
      </c>
      <c r="B199" s="3">
        <v>41</v>
      </c>
      <c r="C199" s="9" t="str" cm="1">
        <f t="array" ref="C199">_xlfn.IFS(B199&gt;65,"+65",B199&gt;54,"55-65",B199&gt;44,"45-54",B199&gt;35,"36-44",B199&gt;25,"26-35",B199&gt;=18,"18-25")</f>
        <v>36-44</v>
      </c>
      <c r="D199" s="4" t="s">
        <v>66</v>
      </c>
      <c r="E199" s="4" t="s">
        <v>72</v>
      </c>
      <c r="F199" s="4" t="s">
        <v>79</v>
      </c>
      <c r="G199" s="4" t="s">
        <v>80</v>
      </c>
      <c r="H199" s="4" t="s">
        <v>507</v>
      </c>
      <c r="I199" s="4" t="s">
        <v>110</v>
      </c>
      <c r="J199" s="5">
        <v>98.97</v>
      </c>
      <c r="K199" s="3">
        <v>12</v>
      </c>
      <c r="L199" s="4" t="str">
        <f>IF(AND(J199&gt;350,K199&gt;6), "True","False")</f>
        <v>False</v>
      </c>
      <c r="M199" s="4" t="s">
        <v>71</v>
      </c>
      <c r="N199" s="3">
        <v>2</v>
      </c>
      <c r="O199" s="4" t="str" cm="1">
        <f t="array" ref="O199">_xlfn.IFS(P199&lt;=2,"Poor",P199=3,"Average",P199&gt;=4,"Good")</f>
        <v>Good</v>
      </c>
      <c r="P199" s="3">
        <v>5</v>
      </c>
      <c r="Q199" s="2">
        <v>2</v>
      </c>
      <c r="R199" s="4" t="s">
        <v>57</v>
      </c>
      <c r="S199" s="4" t="s">
        <v>73</v>
      </c>
      <c r="T199" s="3">
        <v>1</v>
      </c>
      <c r="U199" s="4" t="str" cm="1">
        <f t="array" ref="U199">_xlfn.IFS(V199&lt;=4, "Dissatisfied",V199&lt;=7,"Neutral",V199&gt;=8,"Satisfied")</f>
        <v>Neutral</v>
      </c>
      <c r="V199" s="3">
        <v>7</v>
      </c>
      <c r="W199" s="4" t="s">
        <v>72</v>
      </c>
      <c r="X199" s="4" t="s">
        <v>74</v>
      </c>
      <c r="Y199" s="4" t="s">
        <v>111</v>
      </c>
      <c r="Z199" s="1">
        <v>45370</v>
      </c>
      <c r="AA199" s="4" t="str" cm="1">
        <f t="array" ref="AA199">_xlfn.IFS(OR(AB199="December", AB199="February", AB199="January"), "Winter", OR(AB199="March", AB199="April", AB199="May"), "Spring", OR(AB199="June", AB199="July", AB199="August"), "Summer", TRUE, "Autumn")</f>
        <v>Spring</v>
      </c>
      <c r="AB199" s="7" t="str">
        <f>TEXT(Z199, "mmmm")</f>
        <v>March</v>
      </c>
      <c r="AC199" s="1" t="str">
        <f>TEXT(Z199, "dddd")</f>
        <v>Tuesday</v>
      </c>
      <c r="AD199" s="4" t="s">
        <v>62</v>
      </c>
      <c r="AE199" s="4" t="s">
        <v>62</v>
      </c>
      <c r="AF199" s="4" t="s">
        <v>92</v>
      </c>
      <c r="AG199" s="4" t="s">
        <v>88</v>
      </c>
      <c r="AH199" s="3">
        <v>11</v>
      </c>
    </row>
    <row r="200" spans="1:34">
      <c r="A200" s="4" t="s">
        <v>508</v>
      </c>
      <c r="B200" s="3">
        <v>36</v>
      </c>
      <c r="C200" s="9" t="str" cm="1">
        <f t="array" ref="C200">_xlfn.IFS(B200&gt;65,"+65",B200&gt;54,"55-65",B200&gt;44,"45-54",B200&gt;35,"36-44",B200&gt;25,"26-35",B200&gt;=18,"18-25")</f>
        <v>36-44</v>
      </c>
      <c r="D200" s="4" t="s">
        <v>78</v>
      </c>
      <c r="E200" s="4" t="s">
        <v>72</v>
      </c>
      <c r="F200" s="4" t="s">
        <v>52</v>
      </c>
      <c r="G200" s="4" t="s">
        <v>53</v>
      </c>
      <c r="H200" s="4" t="s">
        <v>509</v>
      </c>
      <c r="I200" s="4" t="s">
        <v>110</v>
      </c>
      <c r="J200" s="5">
        <v>351.71</v>
      </c>
      <c r="K200" s="3">
        <v>7</v>
      </c>
      <c r="L200" s="4" t="str">
        <f>IF(AND(J200&gt;350,K200&gt;6), "True","False")</f>
        <v>True</v>
      </c>
      <c r="M200" s="4" t="s">
        <v>71</v>
      </c>
      <c r="N200" s="3">
        <v>2</v>
      </c>
      <c r="O200" s="4" t="str" cm="1">
        <f t="array" ref="O200">_xlfn.IFS(P200&lt;=2,"Poor",P200=3,"Average",P200&gt;=4,"Good")</f>
        <v>Poor</v>
      </c>
      <c r="P200" s="3">
        <v>2</v>
      </c>
      <c r="Q200" s="2">
        <v>0</v>
      </c>
      <c r="R200" s="4" t="s">
        <v>85</v>
      </c>
      <c r="S200" s="4" t="s">
        <v>73</v>
      </c>
      <c r="T200" s="3">
        <v>1</v>
      </c>
      <c r="U200" s="4" t="str" cm="1">
        <f t="array" ref="U200">_xlfn.IFS(V200&lt;=4, "Dissatisfied",V200&lt;=7,"Neutral",V200&gt;=8,"Satisfied")</f>
        <v>Neutral</v>
      </c>
      <c r="V200" s="3">
        <v>6</v>
      </c>
      <c r="W200" s="4" t="s">
        <v>85</v>
      </c>
      <c r="X200" s="4" t="s">
        <v>74</v>
      </c>
      <c r="Y200" s="4" t="s">
        <v>111</v>
      </c>
      <c r="Z200" s="1">
        <v>45370</v>
      </c>
      <c r="AA200" s="4" t="str" cm="1">
        <f t="array" ref="AA200">_xlfn.IFS(OR(AB200="December", AB200="February", AB200="January"), "Winter", OR(AB200="March", AB200="April", AB200="May"), "Spring", OR(AB200="June", AB200="July", AB200="August"), "Summer", TRUE, "Autumn")</f>
        <v>Spring</v>
      </c>
      <c r="AB200" s="7" t="str">
        <f>TEXT(Z200, "mmmm")</f>
        <v>March</v>
      </c>
      <c r="AC200" s="1" t="str">
        <f>TEXT(Z200, "dddd")</f>
        <v>Tuesday</v>
      </c>
      <c r="AD200" s="4" t="s">
        <v>62</v>
      </c>
      <c r="AE200" s="4" t="s">
        <v>76</v>
      </c>
      <c r="AF200" s="4" t="s">
        <v>63</v>
      </c>
      <c r="AG200" s="4" t="s">
        <v>64</v>
      </c>
      <c r="AH200" s="3">
        <v>8</v>
      </c>
    </row>
    <row r="201" spans="1:34">
      <c r="A201" s="4" t="s">
        <v>510</v>
      </c>
      <c r="B201" s="3">
        <v>50</v>
      </c>
      <c r="C201" s="9" t="str" cm="1">
        <f t="array" ref="C201">_xlfn.IFS(B201&gt;65,"+65",B201&gt;54,"55-65",B201&gt;44,"45-54",B201&gt;35,"36-44",B201&gt;25,"26-35",B201&gt;=18,"18-25")</f>
        <v>45-54</v>
      </c>
      <c r="D201" s="4" t="s">
        <v>78</v>
      </c>
      <c r="E201" s="4" t="s">
        <v>72</v>
      </c>
      <c r="F201" s="4" t="s">
        <v>67</v>
      </c>
      <c r="G201" s="4" t="s">
        <v>80</v>
      </c>
      <c r="H201" s="4" t="s">
        <v>511</v>
      </c>
      <c r="I201" s="4" t="s">
        <v>164</v>
      </c>
      <c r="J201" s="5">
        <v>288.33999999999997</v>
      </c>
      <c r="K201" s="3">
        <v>12</v>
      </c>
      <c r="L201" s="4" t="str">
        <f>IF(AND(J201&gt;350,K201&gt;6), "True","False")</f>
        <v>False</v>
      </c>
      <c r="M201" s="4" t="s">
        <v>83</v>
      </c>
      <c r="N201" s="3">
        <v>5</v>
      </c>
      <c r="O201" s="4" t="str" cm="1">
        <f t="array" ref="O201">_xlfn.IFS(P201&lt;=2,"Poor",P201=3,"Average",P201&gt;=4,"Good")</f>
        <v>Poor</v>
      </c>
      <c r="P201" s="3">
        <v>2</v>
      </c>
      <c r="Q201" s="2">
        <v>2</v>
      </c>
      <c r="R201" s="4" t="s">
        <v>57</v>
      </c>
      <c r="S201" s="4" t="s">
        <v>73</v>
      </c>
      <c r="T201" s="3">
        <v>0</v>
      </c>
      <c r="U201" s="4" t="str" cm="1">
        <f t="array" ref="U201">_xlfn.IFS(V201&lt;=4, "Dissatisfied",V201&lt;=7,"Neutral",V201&gt;=8,"Satisfied")</f>
        <v>Satisfied</v>
      </c>
      <c r="V201" s="3">
        <v>8</v>
      </c>
      <c r="W201" s="4" t="s">
        <v>59</v>
      </c>
      <c r="X201" s="4" t="s">
        <v>74</v>
      </c>
      <c r="Y201" s="4" t="s">
        <v>61</v>
      </c>
      <c r="Z201" s="1">
        <v>45371</v>
      </c>
      <c r="AA201" s="4" t="str" cm="1">
        <f t="array" ref="AA201">_xlfn.IFS(OR(AB201="December", AB201="February", AB201="January"), "Winter", OR(AB201="March", AB201="April", AB201="May"), "Spring", OR(AB201="June", AB201="July", AB201="August"), "Summer", TRUE, "Autumn")</f>
        <v>Spring</v>
      </c>
      <c r="AB201" s="7" t="str">
        <f>TEXT(Z201, "mmmm")</f>
        <v>March</v>
      </c>
      <c r="AC201" s="1" t="str">
        <f>TEXT(Z201, "dddd")</f>
        <v>Wednesday</v>
      </c>
      <c r="AD201" s="4" t="s">
        <v>76</v>
      </c>
      <c r="AE201" s="4" t="s">
        <v>76</v>
      </c>
      <c r="AF201" s="4" t="s">
        <v>63</v>
      </c>
      <c r="AG201" s="4" t="s">
        <v>93</v>
      </c>
      <c r="AH201" s="3">
        <v>6</v>
      </c>
    </row>
    <row r="202" spans="1:34">
      <c r="A202" s="4" t="s">
        <v>512</v>
      </c>
      <c r="B202" s="3">
        <v>46</v>
      </c>
      <c r="C202" s="9" t="str" cm="1">
        <f t="array" ref="C202">_xlfn.IFS(B202&gt;65,"+65",B202&gt;54,"55-65",B202&gt;44,"45-54",B202&gt;35,"36-44",B202&gt;25,"26-35",B202&gt;=18,"18-25")</f>
        <v>45-54</v>
      </c>
      <c r="D202" s="4" t="s">
        <v>66</v>
      </c>
      <c r="E202" s="4" t="s">
        <v>51</v>
      </c>
      <c r="F202" s="4" t="s">
        <v>79</v>
      </c>
      <c r="G202" s="4" t="s">
        <v>53</v>
      </c>
      <c r="H202" s="4" t="s">
        <v>513</v>
      </c>
      <c r="I202" s="4" t="s">
        <v>91</v>
      </c>
      <c r="J202" s="5">
        <v>267.85000000000002</v>
      </c>
      <c r="K202" s="3">
        <v>5</v>
      </c>
      <c r="L202" s="4" t="str">
        <f>IF(AND(J202&gt;350,K202&gt;6), "True","False")</f>
        <v>False</v>
      </c>
      <c r="M202" s="4" t="s">
        <v>56</v>
      </c>
      <c r="N202" s="3">
        <v>5</v>
      </c>
      <c r="O202" s="4" t="str" cm="1">
        <f t="array" ref="O202">_xlfn.IFS(P202&lt;=2,"Poor",P202=3,"Average",P202&gt;=4,"Good")</f>
        <v>Poor</v>
      </c>
      <c r="P202" s="3">
        <v>2</v>
      </c>
      <c r="Q202" s="2">
        <v>2</v>
      </c>
      <c r="R202" s="4" t="s">
        <v>85</v>
      </c>
      <c r="S202" s="4" t="s">
        <v>84</v>
      </c>
      <c r="T202" s="3">
        <v>1</v>
      </c>
      <c r="U202" s="4" t="str" cm="1">
        <f t="array" ref="U202">_xlfn.IFS(V202&lt;=4, "Dissatisfied",V202&lt;=7,"Neutral",V202&gt;=8,"Satisfied")</f>
        <v>Neutral</v>
      </c>
      <c r="V202" s="3">
        <v>5</v>
      </c>
      <c r="W202" s="4" t="s">
        <v>72</v>
      </c>
      <c r="X202" s="4" t="s">
        <v>60</v>
      </c>
      <c r="Y202" s="4" t="s">
        <v>119</v>
      </c>
      <c r="Z202" s="1">
        <v>45371</v>
      </c>
      <c r="AA202" s="4" t="str" cm="1">
        <f t="array" ref="AA202">_xlfn.IFS(OR(AB202="December", AB202="February", AB202="January"), "Winter", OR(AB202="March", AB202="April", AB202="May"), "Spring", OR(AB202="June", AB202="July", AB202="August"), "Summer", TRUE, "Autumn")</f>
        <v>Spring</v>
      </c>
      <c r="AB202" s="7" t="str">
        <f>TEXT(Z202, "mmmm")</f>
        <v>March</v>
      </c>
      <c r="AC202" s="1" t="str">
        <f>TEXT(Z202, "dddd")</f>
        <v>Wednesday</v>
      </c>
      <c r="AD202" s="4" t="s">
        <v>76</v>
      </c>
      <c r="AE202" s="4" t="s">
        <v>62</v>
      </c>
      <c r="AF202" s="4" t="s">
        <v>63</v>
      </c>
      <c r="AG202" s="4" t="s">
        <v>64</v>
      </c>
      <c r="AH202" s="3">
        <v>7</v>
      </c>
    </row>
    <row r="203" spans="1:34">
      <c r="A203" s="4" t="s">
        <v>514</v>
      </c>
      <c r="B203" s="3">
        <v>38</v>
      </c>
      <c r="C203" s="9" t="str" cm="1">
        <f t="array" ref="C203">_xlfn.IFS(B203&gt;65,"+65",B203&gt;54,"55-65",B203&gt;44,"45-54",B203&gt;35,"36-44",B203&gt;25,"26-35",B203&gt;=18,"18-25")</f>
        <v>36-44</v>
      </c>
      <c r="D203" s="4" t="s">
        <v>78</v>
      </c>
      <c r="E203" s="4" t="s">
        <v>72</v>
      </c>
      <c r="F203" s="4" t="s">
        <v>52</v>
      </c>
      <c r="G203" s="4" t="s">
        <v>80</v>
      </c>
      <c r="H203" s="4" t="s">
        <v>515</v>
      </c>
      <c r="I203" s="4" t="s">
        <v>82</v>
      </c>
      <c r="J203" s="5">
        <v>83.21</v>
      </c>
      <c r="K203" s="3">
        <v>10</v>
      </c>
      <c r="L203" s="4" t="str">
        <f>IF(AND(J203&gt;350,K203&gt;6), "True","False")</f>
        <v>False</v>
      </c>
      <c r="M203" s="4" t="s">
        <v>56</v>
      </c>
      <c r="N203" s="3">
        <v>4</v>
      </c>
      <c r="O203" s="4" t="str" cm="1">
        <f t="array" ref="O203">_xlfn.IFS(P203&lt;=2,"Poor",P203=3,"Average",P203&gt;=4,"Good")</f>
        <v>Average</v>
      </c>
      <c r="P203" s="3">
        <v>3</v>
      </c>
      <c r="Q203" s="2">
        <v>2</v>
      </c>
      <c r="R203" s="4" t="s">
        <v>59</v>
      </c>
      <c r="S203" s="4" t="s">
        <v>84</v>
      </c>
      <c r="T203" s="3">
        <v>0</v>
      </c>
      <c r="U203" s="4" t="str" cm="1">
        <f t="array" ref="U203">_xlfn.IFS(V203&lt;=4, "Dissatisfied",V203&lt;=7,"Neutral",V203&gt;=8,"Satisfied")</f>
        <v>Dissatisfied</v>
      </c>
      <c r="V203" s="3">
        <v>4</v>
      </c>
      <c r="W203" s="4" t="s">
        <v>72</v>
      </c>
      <c r="X203" s="4" t="s">
        <v>101</v>
      </c>
      <c r="Y203" s="4" t="s">
        <v>111</v>
      </c>
      <c r="Z203" s="1">
        <v>45371</v>
      </c>
      <c r="AA203" s="4" t="str" cm="1">
        <f t="array" ref="AA203">_xlfn.IFS(OR(AB203="December", AB203="February", AB203="January"), "Winter", OR(AB203="March", AB203="April", AB203="May"), "Spring", OR(AB203="June", AB203="July", AB203="August"), "Summer", TRUE, "Autumn")</f>
        <v>Spring</v>
      </c>
      <c r="AB203" s="7" t="str">
        <f>TEXT(Z203, "mmmm")</f>
        <v>March</v>
      </c>
      <c r="AC203" s="1" t="str">
        <f>TEXT(Z203, "dddd")</f>
        <v>Wednesday</v>
      </c>
      <c r="AD203" s="4" t="s">
        <v>76</v>
      </c>
      <c r="AE203" s="4" t="s">
        <v>76</v>
      </c>
      <c r="AF203" s="4" t="s">
        <v>92</v>
      </c>
      <c r="AG203" s="4" t="s">
        <v>64</v>
      </c>
      <c r="AH203" s="3">
        <v>7</v>
      </c>
    </row>
    <row r="204" spans="1:34">
      <c r="A204" s="4" t="s">
        <v>516</v>
      </c>
      <c r="B204" s="3">
        <v>24</v>
      </c>
      <c r="C204" s="9" t="str" cm="1">
        <f t="array" ref="C204">_xlfn.IFS(B204&gt;65,"+65",B204&gt;54,"55-65",B204&gt;44,"45-54",B204&gt;35,"36-44",B204&gt;25,"26-35",B204&gt;=18,"18-25")</f>
        <v>18-25</v>
      </c>
      <c r="D204" s="4" t="s">
        <v>78</v>
      </c>
      <c r="E204" s="4" t="s">
        <v>51</v>
      </c>
      <c r="F204" s="4" t="s">
        <v>67</v>
      </c>
      <c r="G204" s="4" t="s">
        <v>68</v>
      </c>
      <c r="H204" s="4" t="s">
        <v>517</v>
      </c>
      <c r="I204" s="4" t="s">
        <v>97</v>
      </c>
      <c r="J204" s="5">
        <v>139.1</v>
      </c>
      <c r="K204" s="3">
        <v>7</v>
      </c>
      <c r="L204" s="4" t="str">
        <f>IF(AND(J204&gt;350,K204&gt;6), "True","False")</f>
        <v>False</v>
      </c>
      <c r="M204" s="4" t="s">
        <v>56</v>
      </c>
      <c r="N204" s="3">
        <v>2</v>
      </c>
      <c r="O204" s="4" t="str" cm="1">
        <f t="array" ref="O204">_xlfn.IFS(P204&lt;=2,"Poor",P204=3,"Average",P204&gt;=4,"Good")</f>
        <v>Good</v>
      </c>
      <c r="P204" s="3">
        <v>5</v>
      </c>
      <c r="Q204" s="2">
        <v>0</v>
      </c>
      <c r="R204" s="4" t="s">
        <v>59</v>
      </c>
      <c r="S204" s="4" t="s">
        <v>84</v>
      </c>
      <c r="T204" s="3">
        <v>2</v>
      </c>
      <c r="U204" s="4" t="str" cm="1">
        <f t="array" ref="U204">_xlfn.IFS(V204&lt;=4, "Dissatisfied",V204&lt;=7,"Neutral",V204&gt;=8,"Satisfied")</f>
        <v>Dissatisfied</v>
      </c>
      <c r="V204" s="3">
        <v>3</v>
      </c>
      <c r="W204" s="4" t="s">
        <v>85</v>
      </c>
      <c r="X204" s="4" t="s">
        <v>101</v>
      </c>
      <c r="Y204" s="4" t="s">
        <v>86</v>
      </c>
      <c r="Z204" s="1">
        <v>45371</v>
      </c>
      <c r="AA204" s="4" t="str" cm="1">
        <f t="array" ref="AA204">_xlfn.IFS(OR(AB204="December", AB204="February", AB204="January"), "Winter", OR(AB204="March", AB204="April", AB204="May"), "Spring", OR(AB204="June", AB204="July", AB204="August"), "Summer", TRUE, "Autumn")</f>
        <v>Spring</v>
      </c>
      <c r="AB204" s="7" t="str">
        <f>TEXT(Z204, "mmmm")</f>
        <v>March</v>
      </c>
      <c r="AC204" s="1" t="str">
        <f>TEXT(Z204, "dddd")</f>
        <v>Wednesday</v>
      </c>
      <c r="AD204" s="4" t="s">
        <v>76</v>
      </c>
      <c r="AE204" s="4" t="s">
        <v>76</v>
      </c>
      <c r="AF204" s="4" t="s">
        <v>92</v>
      </c>
      <c r="AG204" s="4" t="s">
        <v>88</v>
      </c>
      <c r="AH204" s="3">
        <v>8</v>
      </c>
    </row>
    <row r="205" spans="1:34">
      <c r="A205" s="4" t="s">
        <v>518</v>
      </c>
      <c r="B205" s="3">
        <v>49</v>
      </c>
      <c r="C205" s="9" t="str" cm="1">
        <f t="array" ref="C205">_xlfn.IFS(B205&gt;65,"+65",B205&gt;54,"55-65",B205&gt;44,"45-54",B205&gt;35,"36-44",B205&gt;25,"26-35",B205&gt;=18,"18-25")</f>
        <v>45-54</v>
      </c>
      <c r="D205" s="4" t="s">
        <v>78</v>
      </c>
      <c r="E205" s="4" t="s">
        <v>72</v>
      </c>
      <c r="F205" s="4" t="s">
        <v>95</v>
      </c>
      <c r="G205" s="4" t="s">
        <v>80</v>
      </c>
      <c r="H205" s="4" t="s">
        <v>519</v>
      </c>
      <c r="I205" s="4" t="s">
        <v>100</v>
      </c>
      <c r="J205" s="5">
        <v>179.19</v>
      </c>
      <c r="K205" s="3">
        <v>10</v>
      </c>
      <c r="L205" s="4" t="str">
        <f>IF(AND(J205&gt;350,K205&gt;6), "True","False")</f>
        <v>False</v>
      </c>
      <c r="M205" s="4" t="s">
        <v>71</v>
      </c>
      <c r="N205" s="3">
        <v>3</v>
      </c>
      <c r="O205" s="4" t="str" cm="1">
        <f t="array" ref="O205">_xlfn.IFS(P205&lt;=2,"Poor",P205=3,"Average",P205&gt;=4,"Good")</f>
        <v>Poor</v>
      </c>
      <c r="P205" s="3">
        <v>1</v>
      </c>
      <c r="Q205" s="2">
        <v>1</v>
      </c>
      <c r="R205" s="4" t="s">
        <v>59</v>
      </c>
      <c r="S205" s="4" t="s">
        <v>58</v>
      </c>
      <c r="T205" s="3">
        <v>2</v>
      </c>
      <c r="U205" s="4" t="str" cm="1">
        <f t="array" ref="U205">_xlfn.IFS(V205&lt;=4, "Dissatisfied",V205&lt;=7,"Neutral",V205&gt;=8,"Satisfied")</f>
        <v>Neutral</v>
      </c>
      <c r="V205" s="3">
        <v>7</v>
      </c>
      <c r="W205" s="4" t="s">
        <v>57</v>
      </c>
      <c r="X205" s="4" t="s">
        <v>74</v>
      </c>
      <c r="Y205" s="4" t="s">
        <v>86</v>
      </c>
      <c r="Z205" s="1">
        <v>45372</v>
      </c>
      <c r="AA205" s="4" t="str" cm="1">
        <f t="array" ref="AA205">_xlfn.IFS(OR(AB205="December", AB205="February", AB205="January"), "Winter", OR(AB205="March", AB205="April", AB205="May"), "Spring", OR(AB205="June", AB205="July", AB205="August"), "Summer", TRUE, "Autumn")</f>
        <v>Spring</v>
      </c>
      <c r="AB205" s="7" t="str">
        <f>TEXT(Z205, "mmmm")</f>
        <v>March</v>
      </c>
      <c r="AC205" s="1" t="str">
        <f>TEXT(Z205, "dddd")</f>
        <v>Thursday</v>
      </c>
      <c r="AD205" s="4" t="s">
        <v>76</v>
      </c>
      <c r="AE205" s="4" t="s">
        <v>76</v>
      </c>
      <c r="AF205" s="4" t="s">
        <v>92</v>
      </c>
      <c r="AG205" s="4" t="s">
        <v>93</v>
      </c>
      <c r="AH205" s="3">
        <v>12</v>
      </c>
    </row>
    <row r="206" spans="1:34">
      <c r="A206" s="4" t="s">
        <v>520</v>
      </c>
      <c r="B206" s="3">
        <v>36</v>
      </c>
      <c r="C206" s="9" t="str" cm="1">
        <f t="array" ref="C206">_xlfn.IFS(B206&gt;65,"+65",B206&gt;54,"55-65",B206&gt;44,"45-54",B206&gt;35,"36-44",B206&gt;25,"26-35",B206&gt;=18,"18-25")</f>
        <v>36-44</v>
      </c>
      <c r="D206" s="4" t="s">
        <v>78</v>
      </c>
      <c r="E206" s="4" t="s">
        <v>51</v>
      </c>
      <c r="F206" s="4" t="s">
        <v>79</v>
      </c>
      <c r="G206" s="4" t="s">
        <v>53</v>
      </c>
      <c r="H206" s="4" t="s">
        <v>521</v>
      </c>
      <c r="I206" s="4" t="s">
        <v>55</v>
      </c>
      <c r="J206" s="5">
        <v>368.91</v>
      </c>
      <c r="K206" s="3">
        <v>10</v>
      </c>
      <c r="L206" s="4" t="str">
        <f>IF(AND(J206&gt;350,K206&gt;6), "True","False")</f>
        <v>True</v>
      </c>
      <c r="M206" s="4" t="s">
        <v>71</v>
      </c>
      <c r="N206" s="3">
        <v>1</v>
      </c>
      <c r="O206" s="4" t="str" cm="1">
        <f t="array" ref="O206">_xlfn.IFS(P206&lt;=2,"Poor",P206=3,"Average",P206&gt;=4,"Good")</f>
        <v>Average</v>
      </c>
      <c r="P206" s="3">
        <v>3</v>
      </c>
      <c r="Q206" s="2">
        <v>2</v>
      </c>
      <c r="R206" s="4" t="s">
        <v>72</v>
      </c>
      <c r="S206" s="4" t="s">
        <v>58</v>
      </c>
      <c r="T206" s="3">
        <v>2</v>
      </c>
      <c r="U206" s="4" t="str" cm="1">
        <f t="array" ref="U206">_xlfn.IFS(V206&lt;=4, "Dissatisfied",V206&lt;=7,"Neutral",V206&gt;=8,"Satisfied")</f>
        <v>Satisfied</v>
      </c>
      <c r="V206" s="3">
        <v>10</v>
      </c>
      <c r="W206" s="4" t="s">
        <v>72</v>
      </c>
      <c r="X206" s="4" t="s">
        <v>101</v>
      </c>
      <c r="Y206" s="4" t="s">
        <v>75</v>
      </c>
      <c r="Z206" s="1">
        <v>45372</v>
      </c>
      <c r="AA206" s="4" t="str" cm="1">
        <f t="array" ref="AA206">_xlfn.IFS(OR(AB206="December", AB206="February", AB206="January"), "Winter", OR(AB206="March", AB206="April", AB206="May"), "Spring", OR(AB206="June", AB206="July", AB206="August"), "Summer", TRUE, "Autumn")</f>
        <v>Spring</v>
      </c>
      <c r="AB206" s="7" t="str">
        <f>TEXT(Z206, "mmmm")</f>
        <v>March</v>
      </c>
      <c r="AC206" s="1" t="str">
        <f>TEXT(Z206, "dddd")</f>
        <v>Thursday</v>
      </c>
      <c r="AD206" s="4" t="s">
        <v>76</v>
      </c>
      <c r="AE206" s="4" t="s">
        <v>76</v>
      </c>
      <c r="AF206" s="4" t="s">
        <v>63</v>
      </c>
      <c r="AG206" s="4" t="s">
        <v>88</v>
      </c>
      <c r="AH206" s="3">
        <v>7</v>
      </c>
    </row>
    <row r="207" spans="1:34">
      <c r="A207" s="4" t="s">
        <v>522</v>
      </c>
      <c r="B207" s="3">
        <v>33</v>
      </c>
      <c r="C207" s="9" t="str" cm="1">
        <f t="array" ref="C207">_xlfn.IFS(B207&gt;65,"+65",B207&gt;54,"55-65",B207&gt;44,"45-54",B207&gt;35,"36-44",B207&gt;25,"26-35",B207&gt;=18,"18-25")</f>
        <v>26-35</v>
      </c>
      <c r="D207" s="4" t="s">
        <v>66</v>
      </c>
      <c r="E207" s="4" t="s">
        <v>51</v>
      </c>
      <c r="F207" s="4" t="s">
        <v>67</v>
      </c>
      <c r="G207" s="4" t="s">
        <v>53</v>
      </c>
      <c r="H207" s="4" t="s">
        <v>523</v>
      </c>
      <c r="I207" s="4" t="s">
        <v>164</v>
      </c>
      <c r="J207" s="5">
        <v>449.18</v>
      </c>
      <c r="K207" s="3">
        <v>3</v>
      </c>
      <c r="L207" s="4" t="str">
        <f>IF(AND(J207&gt;350,K207&gt;6), "True","False")</f>
        <v>False</v>
      </c>
      <c r="M207" s="4" t="s">
        <v>83</v>
      </c>
      <c r="N207" s="3">
        <v>5</v>
      </c>
      <c r="O207" s="4" t="str" cm="1">
        <f t="array" ref="O207">_xlfn.IFS(P207&lt;=2,"Poor",P207=3,"Average",P207&gt;=4,"Good")</f>
        <v>Average</v>
      </c>
      <c r="P207" s="3">
        <v>3</v>
      </c>
      <c r="Q207" s="2">
        <v>2</v>
      </c>
      <c r="R207" s="4" t="s">
        <v>85</v>
      </c>
      <c r="S207" s="4" t="s">
        <v>84</v>
      </c>
      <c r="T207" s="3">
        <v>0</v>
      </c>
      <c r="U207" s="4" t="str" cm="1">
        <f t="array" ref="U207">_xlfn.IFS(V207&lt;=4, "Dissatisfied",V207&lt;=7,"Neutral",V207&gt;=8,"Satisfied")</f>
        <v>Satisfied</v>
      </c>
      <c r="V207" s="3">
        <v>8</v>
      </c>
      <c r="W207" s="4" t="s">
        <v>72</v>
      </c>
      <c r="X207" s="4" t="s">
        <v>74</v>
      </c>
      <c r="Y207" s="4" t="s">
        <v>119</v>
      </c>
      <c r="Z207" s="1">
        <v>45372</v>
      </c>
      <c r="AA207" s="4" t="str" cm="1">
        <f t="array" ref="AA207">_xlfn.IFS(OR(AB207="December", AB207="February", AB207="January"), "Winter", OR(AB207="March", AB207="April", AB207="May"), "Spring", OR(AB207="June", AB207="July", AB207="August"), "Summer", TRUE, "Autumn")</f>
        <v>Spring</v>
      </c>
      <c r="AB207" s="7" t="str">
        <f>TEXT(Z207, "mmmm")</f>
        <v>March</v>
      </c>
      <c r="AC207" s="1" t="str">
        <f>TEXT(Z207, "dddd")</f>
        <v>Thursday</v>
      </c>
      <c r="AD207" s="4" t="s">
        <v>62</v>
      </c>
      <c r="AE207" s="4" t="s">
        <v>62</v>
      </c>
      <c r="AF207" s="4" t="s">
        <v>102</v>
      </c>
      <c r="AG207" s="4" t="s">
        <v>64</v>
      </c>
      <c r="AH207" s="3">
        <v>10</v>
      </c>
    </row>
    <row r="208" spans="1:34">
      <c r="A208" s="4" t="s">
        <v>524</v>
      </c>
      <c r="B208" s="3">
        <v>26</v>
      </c>
      <c r="C208" s="9" t="str" cm="1">
        <f t="array" ref="C208">_xlfn.IFS(B208&gt;65,"+65",B208&gt;54,"55-65",B208&gt;44,"45-54",B208&gt;35,"36-44",B208&gt;25,"26-35",B208&gt;=18,"18-25")</f>
        <v>26-35</v>
      </c>
      <c r="D208" s="4" t="s">
        <v>66</v>
      </c>
      <c r="E208" s="4" t="s">
        <v>72</v>
      </c>
      <c r="F208" s="4" t="s">
        <v>52</v>
      </c>
      <c r="G208" s="4" t="s">
        <v>68</v>
      </c>
      <c r="H208" s="4" t="s">
        <v>525</v>
      </c>
      <c r="I208" s="4" t="s">
        <v>146</v>
      </c>
      <c r="J208" s="5">
        <v>351.54</v>
      </c>
      <c r="K208" s="3">
        <v>11</v>
      </c>
      <c r="L208" s="4" t="str">
        <f>IF(AND(J208&gt;350,K208&gt;6), "True","False")</f>
        <v>True</v>
      </c>
      <c r="M208" s="4" t="s">
        <v>83</v>
      </c>
      <c r="N208" s="3">
        <v>1</v>
      </c>
      <c r="O208" s="4" t="str" cm="1">
        <f t="array" ref="O208">_xlfn.IFS(P208&lt;=2,"Poor",P208=3,"Average",P208&gt;=4,"Good")</f>
        <v>Average</v>
      </c>
      <c r="P208" s="3">
        <v>3</v>
      </c>
      <c r="Q208" s="2">
        <v>2</v>
      </c>
      <c r="R208" s="4" t="s">
        <v>57</v>
      </c>
      <c r="S208" s="4" t="s">
        <v>84</v>
      </c>
      <c r="T208" s="3">
        <v>0</v>
      </c>
      <c r="U208" s="4" t="str" cm="1">
        <f t="array" ref="U208">_xlfn.IFS(V208&lt;=4, "Dissatisfied",V208&lt;=7,"Neutral",V208&gt;=8,"Satisfied")</f>
        <v>Satisfied</v>
      </c>
      <c r="V208" s="3">
        <v>8</v>
      </c>
      <c r="W208" s="4" t="s">
        <v>57</v>
      </c>
      <c r="X208" s="4" t="s">
        <v>74</v>
      </c>
      <c r="Y208" s="4" t="s">
        <v>86</v>
      </c>
      <c r="Z208" s="1">
        <v>45372</v>
      </c>
      <c r="AA208" s="4" t="str" cm="1">
        <f t="array" ref="AA208">_xlfn.IFS(OR(AB208="December", AB208="February", AB208="January"), "Winter", OR(AB208="March", AB208="April", AB208="May"), "Spring", OR(AB208="June", AB208="July", AB208="August"), "Summer", TRUE, "Autumn")</f>
        <v>Spring</v>
      </c>
      <c r="AB208" s="7" t="str">
        <f>TEXT(Z208, "mmmm")</f>
        <v>March</v>
      </c>
      <c r="AC208" s="1" t="str">
        <f>TEXT(Z208, "dddd")</f>
        <v>Thursday</v>
      </c>
      <c r="AD208" s="4" t="s">
        <v>62</v>
      </c>
      <c r="AE208" s="4" t="s">
        <v>76</v>
      </c>
      <c r="AF208" s="4" t="s">
        <v>87</v>
      </c>
      <c r="AG208" s="4" t="s">
        <v>93</v>
      </c>
      <c r="AH208" s="3">
        <v>12</v>
      </c>
    </row>
    <row r="209" spans="1:34">
      <c r="A209" s="4" t="s">
        <v>526</v>
      </c>
      <c r="B209" s="3">
        <v>37</v>
      </c>
      <c r="C209" s="9" t="str" cm="1">
        <f t="array" ref="C209">_xlfn.IFS(B209&gt;65,"+65",B209&gt;54,"55-65",B209&gt;44,"45-54",B209&gt;35,"36-44",B209&gt;25,"26-35",B209&gt;=18,"18-25")</f>
        <v>36-44</v>
      </c>
      <c r="D209" s="4" t="s">
        <v>66</v>
      </c>
      <c r="E209" s="4" t="s">
        <v>51</v>
      </c>
      <c r="F209" s="4" t="s">
        <v>79</v>
      </c>
      <c r="G209" s="4" t="s">
        <v>68</v>
      </c>
      <c r="H209" s="4" t="s">
        <v>527</v>
      </c>
      <c r="I209" s="4" t="s">
        <v>70</v>
      </c>
      <c r="J209" s="5">
        <v>324.11</v>
      </c>
      <c r="K209" s="3">
        <v>11</v>
      </c>
      <c r="L209" s="4" t="str">
        <f>IF(AND(J209&gt;350,K209&gt;6), "True","False")</f>
        <v>False</v>
      </c>
      <c r="M209" s="4" t="s">
        <v>56</v>
      </c>
      <c r="N209" s="3">
        <v>3</v>
      </c>
      <c r="O209" s="4" t="str" cm="1">
        <f t="array" ref="O209">_xlfn.IFS(P209&lt;=2,"Poor",P209=3,"Average",P209&gt;=4,"Good")</f>
        <v>Average</v>
      </c>
      <c r="P209" s="3">
        <v>3</v>
      </c>
      <c r="Q209" s="2">
        <v>2</v>
      </c>
      <c r="R209" s="4" t="s">
        <v>57</v>
      </c>
      <c r="S209" s="4" t="s">
        <v>73</v>
      </c>
      <c r="T209" s="3">
        <v>0</v>
      </c>
      <c r="U209" s="4" t="str" cm="1">
        <f t="array" ref="U209">_xlfn.IFS(V209&lt;=4, "Dissatisfied",V209&lt;=7,"Neutral",V209&gt;=8,"Satisfied")</f>
        <v>Dissatisfied</v>
      </c>
      <c r="V209" s="3">
        <v>2</v>
      </c>
      <c r="W209" s="4" t="s">
        <v>59</v>
      </c>
      <c r="X209" s="4" t="s">
        <v>60</v>
      </c>
      <c r="Y209" s="4" t="s">
        <v>61</v>
      </c>
      <c r="Z209" s="1">
        <v>45373</v>
      </c>
      <c r="AA209" s="4" t="str" cm="1">
        <f t="array" ref="AA209">_xlfn.IFS(OR(AB209="December", AB209="February", AB209="January"), "Winter", OR(AB209="March", AB209="April", AB209="May"), "Spring", OR(AB209="June", AB209="July", AB209="August"), "Summer", TRUE, "Autumn")</f>
        <v>Spring</v>
      </c>
      <c r="AB209" s="7" t="str">
        <f>TEXT(Z209, "mmmm")</f>
        <v>March</v>
      </c>
      <c r="AC209" s="1" t="str">
        <f>TEXT(Z209, "dddd")</f>
        <v>Friday</v>
      </c>
      <c r="AD209" s="4" t="s">
        <v>76</v>
      </c>
      <c r="AE209" s="4" t="s">
        <v>76</v>
      </c>
      <c r="AF209" s="4" t="s">
        <v>92</v>
      </c>
      <c r="AG209" s="4" t="s">
        <v>88</v>
      </c>
      <c r="AH209" s="3">
        <v>7</v>
      </c>
    </row>
    <row r="210" spans="1:34">
      <c r="A210" s="4" t="s">
        <v>528</v>
      </c>
      <c r="B210" s="3">
        <v>37</v>
      </c>
      <c r="C210" s="9" t="str" cm="1">
        <f t="array" ref="C210">_xlfn.IFS(B210&gt;65,"+65",B210&gt;54,"55-65",B210&gt;44,"45-54",B210&gt;35,"36-44",B210&gt;25,"26-35",B210&gt;=18,"18-25")</f>
        <v>36-44</v>
      </c>
      <c r="D210" s="4" t="s">
        <v>66</v>
      </c>
      <c r="E210" s="4" t="s">
        <v>72</v>
      </c>
      <c r="F210" s="4" t="s">
        <v>67</v>
      </c>
      <c r="G210" s="4" t="s">
        <v>68</v>
      </c>
      <c r="H210" s="4" t="s">
        <v>529</v>
      </c>
      <c r="I210" s="4" t="s">
        <v>169</v>
      </c>
      <c r="J210" s="5">
        <v>347.99</v>
      </c>
      <c r="K210" s="3">
        <v>5</v>
      </c>
      <c r="L210" s="4" t="str">
        <f>IF(AND(J210&gt;350,K210&gt;6), "True","False")</f>
        <v>False</v>
      </c>
      <c r="M210" s="4" t="s">
        <v>83</v>
      </c>
      <c r="N210" s="3">
        <v>4</v>
      </c>
      <c r="O210" s="4" t="str" cm="1">
        <f t="array" ref="O210">_xlfn.IFS(P210&lt;=2,"Poor",P210=3,"Average",P210&gt;=4,"Good")</f>
        <v>Good</v>
      </c>
      <c r="P210" s="3">
        <v>4</v>
      </c>
      <c r="Q210" s="2">
        <v>1</v>
      </c>
      <c r="R210" s="4" t="s">
        <v>59</v>
      </c>
      <c r="S210" s="4" t="s">
        <v>84</v>
      </c>
      <c r="T210" s="3">
        <v>0</v>
      </c>
      <c r="U210" s="4" t="str" cm="1">
        <f t="array" ref="U210">_xlfn.IFS(V210&lt;=4, "Dissatisfied",V210&lt;=7,"Neutral",V210&gt;=8,"Satisfied")</f>
        <v>Dissatisfied</v>
      </c>
      <c r="V210" s="3">
        <v>1</v>
      </c>
      <c r="W210" s="4" t="s">
        <v>72</v>
      </c>
      <c r="X210" s="4" t="s">
        <v>101</v>
      </c>
      <c r="Y210" s="4" t="s">
        <v>86</v>
      </c>
      <c r="Z210" s="1">
        <v>45373</v>
      </c>
      <c r="AA210" s="4" t="str" cm="1">
        <f t="array" ref="AA210">_xlfn.IFS(OR(AB210="December", AB210="February", AB210="January"), "Winter", OR(AB210="March", AB210="April", AB210="May"), "Spring", OR(AB210="June", AB210="July", AB210="August"), "Summer", TRUE, "Autumn")</f>
        <v>Spring</v>
      </c>
      <c r="AB210" s="7" t="str">
        <f>TEXT(Z210, "mmmm")</f>
        <v>March</v>
      </c>
      <c r="AC210" s="1" t="str">
        <f>TEXT(Z210, "dddd")</f>
        <v>Friday</v>
      </c>
      <c r="AD210" s="4" t="s">
        <v>62</v>
      </c>
      <c r="AE210" s="4" t="s">
        <v>76</v>
      </c>
      <c r="AF210" s="4" t="s">
        <v>87</v>
      </c>
      <c r="AG210" s="4" t="s">
        <v>64</v>
      </c>
      <c r="AH210" s="3">
        <v>6</v>
      </c>
    </row>
    <row r="211" spans="1:34">
      <c r="A211" s="4" t="s">
        <v>530</v>
      </c>
      <c r="B211" s="3">
        <v>26</v>
      </c>
      <c r="C211" s="9" t="str" cm="1">
        <f t="array" ref="C211">_xlfn.IFS(B211&gt;65,"+65",B211&gt;54,"55-65",B211&gt;44,"45-54",B211&gt;35,"36-44",B211&gt;25,"26-35",B211&gt;=18,"18-25")</f>
        <v>26-35</v>
      </c>
      <c r="D211" s="4" t="s">
        <v>66</v>
      </c>
      <c r="E211" s="4" t="s">
        <v>72</v>
      </c>
      <c r="F211" s="4" t="s">
        <v>67</v>
      </c>
      <c r="G211" s="4" t="s">
        <v>80</v>
      </c>
      <c r="H211" s="4" t="s">
        <v>531</v>
      </c>
      <c r="I211" s="4" t="s">
        <v>82</v>
      </c>
      <c r="J211" s="5">
        <v>222.63</v>
      </c>
      <c r="K211" s="3">
        <v>3</v>
      </c>
      <c r="L211" s="4" t="str">
        <f>IF(AND(J211&gt;350,K211&gt;6), "True","False")</f>
        <v>False</v>
      </c>
      <c r="M211" s="4" t="s">
        <v>83</v>
      </c>
      <c r="N211" s="3">
        <v>1</v>
      </c>
      <c r="O211" s="4" t="str" cm="1">
        <f t="array" ref="O211">_xlfn.IFS(P211&lt;=2,"Poor",P211=3,"Average",P211&gt;=4,"Good")</f>
        <v>Poor</v>
      </c>
      <c r="P211" s="3">
        <v>1</v>
      </c>
      <c r="Q211" s="2">
        <v>0</v>
      </c>
      <c r="R211" s="4" t="s">
        <v>85</v>
      </c>
      <c r="S211" s="4" t="s">
        <v>84</v>
      </c>
      <c r="T211" s="3">
        <v>2</v>
      </c>
      <c r="U211" s="4" t="str" cm="1">
        <f t="array" ref="U211">_xlfn.IFS(V211&lt;=4, "Dissatisfied",V211&lt;=7,"Neutral",V211&gt;=8,"Satisfied")</f>
        <v>Dissatisfied</v>
      </c>
      <c r="V211" s="3">
        <v>2</v>
      </c>
      <c r="W211" s="4" t="s">
        <v>57</v>
      </c>
      <c r="X211" s="4" t="s">
        <v>74</v>
      </c>
      <c r="Y211" s="4" t="s">
        <v>61</v>
      </c>
      <c r="Z211" s="1">
        <v>45374</v>
      </c>
      <c r="AA211" s="4" t="str" cm="1">
        <f t="array" ref="AA211">_xlfn.IFS(OR(AB211="December", AB211="February", AB211="January"), "Winter", OR(AB211="March", AB211="April", AB211="May"), "Spring", OR(AB211="June", AB211="July", AB211="August"), "Summer", TRUE, "Autumn")</f>
        <v>Spring</v>
      </c>
      <c r="AB211" s="7" t="str">
        <f>TEXT(Z211, "mmmm")</f>
        <v>March</v>
      </c>
      <c r="AC211" s="1" t="str">
        <f>TEXT(Z211, "dddd")</f>
        <v>Saturday</v>
      </c>
      <c r="AD211" s="4" t="s">
        <v>76</v>
      </c>
      <c r="AE211" s="4" t="s">
        <v>62</v>
      </c>
      <c r="AF211" s="4" t="s">
        <v>92</v>
      </c>
      <c r="AG211" s="4" t="s">
        <v>93</v>
      </c>
      <c r="AH211" s="3">
        <v>6</v>
      </c>
    </row>
    <row r="212" spans="1:34">
      <c r="A212" s="4" t="s">
        <v>532</v>
      </c>
      <c r="B212" s="3">
        <v>45</v>
      </c>
      <c r="C212" s="9" t="str" cm="1">
        <f t="array" ref="C212">_xlfn.IFS(B212&gt;65,"+65",B212&gt;54,"55-65",B212&gt;44,"45-54",B212&gt;35,"36-44",B212&gt;25,"26-35",B212&gt;=18,"18-25")</f>
        <v>45-54</v>
      </c>
      <c r="D212" s="4" t="s">
        <v>66</v>
      </c>
      <c r="E212" s="4" t="s">
        <v>72</v>
      </c>
      <c r="F212" s="4" t="s">
        <v>52</v>
      </c>
      <c r="G212" s="4" t="s">
        <v>53</v>
      </c>
      <c r="H212" s="4" t="s">
        <v>533</v>
      </c>
      <c r="I212" s="4" t="s">
        <v>275</v>
      </c>
      <c r="J212" s="5">
        <v>454.57</v>
      </c>
      <c r="K212" s="3">
        <v>9</v>
      </c>
      <c r="L212" s="4" t="str">
        <f>IF(AND(J212&gt;350,K212&gt;6), "True","False")</f>
        <v>True</v>
      </c>
      <c r="M212" s="4" t="s">
        <v>83</v>
      </c>
      <c r="N212" s="3">
        <v>2</v>
      </c>
      <c r="O212" s="4" t="str" cm="1">
        <f t="array" ref="O212">_xlfn.IFS(P212&lt;=2,"Poor",P212=3,"Average",P212&gt;=4,"Good")</f>
        <v>Good</v>
      </c>
      <c r="P212" s="3">
        <v>5</v>
      </c>
      <c r="Q212" s="2">
        <v>1</v>
      </c>
      <c r="R212" s="4" t="s">
        <v>59</v>
      </c>
      <c r="S212" s="4" t="s">
        <v>84</v>
      </c>
      <c r="T212" s="3">
        <v>0</v>
      </c>
      <c r="U212" s="4" t="str" cm="1">
        <f t="array" ref="U212">_xlfn.IFS(V212&lt;=4, "Dissatisfied",V212&lt;=7,"Neutral",V212&gt;=8,"Satisfied")</f>
        <v>Dissatisfied</v>
      </c>
      <c r="V212" s="3">
        <v>1</v>
      </c>
      <c r="W212" s="4" t="s">
        <v>85</v>
      </c>
      <c r="X212" s="4" t="s">
        <v>60</v>
      </c>
      <c r="Y212" s="4" t="s">
        <v>75</v>
      </c>
      <c r="Z212" s="1">
        <v>45375</v>
      </c>
      <c r="AA212" s="4" t="str" cm="1">
        <f t="array" ref="AA212">_xlfn.IFS(OR(AB212="December", AB212="February", AB212="January"), "Winter", OR(AB212="March", AB212="April", AB212="May"), "Spring", OR(AB212="June", AB212="July", AB212="August"), "Summer", TRUE, "Autumn")</f>
        <v>Spring</v>
      </c>
      <c r="AB212" s="7" t="str">
        <f>TEXT(Z212, "mmmm")</f>
        <v>March</v>
      </c>
      <c r="AC212" s="1" t="str">
        <f>TEXT(Z212, "dddd")</f>
        <v>Sunday</v>
      </c>
      <c r="AD212" s="4" t="s">
        <v>62</v>
      </c>
      <c r="AE212" s="4" t="s">
        <v>62</v>
      </c>
      <c r="AF212" s="4" t="s">
        <v>102</v>
      </c>
      <c r="AG212" s="4" t="s">
        <v>93</v>
      </c>
      <c r="AH212" s="3">
        <v>1</v>
      </c>
    </row>
    <row r="213" spans="1:34">
      <c r="A213" s="4" t="s">
        <v>534</v>
      </c>
      <c r="B213" s="3">
        <v>31</v>
      </c>
      <c r="C213" s="9" t="str" cm="1">
        <f t="array" ref="C213">_xlfn.IFS(B213&gt;65,"+65",B213&gt;54,"55-65",B213&gt;44,"45-54",B213&gt;35,"36-44",B213&gt;25,"26-35",B213&gt;=18,"18-25")</f>
        <v>26-35</v>
      </c>
      <c r="D213" s="4" t="s">
        <v>66</v>
      </c>
      <c r="E213" s="4" t="s">
        <v>72</v>
      </c>
      <c r="F213" s="4" t="s">
        <v>79</v>
      </c>
      <c r="G213" s="4" t="s">
        <v>80</v>
      </c>
      <c r="H213" s="4" t="s">
        <v>535</v>
      </c>
      <c r="I213" s="4" t="s">
        <v>118</v>
      </c>
      <c r="J213" s="5">
        <v>309.22000000000003</v>
      </c>
      <c r="K213" s="3">
        <v>5</v>
      </c>
      <c r="L213" s="4" t="str">
        <f>IF(AND(J213&gt;350,K213&gt;6), "True","False")</f>
        <v>False</v>
      </c>
      <c r="M213" s="4" t="s">
        <v>83</v>
      </c>
      <c r="N213" s="3">
        <v>3</v>
      </c>
      <c r="O213" s="4" t="str" cm="1">
        <f t="array" ref="O213">_xlfn.IFS(P213&lt;=2,"Poor",P213=3,"Average",P213&gt;=4,"Good")</f>
        <v>Good</v>
      </c>
      <c r="P213" s="3">
        <v>5</v>
      </c>
      <c r="Q213" s="2">
        <v>2</v>
      </c>
      <c r="R213" s="4" t="s">
        <v>59</v>
      </c>
      <c r="S213" s="4" t="s">
        <v>58</v>
      </c>
      <c r="T213" s="3">
        <v>2</v>
      </c>
      <c r="U213" s="4" t="str" cm="1">
        <f t="array" ref="U213">_xlfn.IFS(V213&lt;=4, "Dissatisfied",V213&lt;=7,"Neutral",V213&gt;=8,"Satisfied")</f>
        <v>Dissatisfied</v>
      </c>
      <c r="V213" s="3">
        <v>4</v>
      </c>
      <c r="W213" s="4" t="s">
        <v>57</v>
      </c>
      <c r="X213" s="4" t="s">
        <v>74</v>
      </c>
      <c r="Y213" s="4" t="s">
        <v>61</v>
      </c>
      <c r="Z213" s="1">
        <v>45375</v>
      </c>
      <c r="AA213" s="4" t="str" cm="1">
        <f t="array" ref="AA213">_xlfn.IFS(OR(AB213="December", AB213="February", AB213="January"), "Winter", OR(AB213="March", AB213="April", AB213="May"), "Spring", OR(AB213="June", AB213="July", AB213="August"), "Summer", TRUE, "Autumn")</f>
        <v>Spring</v>
      </c>
      <c r="AB213" s="7" t="str">
        <f>TEXT(Z213, "mmmm")</f>
        <v>March</v>
      </c>
      <c r="AC213" s="1" t="str">
        <f>TEXT(Z213, "dddd")</f>
        <v>Sunday</v>
      </c>
      <c r="AD213" s="4" t="s">
        <v>76</v>
      </c>
      <c r="AE213" s="4" t="s">
        <v>76</v>
      </c>
      <c r="AF213" s="4" t="s">
        <v>87</v>
      </c>
      <c r="AG213" s="4" t="s">
        <v>64</v>
      </c>
      <c r="AH213" s="3">
        <v>10</v>
      </c>
    </row>
    <row r="214" spans="1:34">
      <c r="A214" s="4" t="s">
        <v>536</v>
      </c>
      <c r="B214" s="3">
        <v>18</v>
      </c>
      <c r="C214" s="9" t="str" cm="1">
        <f t="array" ref="C214">_xlfn.IFS(B214&gt;65,"+65",B214&gt;54,"55-65",B214&gt;44,"45-54",B214&gt;35,"36-44",B214&gt;25,"26-35",B214&gt;=18,"18-25")</f>
        <v>18-25</v>
      </c>
      <c r="D214" s="4" t="s">
        <v>66</v>
      </c>
      <c r="E214" s="4" t="s">
        <v>51</v>
      </c>
      <c r="F214" s="4" t="s">
        <v>95</v>
      </c>
      <c r="G214" s="4" t="s">
        <v>53</v>
      </c>
      <c r="H214" s="4" t="s">
        <v>537</v>
      </c>
      <c r="I214" s="4" t="s">
        <v>169</v>
      </c>
      <c r="J214" s="5">
        <v>171.72</v>
      </c>
      <c r="K214" s="3">
        <v>3</v>
      </c>
      <c r="L214" s="4" t="str">
        <f>IF(AND(J214&gt;350,K214&gt;6), "True","False")</f>
        <v>False</v>
      </c>
      <c r="M214" s="4" t="s">
        <v>56</v>
      </c>
      <c r="N214" s="3">
        <v>5</v>
      </c>
      <c r="O214" s="4" t="str" cm="1">
        <f t="array" ref="O214">_xlfn.IFS(P214&lt;=2,"Poor",P214=3,"Average",P214&gt;=4,"Good")</f>
        <v>Average</v>
      </c>
      <c r="P214" s="3">
        <v>3</v>
      </c>
      <c r="Q214" s="2">
        <v>1</v>
      </c>
      <c r="R214" s="4" t="s">
        <v>59</v>
      </c>
      <c r="S214" s="4" t="s">
        <v>73</v>
      </c>
      <c r="T214" s="3">
        <v>1</v>
      </c>
      <c r="U214" s="4" t="str" cm="1">
        <f t="array" ref="U214">_xlfn.IFS(V214&lt;=4, "Dissatisfied",V214&lt;=7,"Neutral",V214&gt;=8,"Satisfied")</f>
        <v>Dissatisfied</v>
      </c>
      <c r="V214" s="3">
        <v>2</v>
      </c>
      <c r="W214" s="4" t="s">
        <v>57</v>
      </c>
      <c r="X214" s="4" t="s">
        <v>101</v>
      </c>
      <c r="Y214" s="4" t="s">
        <v>86</v>
      </c>
      <c r="Z214" s="1">
        <v>45375</v>
      </c>
      <c r="AA214" s="4" t="str" cm="1">
        <f t="array" ref="AA214">_xlfn.IFS(OR(AB214="December", AB214="February", AB214="January"), "Winter", OR(AB214="March", AB214="April", AB214="May"), "Spring", OR(AB214="June", AB214="July", AB214="August"), "Summer", TRUE, "Autumn")</f>
        <v>Spring</v>
      </c>
      <c r="AB214" s="7" t="str">
        <f>TEXT(Z214, "mmmm")</f>
        <v>March</v>
      </c>
      <c r="AC214" s="1" t="str">
        <f>TEXT(Z214, "dddd")</f>
        <v>Sunday</v>
      </c>
      <c r="AD214" s="4" t="s">
        <v>76</v>
      </c>
      <c r="AE214" s="4" t="s">
        <v>62</v>
      </c>
      <c r="AF214" s="4" t="s">
        <v>92</v>
      </c>
      <c r="AG214" s="4" t="s">
        <v>64</v>
      </c>
      <c r="AH214" s="3">
        <v>12</v>
      </c>
    </row>
    <row r="215" spans="1:34">
      <c r="A215" s="4" t="s">
        <v>538</v>
      </c>
      <c r="B215" s="3">
        <v>31</v>
      </c>
      <c r="C215" s="9" t="str" cm="1">
        <f t="array" ref="C215">_xlfn.IFS(B215&gt;65,"+65",B215&gt;54,"55-65",B215&gt;44,"45-54",B215&gt;35,"36-44",B215&gt;25,"26-35",B215&gt;=18,"18-25")</f>
        <v>26-35</v>
      </c>
      <c r="D215" s="4" t="s">
        <v>66</v>
      </c>
      <c r="E215" s="4" t="s">
        <v>51</v>
      </c>
      <c r="F215" s="4" t="s">
        <v>52</v>
      </c>
      <c r="G215" s="4" t="s">
        <v>68</v>
      </c>
      <c r="H215" s="4" t="s">
        <v>539</v>
      </c>
      <c r="I215" s="4" t="s">
        <v>110</v>
      </c>
      <c r="J215" s="5">
        <v>370.54</v>
      </c>
      <c r="K215" s="3">
        <v>2</v>
      </c>
      <c r="L215" s="4" t="str">
        <f>IF(AND(J215&gt;350,K215&gt;6), "True","False")</f>
        <v>False</v>
      </c>
      <c r="M215" s="4" t="s">
        <v>71</v>
      </c>
      <c r="N215" s="3">
        <v>3</v>
      </c>
      <c r="O215" s="4" t="str" cm="1">
        <f t="array" ref="O215">_xlfn.IFS(P215&lt;=2,"Poor",P215=3,"Average",P215&gt;=4,"Good")</f>
        <v>Average</v>
      </c>
      <c r="P215" s="3">
        <v>3</v>
      </c>
      <c r="Q215" s="2">
        <v>0</v>
      </c>
      <c r="R215" s="4" t="s">
        <v>59</v>
      </c>
      <c r="S215" s="4" t="s">
        <v>73</v>
      </c>
      <c r="T215" s="3">
        <v>1</v>
      </c>
      <c r="U215" s="4" t="str" cm="1">
        <f t="array" ref="U215">_xlfn.IFS(V215&lt;=4, "Dissatisfied",V215&lt;=7,"Neutral",V215&gt;=8,"Satisfied")</f>
        <v>Satisfied</v>
      </c>
      <c r="V215" s="3">
        <v>9</v>
      </c>
      <c r="W215" s="4" t="s">
        <v>59</v>
      </c>
      <c r="X215" s="4" t="s">
        <v>60</v>
      </c>
      <c r="Y215" s="4" t="s">
        <v>119</v>
      </c>
      <c r="Z215" s="1">
        <v>45376</v>
      </c>
      <c r="AA215" s="4" t="str" cm="1">
        <f t="array" ref="AA215">_xlfn.IFS(OR(AB215="December", AB215="February", AB215="January"), "Winter", OR(AB215="March", AB215="April", AB215="May"), "Spring", OR(AB215="June", AB215="July", AB215="August"), "Summer", TRUE, "Autumn")</f>
        <v>Spring</v>
      </c>
      <c r="AB215" s="7" t="str">
        <f>TEXT(Z215, "mmmm")</f>
        <v>March</v>
      </c>
      <c r="AC215" s="1" t="str">
        <f>TEXT(Z215, "dddd")</f>
        <v>Monday</v>
      </c>
      <c r="AD215" s="4" t="s">
        <v>62</v>
      </c>
      <c r="AE215" s="4" t="s">
        <v>76</v>
      </c>
      <c r="AF215" s="4" t="s">
        <v>92</v>
      </c>
      <c r="AG215" s="4" t="s">
        <v>88</v>
      </c>
      <c r="AH215" s="3">
        <v>7</v>
      </c>
    </row>
    <row r="216" spans="1:34">
      <c r="A216" s="4" t="s">
        <v>540</v>
      </c>
      <c r="B216" s="3">
        <v>23</v>
      </c>
      <c r="C216" s="9" t="str" cm="1">
        <f t="array" ref="C216">_xlfn.IFS(B216&gt;65,"+65",B216&gt;54,"55-65",B216&gt;44,"45-54",B216&gt;35,"36-44",B216&gt;25,"26-35",B216&gt;=18,"18-25")</f>
        <v>18-25</v>
      </c>
      <c r="D216" s="4" t="s">
        <v>66</v>
      </c>
      <c r="E216" s="4" t="s">
        <v>51</v>
      </c>
      <c r="F216" s="4" t="s">
        <v>52</v>
      </c>
      <c r="G216" s="4" t="s">
        <v>80</v>
      </c>
      <c r="H216" s="4" t="s">
        <v>541</v>
      </c>
      <c r="I216" s="4" t="s">
        <v>100</v>
      </c>
      <c r="J216" s="5">
        <v>255.86</v>
      </c>
      <c r="K216" s="3">
        <v>3</v>
      </c>
      <c r="L216" s="4" t="str">
        <f>IF(AND(J216&gt;350,K216&gt;6), "True","False")</f>
        <v>False</v>
      </c>
      <c r="M216" s="4" t="s">
        <v>56</v>
      </c>
      <c r="N216" s="3">
        <v>4</v>
      </c>
      <c r="O216" s="4" t="str" cm="1">
        <f t="array" ref="O216">_xlfn.IFS(P216&lt;=2,"Poor",P216=3,"Average",P216&gt;=4,"Good")</f>
        <v>Good</v>
      </c>
      <c r="P216" s="3">
        <v>5</v>
      </c>
      <c r="Q216" s="2">
        <v>2</v>
      </c>
      <c r="R216" s="4" t="s">
        <v>72</v>
      </c>
      <c r="S216" s="4" t="s">
        <v>73</v>
      </c>
      <c r="T216" s="3">
        <v>0</v>
      </c>
      <c r="U216" s="4" t="str" cm="1">
        <f t="array" ref="U216">_xlfn.IFS(V216&lt;=4, "Dissatisfied",V216&lt;=7,"Neutral",V216&gt;=8,"Satisfied")</f>
        <v>Dissatisfied</v>
      </c>
      <c r="V216" s="3">
        <v>1</v>
      </c>
      <c r="W216" s="4" t="s">
        <v>59</v>
      </c>
      <c r="X216" s="4" t="s">
        <v>74</v>
      </c>
      <c r="Y216" s="4" t="s">
        <v>86</v>
      </c>
      <c r="Z216" s="1">
        <v>45376</v>
      </c>
      <c r="AA216" s="4" t="str" cm="1">
        <f t="array" ref="AA216">_xlfn.IFS(OR(AB216="December", AB216="February", AB216="January"), "Winter", OR(AB216="March", AB216="April", AB216="May"), "Spring", OR(AB216="June", AB216="July", AB216="August"), "Summer", TRUE, "Autumn")</f>
        <v>Spring</v>
      </c>
      <c r="AB216" s="7" t="str">
        <f>TEXT(Z216, "mmmm")</f>
        <v>March</v>
      </c>
      <c r="AC216" s="1" t="str">
        <f>TEXT(Z216, "dddd")</f>
        <v>Monday</v>
      </c>
      <c r="AD216" s="4" t="s">
        <v>62</v>
      </c>
      <c r="AE216" s="4" t="s">
        <v>76</v>
      </c>
      <c r="AF216" s="4" t="s">
        <v>87</v>
      </c>
      <c r="AG216" s="4" t="s">
        <v>88</v>
      </c>
      <c r="AH216" s="3">
        <v>4</v>
      </c>
    </row>
    <row r="217" spans="1:34">
      <c r="A217" s="4" t="s">
        <v>542</v>
      </c>
      <c r="B217" s="3">
        <v>23</v>
      </c>
      <c r="C217" s="9" t="str" cm="1">
        <f t="array" ref="C217">_xlfn.IFS(B217&gt;65,"+65",B217&gt;54,"55-65",B217&gt;44,"45-54",B217&gt;35,"36-44",B217&gt;25,"26-35",B217&gt;=18,"18-25")</f>
        <v>18-25</v>
      </c>
      <c r="D217" s="4" t="s">
        <v>66</v>
      </c>
      <c r="E217" s="4" t="s">
        <v>72</v>
      </c>
      <c r="F217" s="4" t="s">
        <v>67</v>
      </c>
      <c r="G217" s="4" t="s">
        <v>80</v>
      </c>
      <c r="H217" s="4" t="s">
        <v>543</v>
      </c>
      <c r="I217" s="4" t="s">
        <v>234</v>
      </c>
      <c r="J217" s="5">
        <v>425.21</v>
      </c>
      <c r="K217" s="3">
        <v>12</v>
      </c>
      <c r="L217" s="4" t="str">
        <f>IF(AND(J217&gt;350,K217&gt;6), "True","False")</f>
        <v>True</v>
      </c>
      <c r="M217" s="4" t="s">
        <v>56</v>
      </c>
      <c r="N217" s="3">
        <v>2</v>
      </c>
      <c r="O217" s="4" t="str" cm="1">
        <f t="array" ref="O217">_xlfn.IFS(P217&lt;=2,"Poor",P217=3,"Average",P217&gt;=4,"Good")</f>
        <v>Good</v>
      </c>
      <c r="P217" s="3">
        <v>4</v>
      </c>
      <c r="Q217" s="2">
        <v>2</v>
      </c>
      <c r="R217" s="4" t="s">
        <v>59</v>
      </c>
      <c r="S217" s="4" t="s">
        <v>84</v>
      </c>
      <c r="T217" s="3">
        <v>0</v>
      </c>
      <c r="U217" s="4" t="str" cm="1">
        <f t="array" ref="U217">_xlfn.IFS(V217&lt;=4, "Dissatisfied",V217&lt;=7,"Neutral",V217&gt;=8,"Satisfied")</f>
        <v>Dissatisfied</v>
      </c>
      <c r="V217" s="3">
        <v>4</v>
      </c>
      <c r="W217" s="4" t="s">
        <v>72</v>
      </c>
      <c r="X217" s="4" t="s">
        <v>101</v>
      </c>
      <c r="Y217" s="4" t="s">
        <v>111</v>
      </c>
      <c r="Z217" s="1">
        <v>45376</v>
      </c>
      <c r="AA217" s="4" t="str" cm="1">
        <f t="array" ref="AA217">_xlfn.IFS(OR(AB217="December", AB217="February", AB217="January"), "Winter", OR(AB217="March", AB217="April", AB217="May"), "Spring", OR(AB217="June", AB217="July", AB217="August"), "Summer", TRUE, "Autumn")</f>
        <v>Spring</v>
      </c>
      <c r="AB217" s="7" t="str">
        <f>TEXT(Z217, "mmmm")</f>
        <v>March</v>
      </c>
      <c r="AC217" s="1" t="str">
        <f>TEXT(Z217, "dddd")</f>
        <v>Monday</v>
      </c>
      <c r="AD217" s="4" t="s">
        <v>62</v>
      </c>
      <c r="AE217" s="4" t="s">
        <v>62</v>
      </c>
      <c r="AF217" s="4" t="s">
        <v>87</v>
      </c>
      <c r="AG217" s="4" t="s">
        <v>93</v>
      </c>
      <c r="AH217" s="3">
        <v>12</v>
      </c>
    </row>
    <row r="218" spans="1:34">
      <c r="A218" s="4" t="s">
        <v>544</v>
      </c>
      <c r="B218" s="3">
        <v>19</v>
      </c>
      <c r="C218" s="9" t="str" cm="1">
        <f t="array" ref="C218">_xlfn.IFS(B218&gt;65,"+65",B218&gt;54,"55-65",B218&gt;44,"45-54",B218&gt;35,"36-44",B218&gt;25,"26-35",B218&gt;=18,"18-25")</f>
        <v>18-25</v>
      </c>
      <c r="D218" s="4" t="s">
        <v>78</v>
      </c>
      <c r="E218" s="4" t="s">
        <v>72</v>
      </c>
      <c r="F218" s="4" t="s">
        <v>67</v>
      </c>
      <c r="G218" s="4" t="s">
        <v>53</v>
      </c>
      <c r="H218" s="4" t="s">
        <v>545</v>
      </c>
      <c r="I218" s="4" t="s">
        <v>70</v>
      </c>
      <c r="J218" s="5">
        <v>393.78</v>
      </c>
      <c r="K218" s="3">
        <v>6</v>
      </c>
      <c r="L218" s="4" t="str">
        <f>IF(AND(J218&gt;350,K218&gt;6), "True","False")</f>
        <v>False</v>
      </c>
      <c r="M218" s="4" t="s">
        <v>56</v>
      </c>
      <c r="N218" s="3">
        <v>3</v>
      </c>
      <c r="O218" s="4" t="str" cm="1">
        <f t="array" ref="O218">_xlfn.IFS(P218&lt;=2,"Poor",P218=3,"Average",P218&gt;=4,"Good")</f>
        <v>Good</v>
      </c>
      <c r="P218" s="3">
        <v>4</v>
      </c>
      <c r="Q218" s="2">
        <v>1</v>
      </c>
      <c r="R218" s="4" t="s">
        <v>85</v>
      </c>
      <c r="S218" s="4" t="s">
        <v>73</v>
      </c>
      <c r="T218" s="3">
        <v>0</v>
      </c>
      <c r="U218" s="4" t="str" cm="1">
        <f t="array" ref="U218">_xlfn.IFS(V218&lt;=4, "Dissatisfied",V218&lt;=7,"Neutral",V218&gt;=8,"Satisfied")</f>
        <v>Neutral</v>
      </c>
      <c r="V218" s="3">
        <v>5</v>
      </c>
      <c r="W218" s="4" t="s">
        <v>59</v>
      </c>
      <c r="X218" s="4" t="s">
        <v>74</v>
      </c>
      <c r="Y218" s="4" t="s">
        <v>111</v>
      </c>
      <c r="Z218" s="1">
        <v>45376</v>
      </c>
      <c r="AA218" s="4" t="str" cm="1">
        <f t="array" ref="AA218">_xlfn.IFS(OR(AB218="December", AB218="February", AB218="January"), "Winter", OR(AB218="March", AB218="April", AB218="May"), "Spring", OR(AB218="June", AB218="July", AB218="August"), "Summer", TRUE, "Autumn")</f>
        <v>Spring</v>
      </c>
      <c r="AB218" s="7" t="str">
        <f>TEXT(Z218, "mmmm")</f>
        <v>March</v>
      </c>
      <c r="AC218" s="1" t="str">
        <f>TEXT(Z218, "dddd")</f>
        <v>Monday</v>
      </c>
      <c r="AD218" s="4" t="s">
        <v>62</v>
      </c>
      <c r="AE218" s="4" t="s">
        <v>76</v>
      </c>
      <c r="AF218" s="4" t="s">
        <v>63</v>
      </c>
      <c r="AG218" s="4" t="s">
        <v>88</v>
      </c>
      <c r="AH218" s="3">
        <v>14</v>
      </c>
    </row>
    <row r="219" spans="1:34">
      <c r="A219" s="4" t="s">
        <v>546</v>
      </c>
      <c r="B219" s="3">
        <v>30</v>
      </c>
      <c r="C219" s="9" t="str" cm="1">
        <f t="array" ref="C219">_xlfn.IFS(B219&gt;65,"+65",B219&gt;54,"55-65",B219&gt;44,"45-54",B219&gt;35,"36-44",B219&gt;25,"26-35",B219&gt;=18,"18-25")</f>
        <v>26-35</v>
      </c>
      <c r="D219" s="4" t="s">
        <v>78</v>
      </c>
      <c r="E219" s="4" t="s">
        <v>51</v>
      </c>
      <c r="F219" s="4" t="s">
        <v>67</v>
      </c>
      <c r="G219" s="4" t="s">
        <v>53</v>
      </c>
      <c r="H219" s="4" t="s">
        <v>547</v>
      </c>
      <c r="I219" s="4" t="s">
        <v>110</v>
      </c>
      <c r="J219" s="5">
        <v>102.91</v>
      </c>
      <c r="K219" s="3">
        <v>12</v>
      </c>
      <c r="L219" s="4" t="str">
        <f>IF(AND(J219&gt;350,K219&gt;6), "True","False")</f>
        <v>False</v>
      </c>
      <c r="M219" s="4" t="s">
        <v>83</v>
      </c>
      <c r="N219" s="3">
        <v>2</v>
      </c>
      <c r="O219" s="4" t="str" cm="1">
        <f t="array" ref="O219">_xlfn.IFS(P219&lt;=2,"Poor",P219=3,"Average",P219&gt;=4,"Good")</f>
        <v>Poor</v>
      </c>
      <c r="P219" s="3">
        <v>1</v>
      </c>
      <c r="Q219" s="2">
        <v>1</v>
      </c>
      <c r="R219" s="4" t="s">
        <v>85</v>
      </c>
      <c r="S219" s="4" t="s">
        <v>73</v>
      </c>
      <c r="T219" s="3">
        <v>1</v>
      </c>
      <c r="U219" s="4" t="str" cm="1">
        <f t="array" ref="U219">_xlfn.IFS(V219&lt;=4, "Dissatisfied",V219&lt;=7,"Neutral",V219&gt;=8,"Satisfied")</f>
        <v>Satisfied</v>
      </c>
      <c r="V219" s="3">
        <v>10</v>
      </c>
      <c r="W219" s="4" t="s">
        <v>57</v>
      </c>
      <c r="X219" s="4" t="s">
        <v>101</v>
      </c>
      <c r="Y219" s="4" t="s">
        <v>86</v>
      </c>
      <c r="Z219" s="1">
        <v>45377</v>
      </c>
      <c r="AA219" s="4" t="str" cm="1">
        <f t="array" ref="AA219">_xlfn.IFS(OR(AB219="December", AB219="February", AB219="January"), "Winter", OR(AB219="March", AB219="April", AB219="May"), "Spring", OR(AB219="June", AB219="July", AB219="August"), "Summer", TRUE, "Autumn")</f>
        <v>Spring</v>
      </c>
      <c r="AB219" s="7" t="str">
        <f>TEXT(Z219, "mmmm")</f>
        <v>March</v>
      </c>
      <c r="AC219" s="1" t="str">
        <f>TEXT(Z219, "dddd")</f>
        <v>Tuesday</v>
      </c>
      <c r="AD219" s="4" t="s">
        <v>62</v>
      </c>
      <c r="AE219" s="4" t="s">
        <v>76</v>
      </c>
      <c r="AF219" s="4" t="s">
        <v>92</v>
      </c>
      <c r="AG219" s="4" t="s">
        <v>93</v>
      </c>
      <c r="AH219" s="3">
        <v>13</v>
      </c>
    </row>
    <row r="220" spans="1:34">
      <c r="A220" s="4" t="s">
        <v>548</v>
      </c>
      <c r="B220" s="3">
        <v>28</v>
      </c>
      <c r="C220" s="9" t="str" cm="1">
        <f t="array" ref="C220">_xlfn.IFS(B220&gt;65,"+65",B220&gt;54,"55-65",B220&gt;44,"45-54",B220&gt;35,"36-44",B220&gt;25,"26-35",B220&gt;=18,"18-25")</f>
        <v>26-35</v>
      </c>
      <c r="D220" s="4" t="s">
        <v>78</v>
      </c>
      <c r="E220" s="4" t="s">
        <v>72</v>
      </c>
      <c r="F220" s="4" t="s">
        <v>52</v>
      </c>
      <c r="G220" s="4" t="s">
        <v>53</v>
      </c>
      <c r="H220" s="4" t="s">
        <v>549</v>
      </c>
      <c r="I220" s="4" t="s">
        <v>110</v>
      </c>
      <c r="J220" s="5">
        <v>81.23</v>
      </c>
      <c r="K220" s="3">
        <v>9</v>
      </c>
      <c r="L220" s="4" t="str">
        <f>IF(AND(J220&gt;350,K220&gt;6), "True","False")</f>
        <v>False</v>
      </c>
      <c r="M220" s="4" t="s">
        <v>83</v>
      </c>
      <c r="N220" s="3">
        <v>2</v>
      </c>
      <c r="O220" s="4" t="str" cm="1">
        <f t="array" ref="O220">_xlfn.IFS(P220&lt;=2,"Poor",P220=3,"Average",P220&gt;=4,"Good")</f>
        <v>Good</v>
      </c>
      <c r="P220" s="3">
        <v>5</v>
      </c>
      <c r="Q220" s="2">
        <v>2</v>
      </c>
      <c r="R220" s="4" t="s">
        <v>72</v>
      </c>
      <c r="S220" s="4" t="s">
        <v>58</v>
      </c>
      <c r="T220" s="3">
        <v>1</v>
      </c>
      <c r="U220" s="4" t="str" cm="1">
        <f t="array" ref="U220">_xlfn.IFS(V220&lt;=4, "Dissatisfied",V220&lt;=7,"Neutral",V220&gt;=8,"Satisfied")</f>
        <v>Satisfied</v>
      </c>
      <c r="V220" s="3">
        <v>10</v>
      </c>
      <c r="W220" s="4" t="s">
        <v>85</v>
      </c>
      <c r="X220" s="4" t="s">
        <v>74</v>
      </c>
      <c r="Y220" s="4" t="s">
        <v>61</v>
      </c>
      <c r="Z220" s="1">
        <v>45377</v>
      </c>
      <c r="AA220" s="4" t="str" cm="1">
        <f t="array" ref="AA220">_xlfn.IFS(OR(AB220="December", AB220="February", AB220="January"), "Winter", OR(AB220="March", AB220="April", AB220="May"), "Spring", OR(AB220="June", AB220="July", AB220="August"), "Summer", TRUE, "Autumn")</f>
        <v>Spring</v>
      </c>
      <c r="AB220" s="7" t="str">
        <f>TEXT(Z220, "mmmm")</f>
        <v>March</v>
      </c>
      <c r="AC220" s="1" t="str">
        <f>TEXT(Z220, "dddd")</f>
        <v>Tuesday</v>
      </c>
      <c r="AD220" s="4" t="s">
        <v>76</v>
      </c>
      <c r="AE220" s="4" t="s">
        <v>62</v>
      </c>
      <c r="AF220" s="4" t="s">
        <v>102</v>
      </c>
      <c r="AG220" s="4" t="s">
        <v>64</v>
      </c>
      <c r="AH220" s="3">
        <v>6</v>
      </c>
    </row>
    <row r="221" spans="1:34">
      <c r="A221" s="4" t="s">
        <v>550</v>
      </c>
      <c r="B221" s="3">
        <v>38</v>
      </c>
      <c r="C221" s="9" t="str" cm="1">
        <f t="array" ref="C221">_xlfn.IFS(B221&gt;65,"+65",B221&gt;54,"55-65",B221&gt;44,"45-54",B221&gt;35,"36-44",B221&gt;25,"26-35",B221&gt;=18,"18-25")</f>
        <v>36-44</v>
      </c>
      <c r="D221" s="4" t="s">
        <v>232</v>
      </c>
      <c r="E221" s="4" t="s">
        <v>72</v>
      </c>
      <c r="F221" s="4" t="s">
        <v>95</v>
      </c>
      <c r="G221" s="4" t="s">
        <v>68</v>
      </c>
      <c r="H221" s="4" t="s">
        <v>551</v>
      </c>
      <c r="I221" s="4" t="s">
        <v>110</v>
      </c>
      <c r="J221" s="5">
        <v>246.74</v>
      </c>
      <c r="K221" s="3">
        <v>10</v>
      </c>
      <c r="L221" s="4" t="str">
        <f>IF(AND(J221&gt;350,K221&gt;6), "True","False")</f>
        <v>False</v>
      </c>
      <c r="M221" s="4" t="s">
        <v>56</v>
      </c>
      <c r="N221" s="3">
        <v>2</v>
      </c>
      <c r="O221" s="4" t="str" cm="1">
        <f t="array" ref="O221">_xlfn.IFS(P221&lt;=2,"Poor",P221=3,"Average",P221&gt;=4,"Good")</f>
        <v>Average</v>
      </c>
      <c r="P221" s="3">
        <v>3</v>
      </c>
      <c r="Q221" s="2">
        <v>0</v>
      </c>
      <c r="R221" s="4" t="s">
        <v>85</v>
      </c>
      <c r="S221" s="4" t="s">
        <v>58</v>
      </c>
      <c r="T221" s="3">
        <v>1</v>
      </c>
      <c r="U221" s="4" t="str" cm="1">
        <f t="array" ref="U221">_xlfn.IFS(V221&lt;=4, "Dissatisfied",V221&lt;=7,"Neutral",V221&gt;=8,"Satisfied")</f>
        <v>Neutral</v>
      </c>
      <c r="V221" s="3">
        <v>6</v>
      </c>
      <c r="W221" s="4" t="s">
        <v>72</v>
      </c>
      <c r="X221" s="4" t="s">
        <v>101</v>
      </c>
      <c r="Y221" s="4" t="s">
        <v>86</v>
      </c>
      <c r="Z221" s="1">
        <v>45378</v>
      </c>
      <c r="AA221" s="4" t="str" cm="1">
        <f t="array" ref="AA221">_xlfn.IFS(OR(AB221="December", AB221="February", AB221="January"), "Winter", OR(AB221="March", AB221="April", AB221="May"), "Spring", OR(AB221="June", AB221="July", AB221="August"), "Summer", TRUE, "Autumn")</f>
        <v>Spring</v>
      </c>
      <c r="AB221" s="7" t="str">
        <f>TEXT(Z221, "mmmm")</f>
        <v>March</v>
      </c>
      <c r="AC221" s="1" t="str">
        <f>TEXT(Z221, "dddd")</f>
        <v>Wednesday</v>
      </c>
      <c r="AD221" s="4" t="s">
        <v>76</v>
      </c>
      <c r="AE221" s="4" t="s">
        <v>76</v>
      </c>
      <c r="AF221" s="4" t="s">
        <v>63</v>
      </c>
      <c r="AG221" s="4" t="s">
        <v>93</v>
      </c>
      <c r="AH221" s="3">
        <v>8</v>
      </c>
    </row>
    <row r="222" spans="1:34">
      <c r="A222" s="4" t="s">
        <v>552</v>
      </c>
      <c r="B222" s="3">
        <v>34</v>
      </c>
      <c r="C222" s="9" t="str" cm="1">
        <f t="array" ref="C222">_xlfn.IFS(B222&gt;65,"+65",B222&gt;54,"55-65",B222&gt;44,"45-54",B222&gt;35,"36-44",B222&gt;25,"26-35",B222&gt;=18,"18-25")</f>
        <v>26-35</v>
      </c>
      <c r="D222" s="4" t="s">
        <v>78</v>
      </c>
      <c r="E222" s="4" t="s">
        <v>72</v>
      </c>
      <c r="F222" s="4" t="s">
        <v>79</v>
      </c>
      <c r="G222" s="4" t="s">
        <v>80</v>
      </c>
      <c r="H222" s="4" t="s">
        <v>297</v>
      </c>
      <c r="I222" s="4" t="s">
        <v>82</v>
      </c>
      <c r="J222" s="5">
        <v>429.24</v>
      </c>
      <c r="K222" s="3">
        <v>7</v>
      </c>
      <c r="L222" s="4" t="str">
        <f>IF(AND(J222&gt;350,K222&gt;6), "True","False")</f>
        <v>True</v>
      </c>
      <c r="M222" s="4" t="s">
        <v>83</v>
      </c>
      <c r="N222" s="3">
        <v>3</v>
      </c>
      <c r="O222" s="4" t="str" cm="1">
        <f t="array" ref="O222">_xlfn.IFS(P222&lt;=2,"Poor",P222=3,"Average",P222&gt;=4,"Good")</f>
        <v>Good</v>
      </c>
      <c r="P222" s="3">
        <v>5</v>
      </c>
      <c r="Q222" s="2">
        <v>1</v>
      </c>
      <c r="R222" s="4" t="s">
        <v>72</v>
      </c>
      <c r="S222" s="4" t="s">
        <v>58</v>
      </c>
      <c r="T222" s="3">
        <v>0</v>
      </c>
      <c r="U222" s="4" t="str" cm="1">
        <f t="array" ref="U222">_xlfn.IFS(V222&lt;=4, "Dissatisfied",V222&lt;=7,"Neutral",V222&gt;=8,"Satisfied")</f>
        <v>Dissatisfied</v>
      </c>
      <c r="V222" s="3">
        <v>1</v>
      </c>
      <c r="W222" s="4" t="s">
        <v>59</v>
      </c>
      <c r="X222" s="4" t="s">
        <v>74</v>
      </c>
      <c r="Y222" s="4" t="s">
        <v>75</v>
      </c>
      <c r="Z222" s="1">
        <v>45378</v>
      </c>
      <c r="AA222" s="4" t="str" cm="1">
        <f t="array" ref="AA222">_xlfn.IFS(OR(AB222="December", AB222="February", AB222="January"), "Winter", OR(AB222="March", AB222="April", AB222="May"), "Spring", OR(AB222="June", AB222="July", AB222="August"), "Summer", TRUE, "Autumn")</f>
        <v>Spring</v>
      </c>
      <c r="AB222" s="7" t="str">
        <f>TEXT(Z222, "mmmm")</f>
        <v>March</v>
      </c>
      <c r="AC222" s="1" t="str">
        <f>TEXT(Z222, "dddd")</f>
        <v>Wednesday</v>
      </c>
      <c r="AD222" s="4" t="s">
        <v>76</v>
      </c>
      <c r="AE222" s="4" t="s">
        <v>76</v>
      </c>
      <c r="AF222" s="4" t="s">
        <v>63</v>
      </c>
      <c r="AG222" s="4" t="s">
        <v>88</v>
      </c>
      <c r="AH222" s="3">
        <v>10</v>
      </c>
    </row>
    <row r="223" spans="1:34">
      <c r="A223" s="4" t="s">
        <v>553</v>
      </c>
      <c r="B223" s="3">
        <v>24</v>
      </c>
      <c r="C223" s="9" t="str" cm="1">
        <f t="array" ref="C223">_xlfn.IFS(B223&gt;65,"+65",B223&gt;54,"55-65",B223&gt;44,"45-54",B223&gt;35,"36-44",B223&gt;25,"26-35",B223&gt;=18,"18-25")</f>
        <v>18-25</v>
      </c>
      <c r="D223" s="4" t="s">
        <v>66</v>
      </c>
      <c r="E223" s="4" t="s">
        <v>72</v>
      </c>
      <c r="F223" s="4" t="s">
        <v>52</v>
      </c>
      <c r="G223" s="4" t="s">
        <v>80</v>
      </c>
      <c r="H223" s="4" t="s">
        <v>554</v>
      </c>
      <c r="I223" s="4" t="s">
        <v>275</v>
      </c>
      <c r="J223" s="5">
        <v>419.53</v>
      </c>
      <c r="K223" s="3">
        <v>3</v>
      </c>
      <c r="L223" s="4" t="str">
        <f>IF(AND(J223&gt;350,K223&gt;6), "True","False")</f>
        <v>False</v>
      </c>
      <c r="M223" s="4" t="s">
        <v>83</v>
      </c>
      <c r="N223" s="3">
        <v>1</v>
      </c>
      <c r="O223" s="4" t="str" cm="1">
        <f t="array" ref="O223">_xlfn.IFS(P223&lt;=2,"Poor",P223=3,"Average",P223&gt;=4,"Good")</f>
        <v>Good</v>
      </c>
      <c r="P223" s="3">
        <v>5</v>
      </c>
      <c r="Q223" s="2">
        <v>2</v>
      </c>
      <c r="R223" s="4" t="s">
        <v>72</v>
      </c>
      <c r="S223" s="4" t="s">
        <v>58</v>
      </c>
      <c r="T223" s="3">
        <v>2</v>
      </c>
      <c r="U223" s="4" t="str" cm="1">
        <f t="array" ref="U223">_xlfn.IFS(V223&lt;=4, "Dissatisfied",V223&lt;=7,"Neutral",V223&gt;=8,"Satisfied")</f>
        <v>Satisfied</v>
      </c>
      <c r="V223" s="3">
        <v>10</v>
      </c>
      <c r="W223" s="4" t="s">
        <v>85</v>
      </c>
      <c r="X223" s="4" t="s">
        <v>74</v>
      </c>
      <c r="Y223" s="4" t="s">
        <v>111</v>
      </c>
      <c r="Z223" s="1">
        <v>45378</v>
      </c>
      <c r="AA223" s="4" t="str" cm="1">
        <f t="array" ref="AA223">_xlfn.IFS(OR(AB223="December", AB223="February", AB223="January"), "Winter", OR(AB223="March", AB223="April", AB223="May"), "Spring", OR(AB223="June", AB223="July", AB223="August"), "Summer", TRUE, "Autumn")</f>
        <v>Spring</v>
      </c>
      <c r="AB223" s="7" t="str">
        <f>TEXT(Z223, "mmmm")</f>
        <v>March</v>
      </c>
      <c r="AC223" s="1" t="str">
        <f>TEXT(Z223, "dddd")</f>
        <v>Wednesday</v>
      </c>
      <c r="AD223" s="4" t="s">
        <v>76</v>
      </c>
      <c r="AE223" s="4" t="s">
        <v>76</v>
      </c>
      <c r="AF223" s="4" t="s">
        <v>102</v>
      </c>
      <c r="AG223" s="4" t="s">
        <v>93</v>
      </c>
      <c r="AH223" s="3">
        <v>6</v>
      </c>
    </row>
    <row r="224" spans="1:34">
      <c r="A224" s="4" t="s">
        <v>555</v>
      </c>
      <c r="B224" s="3">
        <v>50</v>
      </c>
      <c r="C224" s="9" t="str" cm="1">
        <f t="array" ref="C224">_xlfn.IFS(B224&gt;65,"+65",B224&gt;54,"55-65",B224&gt;44,"45-54",B224&gt;35,"36-44",B224&gt;25,"26-35",B224&gt;=18,"18-25")</f>
        <v>45-54</v>
      </c>
      <c r="D224" s="4" t="s">
        <v>78</v>
      </c>
      <c r="E224" s="4" t="s">
        <v>72</v>
      </c>
      <c r="F224" s="4" t="s">
        <v>52</v>
      </c>
      <c r="G224" s="4" t="s">
        <v>80</v>
      </c>
      <c r="H224" s="4" t="s">
        <v>556</v>
      </c>
      <c r="I224" s="4" t="s">
        <v>82</v>
      </c>
      <c r="J224" s="5">
        <v>69.78</v>
      </c>
      <c r="K224" s="3">
        <v>9</v>
      </c>
      <c r="L224" s="4" t="str">
        <f>IF(AND(J224&gt;350,K224&gt;6), "True","False")</f>
        <v>False</v>
      </c>
      <c r="M224" s="4" t="s">
        <v>83</v>
      </c>
      <c r="N224" s="3">
        <v>4</v>
      </c>
      <c r="O224" s="4" t="str" cm="1">
        <f t="array" ref="O224">_xlfn.IFS(P224&lt;=2,"Poor",P224=3,"Average",P224&gt;=4,"Good")</f>
        <v>Average</v>
      </c>
      <c r="P224" s="3">
        <v>3</v>
      </c>
      <c r="Q224" s="2">
        <v>2</v>
      </c>
      <c r="R224" s="4" t="s">
        <v>59</v>
      </c>
      <c r="S224" s="4" t="s">
        <v>73</v>
      </c>
      <c r="T224" s="3">
        <v>0</v>
      </c>
      <c r="U224" s="4" t="str" cm="1">
        <f t="array" ref="U224">_xlfn.IFS(V224&lt;=4, "Dissatisfied",V224&lt;=7,"Neutral",V224&gt;=8,"Satisfied")</f>
        <v>Neutral</v>
      </c>
      <c r="V224" s="3">
        <v>6</v>
      </c>
      <c r="W224" s="4" t="s">
        <v>59</v>
      </c>
      <c r="X224" s="4" t="s">
        <v>74</v>
      </c>
      <c r="Y224" s="4" t="s">
        <v>61</v>
      </c>
      <c r="Z224" s="1">
        <v>45379</v>
      </c>
      <c r="AA224" s="4" t="str" cm="1">
        <f t="array" ref="AA224">_xlfn.IFS(OR(AB224="December", AB224="February", AB224="January"), "Winter", OR(AB224="March", AB224="April", AB224="May"), "Spring", OR(AB224="June", AB224="July", AB224="August"), "Summer", TRUE, "Autumn")</f>
        <v>Spring</v>
      </c>
      <c r="AB224" s="7" t="str">
        <f>TEXT(Z224, "mmmm")</f>
        <v>March</v>
      </c>
      <c r="AC224" s="1" t="str">
        <f>TEXT(Z224, "dddd")</f>
        <v>Thursday</v>
      </c>
      <c r="AD224" s="4" t="s">
        <v>62</v>
      </c>
      <c r="AE224" s="4" t="s">
        <v>76</v>
      </c>
      <c r="AF224" s="4" t="s">
        <v>102</v>
      </c>
      <c r="AG224" s="4" t="s">
        <v>88</v>
      </c>
      <c r="AH224" s="3">
        <v>9</v>
      </c>
    </row>
    <row r="225" spans="1:34">
      <c r="A225" s="4" t="s">
        <v>557</v>
      </c>
      <c r="B225" s="3">
        <v>35</v>
      </c>
      <c r="C225" s="9" t="str" cm="1">
        <f t="array" ref="C225">_xlfn.IFS(B225&gt;65,"+65",B225&gt;54,"55-65",B225&gt;44,"45-54",B225&gt;35,"36-44",B225&gt;25,"26-35",B225&gt;=18,"18-25")</f>
        <v>26-35</v>
      </c>
      <c r="D225" s="4" t="s">
        <v>66</v>
      </c>
      <c r="E225" s="4" t="s">
        <v>51</v>
      </c>
      <c r="F225" s="4" t="s">
        <v>95</v>
      </c>
      <c r="G225" s="4" t="s">
        <v>53</v>
      </c>
      <c r="H225" s="4" t="s">
        <v>558</v>
      </c>
      <c r="I225" s="4" t="s">
        <v>97</v>
      </c>
      <c r="J225" s="5">
        <v>207.11</v>
      </c>
      <c r="K225" s="3">
        <v>4</v>
      </c>
      <c r="L225" s="4" t="str">
        <f>IF(AND(J225&gt;350,K225&gt;6), "True","False")</f>
        <v>False</v>
      </c>
      <c r="M225" s="4" t="s">
        <v>83</v>
      </c>
      <c r="N225" s="3">
        <v>1</v>
      </c>
      <c r="O225" s="4" t="str" cm="1">
        <f t="array" ref="O225">_xlfn.IFS(P225&lt;=2,"Poor",P225=3,"Average",P225&gt;=4,"Good")</f>
        <v>Good</v>
      </c>
      <c r="P225" s="3">
        <v>4</v>
      </c>
      <c r="Q225" s="2">
        <v>2</v>
      </c>
      <c r="R225" s="4" t="s">
        <v>72</v>
      </c>
      <c r="S225" s="4" t="s">
        <v>58</v>
      </c>
      <c r="T225" s="3">
        <v>0</v>
      </c>
      <c r="U225" s="4" t="str" cm="1">
        <f t="array" ref="U225">_xlfn.IFS(V225&lt;=4, "Dissatisfied",V225&lt;=7,"Neutral",V225&gt;=8,"Satisfied")</f>
        <v>Dissatisfied</v>
      </c>
      <c r="V225" s="3">
        <v>1</v>
      </c>
      <c r="W225" s="4" t="s">
        <v>59</v>
      </c>
      <c r="X225" s="4" t="s">
        <v>74</v>
      </c>
      <c r="Y225" s="4" t="s">
        <v>111</v>
      </c>
      <c r="Z225" s="1">
        <v>45379</v>
      </c>
      <c r="AA225" s="4" t="str" cm="1">
        <f t="array" ref="AA225">_xlfn.IFS(OR(AB225="December", AB225="February", AB225="January"), "Winter", OR(AB225="March", AB225="April", AB225="May"), "Spring", OR(AB225="June", AB225="July", AB225="August"), "Summer", TRUE, "Autumn")</f>
        <v>Spring</v>
      </c>
      <c r="AB225" s="7" t="str">
        <f>TEXT(Z225, "mmmm")</f>
        <v>March</v>
      </c>
      <c r="AC225" s="1" t="str">
        <f>TEXT(Z225, "dddd")</f>
        <v>Thursday</v>
      </c>
      <c r="AD225" s="4" t="s">
        <v>62</v>
      </c>
      <c r="AE225" s="4" t="s">
        <v>76</v>
      </c>
      <c r="AF225" s="4" t="s">
        <v>63</v>
      </c>
      <c r="AG225" s="4" t="s">
        <v>88</v>
      </c>
      <c r="AH225" s="3">
        <v>2</v>
      </c>
    </row>
    <row r="226" spans="1:34">
      <c r="A226" s="4" t="s">
        <v>559</v>
      </c>
      <c r="B226" s="3">
        <v>23</v>
      </c>
      <c r="C226" s="9" t="str" cm="1">
        <f t="array" ref="C226">_xlfn.IFS(B226&gt;65,"+65",B226&gt;54,"55-65",B226&gt;44,"45-54",B226&gt;35,"36-44",B226&gt;25,"26-35",B226&gt;=18,"18-25")</f>
        <v>18-25</v>
      </c>
      <c r="D226" s="4" t="s">
        <v>66</v>
      </c>
      <c r="E226" s="4" t="s">
        <v>51</v>
      </c>
      <c r="F226" s="4" t="s">
        <v>67</v>
      </c>
      <c r="G226" s="4" t="s">
        <v>80</v>
      </c>
      <c r="H226" s="4" t="s">
        <v>560</v>
      </c>
      <c r="I226" s="4" t="s">
        <v>169</v>
      </c>
      <c r="J226" s="5">
        <v>216.84</v>
      </c>
      <c r="K226" s="3">
        <v>5</v>
      </c>
      <c r="L226" s="4" t="str">
        <f>IF(AND(J226&gt;350,K226&gt;6), "True","False")</f>
        <v>False</v>
      </c>
      <c r="M226" s="4" t="s">
        <v>71</v>
      </c>
      <c r="N226" s="3">
        <v>4</v>
      </c>
      <c r="O226" s="4" t="str" cm="1">
        <f t="array" ref="O226">_xlfn.IFS(P226&lt;=2,"Poor",P226=3,"Average",P226&gt;=4,"Good")</f>
        <v>Average</v>
      </c>
      <c r="P226" s="3">
        <v>3</v>
      </c>
      <c r="Q226" s="2">
        <v>1</v>
      </c>
      <c r="R226" s="4" t="s">
        <v>59</v>
      </c>
      <c r="S226" s="4" t="s">
        <v>84</v>
      </c>
      <c r="T226" s="3">
        <v>1</v>
      </c>
      <c r="U226" s="4" t="str" cm="1">
        <f t="array" ref="U226">_xlfn.IFS(V226&lt;=4, "Dissatisfied",V226&lt;=7,"Neutral",V226&gt;=8,"Satisfied")</f>
        <v>Dissatisfied</v>
      </c>
      <c r="V226" s="3">
        <v>1</v>
      </c>
      <c r="W226" s="4" t="s">
        <v>59</v>
      </c>
      <c r="X226" s="4" t="s">
        <v>74</v>
      </c>
      <c r="Y226" s="4" t="s">
        <v>86</v>
      </c>
      <c r="Z226" s="1">
        <v>45379</v>
      </c>
      <c r="AA226" s="4" t="str" cm="1">
        <f t="array" ref="AA226">_xlfn.IFS(OR(AB226="December", AB226="February", AB226="January"), "Winter", OR(AB226="March", AB226="April", AB226="May"), "Spring", OR(AB226="June", AB226="July", AB226="August"), "Summer", TRUE, "Autumn")</f>
        <v>Spring</v>
      </c>
      <c r="AB226" s="7" t="str">
        <f>TEXT(Z226, "mmmm")</f>
        <v>March</v>
      </c>
      <c r="AC226" s="1" t="str">
        <f>TEXT(Z226, "dddd")</f>
        <v>Thursday</v>
      </c>
      <c r="AD226" s="4" t="s">
        <v>76</v>
      </c>
      <c r="AE226" s="4" t="s">
        <v>76</v>
      </c>
      <c r="AF226" s="4" t="s">
        <v>87</v>
      </c>
      <c r="AG226" s="4" t="s">
        <v>93</v>
      </c>
      <c r="AH226" s="3">
        <v>5</v>
      </c>
    </row>
    <row r="227" spans="1:34">
      <c r="A227" s="4" t="s">
        <v>561</v>
      </c>
      <c r="B227" s="3">
        <v>21</v>
      </c>
      <c r="C227" s="9" t="str" cm="1">
        <f t="array" ref="C227">_xlfn.IFS(B227&gt;65,"+65",B227&gt;54,"55-65",B227&gt;44,"45-54",B227&gt;35,"36-44",B227&gt;25,"26-35",B227&gt;=18,"18-25")</f>
        <v>18-25</v>
      </c>
      <c r="D227" s="4" t="s">
        <v>456</v>
      </c>
      <c r="E227" s="4" t="s">
        <v>72</v>
      </c>
      <c r="F227" s="4" t="s">
        <v>52</v>
      </c>
      <c r="G227" s="4" t="s">
        <v>80</v>
      </c>
      <c r="H227" s="4" t="s">
        <v>562</v>
      </c>
      <c r="I227" s="4" t="s">
        <v>169</v>
      </c>
      <c r="J227" s="5">
        <v>305.54000000000002</v>
      </c>
      <c r="K227" s="3">
        <v>6</v>
      </c>
      <c r="L227" s="4" t="str">
        <f>IF(AND(J227&gt;350,K227&gt;6), "True","False")</f>
        <v>False</v>
      </c>
      <c r="M227" s="4" t="s">
        <v>71</v>
      </c>
      <c r="N227" s="3">
        <v>3</v>
      </c>
      <c r="O227" s="4" t="str" cm="1">
        <f t="array" ref="O227">_xlfn.IFS(P227&lt;=2,"Poor",P227=3,"Average",P227&gt;=4,"Good")</f>
        <v>Good</v>
      </c>
      <c r="P227" s="3">
        <v>5</v>
      </c>
      <c r="Q227" s="2">
        <v>0</v>
      </c>
      <c r="R227" s="4" t="s">
        <v>85</v>
      </c>
      <c r="S227" s="4" t="s">
        <v>84</v>
      </c>
      <c r="T227" s="3">
        <v>0</v>
      </c>
      <c r="U227" s="4" t="str" cm="1">
        <f t="array" ref="U227">_xlfn.IFS(V227&lt;=4, "Dissatisfied",V227&lt;=7,"Neutral",V227&gt;=8,"Satisfied")</f>
        <v>Neutral</v>
      </c>
      <c r="V227" s="3">
        <v>5</v>
      </c>
      <c r="W227" s="4" t="s">
        <v>85</v>
      </c>
      <c r="X227" s="4" t="s">
        <v>60</v>
      </c>
      <c r="Y227" s="4" t="s">
        <v>111</v>
      </c>
      <c r="Z227" s="1">
        <v>45379</v>
      </c>
      <c r="AA227" s="4" t="str" cm="1">
        <f t="array" ref="AA227">_xlfn.IFS(OR(AB227="December", AB227="February", AB227="January"), "Winter", OR(AB227="March", AB227="April", AB227="May"), "Spring", OR(AB227="June", AB227="July", AB227="August"), "Summer", TRUE, "Autumn")</f>
        <v>Spring</v>
      </c>
      <c r="AB227" s="7" t="str">
        <f>TEXT(Z227, "mmmm")</f>
        <v>March</v>
      </c>
      <c r="AC227" s="1" t="str">
        <f>TEXT(Z227, "dddd")</f>
        <v>Thursday</v>
      </c>
      <c r="AD227" s="4" t="s">
        <v>62</v>
      </c>
      <c r="AE227" s="4" t="s">
        <v>76</v>
      </c>
      <c r="AF227" s="4" t="s">
        <v>102</v>
      </c>
      <c r="AG227" s="4" t="s">
        <v>88</v>
      </c>
      <c r="AH227" s="3">
        <v>7</v>
      </c>
    </row>
    <row r="228" spans="1:34">
      <c r="A228" s="4" t="s">
        <v>563</v>
      </c>
      <c r="B228" s="3">
        <v>19</v>
      </c>
      <c r="C228" s="9" t="str" cm="1">
        <f t="array" ref="C228">_xlfn.IFS(B228&gt;65,"+65",B228&gt;54,"55-65",B228&gt;44,"45-54",B228&gt;35,"36-44",B228&gt;25,"26-35",B228&gt;=18,"18-25")</f>
        <v>18-25</v>
      </c>
      <c r="D228" s="4" t="s">
        <v>78</v>
      </c>
      <c r="E228" s="4" t="s">
        <v>51</v>
      </c>
      <c r="F228" s="4" t="s">
        <v>67</v>
      </c>
      <c r="G228" s="4" t="s">
        <v>53</v>
      </c>
      <c r="H228" s="4" t="s">
        <v>564</v>
      </c>
      <c r="I228" s="4" t="s">
        <v>100</v>
      </c>
      <c r="J228" s="5">
        <v>194.93</v>
      </c>
      <c r="K228" s="3">
        <v>9</v>
      </c>
      <c r="L228" s="4" t="str">
        <f>IF(AND(J228&gt;350,K228&gt;6), "True","False")</f>
        <v>False</v>
      </c>
      <c r="M228" s="4" t="s">
        <v>56</v>
      </c>
      <c r="N228" s="3">
        <v>4</v>
      </c>
      <c r="O228" s="4" t="str" cm="1">
        <f t="array" ref="O228">_xlfn.IFS(P228&lt;=2,"Poor",P228=3,"Average",P228&gt;=4,"Good")</f>
        <v>Good</v>
      </c>
      <c r="P228" s="3">
        <v>4</v>
      </c>
      <c r="Q228" s="2">
        <v>1</v>
      </c>
      <c r="R228" s="4" t="s">
        <v>72</v>
      </c>
      <c r="S228" s="4" t="s">
        <v>84</v>
      </c>
      <c r="T228" s="3">
        <v>0</v>
      </c>
      <c r="U228" s="4" t="str" cm="1">
        <f t="array" ref="U228">_xlfn.IFS(V228&lt;=4, "Dissatisfied",V228&lt;=7,"Neutral",V228&gt;=8,"Satisfied")</f>
        <v>Dissatisfied</v>
      </c>
      <c r="V228" s="3">
        <v>4</v>
      </c>
      <c r="W228" s="4" t="s">
        <v>57</v>
      </c>
      <c r="X228" s="4" t="s">
        <v>74</v>
      </c>
      <c r="Y228" s="4" t="s">
        <v>111</v>
      </c>
      <c r="Z228" s="1">
        <v>45379</v>
      </c>
      <c r="AA228" s="4" t="str" cm="1">
        <f t="array" ref="AA228">_xlfn.IFS(OR(AB228="December", AB228="February", AB228="January"), "Winter", OR(AB228="March", AB228="April", AB228="May"), "Spring", OR(AB228="June", AB228="July", AB228="August"), "Summer", TRUE, "Autumn")</f>
        <v>Spring</v>
      </c>
      <c r="AB228" s="7" t="str">
        <f>TEXT(Z228, "mmmm")</f>
        <v>March</v>
      </c>
      <c r="AC228" s="1" t="str">
        <f>TEXT(Z228, "dddd")</f>
        <v>Thursday</v>
      </c>
      <c r="AD228" s="4" t="s">
        <v>62</v>
      </c>
      <c r="AE228" s="4" t="s">
        <v>62</v>
      </c>
      <c r="AF228" s="4" t="s">
        <v>92</v>
      </c>
      <c r="AG228" s="4" t="s">
        <v>88</v>
      </c>
      <c r="AH228" s="3">
        <v>5</v>
      </c>
    </row>
    <row r="229" spans="1:34">
      <c r="A229" s="4" t="s">
        <v>565</v>
      </c>
      <c r="B229" s="3">
        <v>49</v>
      </c>
      <c r="C229" s="9" t="str" cm="1">
        <f t="array" ref="C229">_xlfn.IFS(B229&gt;65,"+65",B229&gt;54,"55-65",B229&gt;44,"45-54",B229&gt;35,"36-44",B229&gt;25,"26-35",B229&gt;=18,"18-25")</f>
        <v>45-54</v>
      </c>
      <c r="D229" s="4" t="s">
        <v>78</v>
      </c>
      <c r="E229" s="4" t="s">
        <v>72</v>
      </c>
      <c r="F229" s="4" t="s">
        <v>95</v>
      </c>
      <c r="G229" s="4" t="s">
        <v>68</v>
      </c>
      <c r="H229" s="4" t="s">
        <v>566</v>
      </c>
      <c r="I229" s="4" t="s">
        <v>91</v>
      </c>
      <c r="J229" s="5">
        <v>235.13</v>
      </c>
      <c r="K229" s="3">
        <v>10</v>
      </c>
      <c r="L229" s="4" t="str">
        <f>IF(AND(J229&gt;350,K229&gt;6), "True","False")</f>
        <v>False</v>
      </c>
      <c r="M229" s="4" t="s">
        <v>56</v>
      </c>
      <c r="N229" s="3">
        <v>5</v>
      </c>
      <c r="O229" s="4" t="str" cm="1">
        <f t="array" ref="O229">_xlfn.IFS(P229&lt;=2,"Poor",P229=3,"Average",P229&gt;=4,"Good")</f>
        <v>Good</v>
      </c>
      <c r="P229" s="3">
        <v>4</v>
      </c>
      <c r="Q229" s="2">
        <v>1</v>
      </c>
      <c r="R229" s="4" t="s">
        <v>85</v>
      </c>
      <c r="S229" s="4" t="s">
        <v>73</v>
      </c>
      <c r="T229" s="3">
        <v>2</v>
      </c>
      <c r="U229" s="4" t="str" cm="1">
        <f t="array" ref="U229">_xlfn.IFS(V229&lt;=4, "Dissatisfied",V229&lt;=7,"Neutral",V229&gt;=8,"Satisfied")</f>
        <v>Dissatisfied</v>
      </c>
      <c r="V229" s="3">
        <v>3</v>
      </c>
      <c r="W229" s="4" t="s">
        <v>57</v>
      </c>
      <c r="X229" s="4" t="s">
        <v>60</v>
      </c>
      <c r="Y229" s="4" t="s">
        <v>111</v>
      </c>
      <c r="Z229" s="1">
        <v>45380</v>
      </c>
      <c r="AA229" s="4" t="str" cm="1">
        <f t="array" ref="AA229">_xlfn.IFS(OR(AB229="December", AB229="February", AB229="January"), "Winter", OR(AB229="March", AB229="April", AB229="May"), "Spring", OR(AB229="June", AB229="July", AB229="August"), "Summer", TRUE, "Autumn")</f>
        <v>Spring</v>
      </c>
      <c r="AB229" s="7" t="str">
        <f>TEXT(Z229, "mmmm")</f>
        <v>March</v>
      </c>
      <c r="AC229" s="1" t="str">
        <f>TEXT(Z229, "dddd")</f>
        <v>Friday</v>
      </c>
      <c r="AD229" s="4" t="s">
        <v>62</v>
      </c>
      <c r="AE229" s="4" t="s">
        <v>76</v>
      </c>
      <c r="AF229" s="4" t="s">
        <v>87</v>
      </c>
      <c r="AG229" s="4" t="s">
        <v>88</v>
      </c>
      <c r="AH229" s="3">
        <v>6</v>
      </c>
    </row>
    <row r="230" spans="1:34">
      <c r="A230" s="4" t="s">
        <v>567</v>
      </c>
      <c r="B230" s="3">
        <v>46</v>
      </c>
      <c r="C230" s="9" t="str" cm="1">
        <f t="array" ref="C230">_xlfn.IFS(B230&gt;65,"+65",B230&gt;54,"55-65",B230&gt;44,"45-54",B230&gt;35,"36-44",B230&gt;25,"26-35",B230&gt;=18,"18-25")</f>
        <v>45-54</v>
      </c>
      <c r="D230" s="4" t="s">
        <v>78</v>
      </c>
      <c r="E230" s="4" t="s">
        <v>51</v>
      </c>
      <c r="F230" s="4" t="s">
        <v>67</v>
      </c>
      <c r="G230" s="4" t="s">
        <v>53</v>
      </c>
      <c r="H230" s="4" t="s">
        <v>568</v>
      </c>
      <c r="I230" s="4" t="s">
        <v>146</v>
      </c>
      <c r="J230" s="5">
        <v>113.88</v>
      </c>
      <c r="K230" s="3">
        <v>2</v>
      </c>
      <c r="L230" s="4" t="str">
        <f>IF(AND(J230&gt;350,K230&gt;6), "True","False")</f>
        <v>False</v>
      </c>
      <c r="M230" s="4" t="s">
        <v>56</v>
      </c>
      <c r="N230" s="3">
        <v>5</v>
      </c>
      <c r="O230" s="4" t="str" cm="1">
        <f t="array" ref="O230">_xlfn.IFS(P230&lt;=2,"Poor",P230=3,"Average",P230&gt;=4,"Good")</f>
        <v>Poor</v>
      </c>
      <c r="P230" s="3">
        <v>2</v>
      </c>
      <c r="Q230" s="2">
        <v>2</v>
      </c>
      <c r="R230" s="4" t="s">
        <v>85</v>
      </c>
      <c r="S230" s="4" t="s">
        <v>58</v>
      </c>
      <c r="T230" s="3">
        <v>2</v>
      </c>
      <c r="U230" s="4" t="str" cm="1">
        <f t="array" ref="U230">_xlfn.IFS(V230&lt;=4, "Dissatisfied",V230&lt;=7,"Neutral",V230&gt;=8,"Satisfied")</f>
        <v>Dissatisfied</v>
      </c>
      <c r="V230" s="3">
        <v>4</v>
      </c>
      <c r="W230" s="4" t="s">
        <v>72</v>
      </c>
      <c r="X230" s="4" t="s">
        <v>74</v>
      </c>
      <c r="Y230" s="4" t="s">
        <v>86</v>
      </c>
      <c r="Z230" s="1">
        <v>45380</v>
      </c>
      <c r="AA230" s="4" t="str" cm="1">
        <f t="array" ref="AA230">_xlfn.IFS(OR(AB230="December", AB230="February", AB230="January"), "Winter", OR(AB230="March", AB230="April", AB230="May"), "Spring", OR(AB230="June", AB230="July", AB230="August"), "Summer", TRUE, "Autumn")</f>
        <v>Spring</v>
      </c>
      <c r="AB230" s="7" t="str">
        <f>TEXT(Z230, "mmmm")</f>
        <v>March</v>
      </c>
      <c r="AC230" s="1" t="str">
        <f>TEXT(Z230, "dddd")</f>
        <v>Friday</v>
      </c>
      <c r="AD230" s="4" t="s">
        <v>76</v>
      </c>
      <c r="AE230" s="4" t="s">
        <v>76</v>
      </c>
      <c r="AF230" s="4" t="s">
        <v>102</v>
      </c>
      <c r="AG230" s="4" t="s">
        <v>93</v>
      </c>
      <c r="AH230" s="3">
        <v>9</v>
      </c>
    </row>
    <row r="231" spans="1:34">
      <c r="A231" s="4" t="s">
        <v>569</v>
      </c>
      <c r="B231" s="3">
        <v>42</v>
      </c>
      <c r="C231" s="9" t="str" cm="1">
        <f t="array" ref="C231">_xlfn.IFS(B231&gt;65,"+65",B231&gt;54,"55-65",B231&gt;44,"45-54",B231&gt;35,"36-44",B231&gt;25,"26-35",B231&gt;=18,"18-25")</f>
        <v>36-44</v>
      </c>
      <c r="D231" s="4" t="s">
        <v>188</v>
      </c>
      <c r="E231" s="4" t="s">
        <v>72</v>
      </c>
      <c r="F231" s="4" t="s">
        <v>67</v>
      </c>
      <c r="G231" s="4" t="s">
        <v>80</v>
      </c>
      <c r="H231" s="4" t="s">
        <v>570</v>
      </c>
      <c r="I231" s="4" t="s">
        <v>156</v>
      </c>
      <c r="J231" s="5">
        <v>427.94</v>
      </c>
      <c r="K231" s="3">
        <v>12</v>
      </c>
      <c r="L231" s="4" t="str">
        <f>IF(AND(J231&gt;350,K231&gt;6), "True","False")</f>
        <v>True</v>
      </c>
      <c r="M231" s="4" t="s">
        <v>83</v>
      </c>
      <c r="N231" s="3">
        <v>5</v>
      </c>
      <c r="O231" s="4" t="str" cm="1">
        <f t="array" ref="O231">_xlfn.IFS(P231&lt;=2,"Poor",P231=3,"Average",P231&gt;=4,"Good")</f>
        <v>Good</v>
      </c>
      <c r="P231" s="3">
        <v>4</v>
      </c>
      <c r="Q231" s="2">
        <v>1.3</v>
      </c>
      <c r="R231" s="4" t="s">
        <v>72</v>
      </c>
      <c r="S231" s="4" t="s">
        <v>58</v>
      </c>
      <c r="T231" s="3">
        <v>1</v>
      </c>
      <c r="U231" s="4" t="str" cm="1">
        <f t="array" ref="U231">_xlfn.IFS(V231&lt;=4, "Dissatisfied",V231&lt;=7,"Neutral",V231&gt;=8,"Satisfied")</f>
        <v>Dissatisfied</v>
      </c>
      <c r="V231" s="3">
        <v>2</v>
      </c>
      <c r="W231" s="4" t="s">
        <v>57</v>
      </c>
      <c r="X231" s="4" t="s">
        <v>60</v>
      </c>
      <c r="Y231" s="4" t="s">
        <v>111</v>
      </c>
      <c r="Z231" s="1">
        <v>45380</v>
      </c>
      <c r="AA231" s="4" t="str" cm="1">
        <f t="array" ref="AA231">_xlfn.IFS(OR(AB231="December", AB231="February", AB231="January"), "Winter", OR(AB231="March", AB231="April", AB231="May"), "Spring", OR(AB231="June", AB231="July", AB231="August"), "Summer", TRUE, "Autumn")</f>
        <v>Spring</v>
      </c>
      <c r="AB231" s="7" t="str">
        <f>TEXT(Z231, "mmmm")</f>
        <v>March</v>
      </c>
      <c r="AC231" s="1" t="str">
        <f>TEXT(Z231, "dddd")</f>
        <v>Friday</v>
      </c>
      <c r="AD231" s="4" t="s">
        <v>76</v>
      </c>
      <c r="AE231" s="4" t="s">
        <v>76</v>
      </c>
      <c r="AF231" s="4" t="s">
        <v>92</v>
      </c>
      <c r="AG231" s="4" t="s">
        <v>88</v>
      </c>
      <c r="AH231" s="3">
        <v>10</v>
      </c>
    </row>
    <row r="232" spans="1:34">
      <c r="A232" s="4" t="s">
        <v>571</v>
      </c>
      <c r="B232" s="3">
        <v>21</v>
      </c>
      <c r="C232" s="9" t="str" cm="1">
        <f t="array" ref="C232">_xlfn.IFS(B232&gt;65,"+65",B232&gt;54,"55-65",B232&gt;44,"45-54",B232&gt;35,"36-44",B232&gt;25,"26-35",B232&gt;=18,"18-25")</f>
        <v>18-25</v>
      </c>
      <c r="D232" s="4" t="s">
        <v>78</v>
      </c>
      <c r="E232" s="4" t="s">
        <v>72</v>
      </c>
      <c r="F232" s="4" t="s">
        <v>79</v>
      </c>
      <c r="G232" s="4" t="s">
        <v>53</v>
      </c>
      <c r="H232" s="4" t="s">
        <v>572</v>
      </c>
      <c r="I232" s="4" t="s">
        <v>151</v>
      </c>
      <c r="J232" s="5">
        <v>106.15</v>
      </c>
      <c r="K232" s="3">
        <v>12</v>
      </c>
      <c r="L232" s="4" t="str">
        <f>IF(AND(J232&gt;350,K232&gt;6), "True","False")</f>
        <v>False</v>
      </c>
      <c r="M232" s="4" t="s">
        <v>71</v>
      </c>
      <c r="N232" s="3">
        <v>4</v>
      </c>
      <c r="O232" s="4" t="str" cm="1">
        <f t="array" ref="O232">_xlfn.IFS(P232&lt;=2,"Poor",P232=3,"Average",P232&gt;=4,"Good")</f>
        <v>Good</v>
      </c>
      <c r="P232" s="3">
        <v>4</v>
      </c>
      <c r="Q232" s="2">
        <v>0.3</v>
      </c>
      <c r="R232" s="4" t="s">
        <v>59</v>
      </c>
      <c r="S232" s="4" t="s">
        <v>84</v>
      </c>
      <c r="T232" s="3">
        <v>0</v>
      </c>
      <c r="U232" s="4" t="str" cm="1">
        <f t="array" ref="U232">_xlfn.IFS(V232&lt;=4, "Dissatisfied",V232&lt;=7,"Neutral",V232&gt;=8,"Satisfied")</f>
        <v>Neutral</v>
      </c>
      <c r="V232" s="3">
        <v>5</v>
      </c>
      <c r="W232" s="4" t="s">
        <v>85</v>
      </c>
      <c r="X232" s="4" t="s">
        <v>101</v>
      </c>
      <c r="Y232" s="4" t="s">
        <v>61</v>
      </c>
      <c r="Z232" s="1">
        <v>45381</v>
      </c>
      <c r="AA232" s="4" t="str" cm="1">
        <f t="array" ref="AA232">_xlfn.IFS(OR(AB232="December", AB232="February", AB232="January"), "Winter", OR(AB232="March", AB232="April", AB232="May"), "Spring", OR(AB232="June", AB232="July", AB232="August"), "Summer", TRUE, "Autumn")</f>
        <v>Spring</v>
      </c>
      <c r="AB232" s="7" t="str">
        <f>TEXT(Z232, "mmmm")</f>
        <v>March</v>
      </c>
      <c r="AC232" s="1" t="str">
        <f>TEXT(Z232, "dddd")</f>
        <v>Saturday</v>
      </c>
      <c r="AD232" s="4" t="s">
        <v>62</v>
      </c>
      <c r="AE232" s="4" t="s">
        <v>62</v>
      </c>
      <c r="AF232" s="4" t="s">
        <v>92</v>
      </c>
      <c r="AG232" s="4" t="s">
        <v>64</v>
      </c>
      <c r="AH232" s="3">
        <v>8</v>
      </c>
    </row>
    <row r="233" spans="1:34">
      <c r="A233" s="4" t="s">
        <v>573</v>
      </c>
      <c r="B233" s="3">
        <v>40</v>
      </c>
      <c r="C233" s="9" t="str" cm="1">
        <f t="array" ref="C233">_xlfn.IFS(B233&gt;65,"+65",B233&gt;54,"55-65",B233&gt;44,"45-54",B233&gt;35,"36-44",B233&gt;25,"26-35",B233&gt;=18,"18-25")</f>
        <v>36-44</v>
      </c>
      <c r="D233" s="4" t="s">
        <v>78</v>
      </c>
      <c r="E233" s="4" t="s">
        <v>51</v>
      </c>
      <c r="F233" s="4" t="s">
        <v>79</v>
      </c>
      <c r="G233" s="4" t="s">
        <v>68</v>
      </c>
      <c r="H233" s="4" t="s">
        <v>574</v>
      </c>
      <c r="I233" s="4" t="s">
        <v>169</v>
      </c>
      <c r="J233" s="5">
        <v>300.73</v>
      </c>
      <c r="K233" s="3">
        <v>8</v>
      </c>
      <c r="L233" s="4" t="str">
        <f>IF(AND(J233&gt;350,K233&gt;6), "True","False")</f>
        <v>False</v>
      </c>
      <c r="M233" s="4" t="s">
        <v>56</v>
      </c>
      <c r="N233" s="3">
        <v>4</v>
      </c>
      <c r="O233" s="4" t="str" cm="1">
        <f t="array" ref="O233">_xlfn.IFS(P233&lt;=2,"Poor",P233=3,"Average",P233&gt;=4,"Good")</f>
        <v>Poor</v>
      </c>
      <c r="P233" s="3">
        <v>2</v>
      </c>
      <c r="Q233" s="2">
        <v>1</v>
      </c>
      <c r="R233" s="4" t="s">
        <v>59</v>
      </c>
      <c r="S233" s="4" t="s">
        <v>84</v>
      </c>
      <c r="T233" s="3">
        <v>2</v>
      </c>
      <c r="U233" s="4" t="str" cm="1">
        <f t="array" ref="U233">_xlfn.IFS(V233&lt;=4, "Dissatisfied",V233&lt;=7,"Neutral",V233&gt;=8,"Satisfied")</f>
        <v>Satisfied</v>
      </c>
      <c r="V233" s="3">
        <v>9</v>
      </c>
      <c r="W233" s="4" t="s">
        <v>72</v>
      </c>
      <c r="X233" s="4" t="s">
        <v>101</v>
      </c>
      <c r="Y233" s="4" t="s">
        <v>61</v>
      </c>
      <c r="Z233" s="1">
        <v>45382</v>
      </c>
      <c r="AA233" s="4" t="str" cm="1">
        <f t="array" ref="AA233">_xlfn.IFS(OR(AB233="December", AB233="February", AB233="January"), "Winter", OR(AB233="March", AB233="April", AB233="May"), "Spring", OR(AB233="June", AB233="July", AB233="August"), "Summer", TRUE, "Autumn")</f>
        <v>Spring</v>
      </c>
      <c r="AB233" s="7" t="str">
        <f>TEXT(Z233, "mmmm")</f>
        <v>March</v>
      </c>
      <c r="AC233" s="1" t="str">
        <f>TEXT(Z233, "dddd")</f>
        <v>Sunday</v>
      </c>
      <c r="AD233" s="4" t="s">
        <v>62</v>
      </c>
      <c r="AE233" s="4" t="s">
        <v>62</v>
      </c>
      <c r="AF233" s="4" t="s">
        <v>63</v>
      </c>
      <c r="AG233" s="4" t="s">
        <v>88</v>
      </c>
      <c r="AH233" s="3">
        <v>10</v>
      </c>
    </row>
    <row r="234" spans="1:34">
      <c r="A234" s="4" t="s">
        <v>575</v>
      </c>
      <c r="B234" s="3">
        <v>40</v>
      </c>
      <c r="C234" s="9" t="str" cm="1">
        <f t="array" ref="C234">_xlfn.IFS(B234&gt;65,"+65",B234&gt;54,"55-65",B234&gt;44,"45-54",B234&gt;35,"36-44",B234&gt;25,"26-35",B234&gt;=18,"18-25")</f>
        <v>36-44</v>
      </c>
      <c r="D234" s="4" t="s">
        <v>66</v>
      </c>
      <c r="E234" s="4" t="s">
        <v>72</v>
      </c>
      <c r="F234" s="4" t="s">
        <v>67</v>
      </c>
      <c r="G234" s="4" t="s">
        <v>80</v>
      </c>
      <c r="H234" s="4" t="s">
        <v>576</v>
      </c>
      <c r="I234" s="4" t="s">
        <v>151</v>
      </c>
      <c r="J234" s="5">
        <v>422.09</v>
      </c>
      <c r="K234" s="3">
        <v>3</v>
      </c>
      <c r="L234" s="4" t="str">
        <f>IF(AND(J234&gt;350,K234&gt;6), "True","False")</f>
        <v>False</v>
      </c>
      <c r="M234" s="4" t="s">
        <v>71</v>
      </c>
      <c r="N234" s="3">
        <v>4</v>
      </c>
      <c r="O234" s="4" t="str" cm="1">
        <f t="array" ref="O234">_xlfn.IFS(P234&lt;=2,"Poor",P234=3,"Average",P234&gt;=4,"Good")</f>
        <v>Poor</v>
      </c>
      <c r="P234" s="3">
        <v>1</v>
      </c>
      <c r="Q234" s="2">
        <v>1</v>
      </c>
      <c r="R234" s="4" t="s">
        <v>72</v>
      </c>
      <c r="S234" s="4" t="s">
        <v>58</v>
      </c>
      <c r="T234" s="3">
        <v>0</v>
      </c>
      <c r="U234" s="4" t="str" cm="1">
        <f t="array" ref="U234">_xlfn.IFS(V234&lt;=4, "Dissatisfied",V234&lt;=7,"Neutral",V234&gt;=8,"Satisfied")</f>
        <v>Satisfied</v>
      </c>
      <c r="V234" s="3">
        <v>9</v>
      </c>
      <c r="W234" s="4" t="s">
        <v>85</v>
      </c>
      <c r="X234" s="4" t="s">
        <v>74</v>
      </c>
      <c r="Y234" s="4" t="s">
        <v>86</v>
      </c>
      <c r="Z234" s="1">
        <v>45382</v>
      </c>
      <c r="AA234" s="4" t="str" cm="1">
        <f t="array" ref="AA234">_xlfn.IFS(OR(AB234="December", AB234="February", AB234="January"), "Winter", OR(AB234="March", AB234="April", AB234="May"), "Spring", OR(AB234="June", AB234="July", AB234="August"), "Summer", TRUE, "Autumn")</f>
        <v>Spring</v>
      </c>
      <c r="AB234" s="7" t="str">
        <f>TEXT(Z234, "mmmm")</f>
        <v>March</v>
      </c>
      <c r="AC234" s="1" t="str">
        <f>TEXT(Z234, "dddd")</f>
        <v>Sunday</v>
      </c>
      <c r="AD234" s="4" t="s">
        <v>62</v>
      </c>
      <c r="AE234" s="4" t="s">
        <v>76</v>
      </c>
      <c r="AF234" s="4" t="s">
        <v>63</v>
      </c>
      <c r="AG234" s="4" t="s">
        <v>64</v>
      </c>
      <c r="AH234" s="3">
        <v>7</v>
      </c>
    </row>
    <row r="235" spans="1:34">
      <c r="A235" s="4" t="s">
        <v>577</v>
      </c>
      <c r="B235" s="3">
        <v>36</v>
      </c>
      <c r="C235" s="9" t="str" cm="1">
        <f t="array" ref="C235">_xlfn.IFS(B235&gt;65,"+65",B235&gt;54,"55-65",B235&gt;44,"45-54",B235&gt;35,"36-44",B235&gt;25,"26-35",B235&gt;=18,"18-25")</f>
        <v>36-44</v>
      </c>
      <c r="D235" s="4" t="s">
        <v>78</v>
      </c>
      <c r="E235" s="4" t="s">
        <v>51</v>
      </c>
      <c r="F235" s="4" t="s">
        <v>52</v>
      </c>
      <c r="G235" s="4" t="s">
        <v>80</v>
      </c>
      <c r="H235" s="4" t="s">
        <v>578</v>
      </c>
      <c r="I235" s="4" t="s">
        <v>169</v>
      </c>
      <c r="J235" s="5">
        <v>462.48</v>
      </c>
      <c r="K235" s="3">
        <v>11</v>
      </c>
      <c r="L235" s="4" t="str">
        <f>IF(AND(J235&gt;350,K235&gt;6), "True","False")</f>
        <v>True</v>
      </c>
      <c r="M235" s="4" t="s">
        <v>56</v>
      </c>
      <c r="N235" s="3">
        <v>1</v>
      </c>
      <c r="O235" s="4" t="str" cm="1">
        <f t="array" ref="O235">_xlfn.IFS(P235&lt;=2,"Poor",P235=3,"Average",P235&gt;=4,"Good")</f>
        <v>Average</v>
      </c>
      <c r="P235" s="3">
        <v>3</v>
      </c>
      <c r="Q235" s="2">
        <v>0</v>
      </c>
      <c r="R235" s="4" t="s">
        <v>85</v>
      </c>
      <c r="S235" s="4" t="s">
        <v>73</v>
      </c>
      <c r="T235" s="3">
        <v>2</v>
      </c>
      <c r="U235" s="4" t="str" cm="1">
        <f t="array" ref="U235">_xlfn.IFS(V235&lt;=4, "Dissatisfied",V235&lt;=7,"Neutral",V235&gt;=8,"Satisfied")</f>
        <v>Dissatisfied</v>
      </c>
      <c r="V235" s="3">
        <v>2</v>
      </c>
      <c r="W235" s="4" t="s">
        <v>59</v>
      </c>
      <c r="X235" s="4" t="s">
        <v>60</v>
      </c>
      <c r="Y235" s="4" t="s">
        <v>75</v>
      </c>
      <c r="Z235" s="1">
        <v>45382</v>
      </c>
      <c r="AA235" s="4" t="str" cm="1">
        <f t="array" ref="AA235">_xlfn.IFS(OR(AB235="December", AB235="February", AB235="January"), "Winter", OR(AB235="March", AB235="April", AB235="May"), "Spring", OR(AB235="June", AB235="July", AB235="August"), "Summer", TRUE, "Autumn")</f>
        <v>Spring</v>
      </c>
      <c r="AB235" s="7" t="str">
        <f>TEXT(Z235, "mmmm")</f>
        <v>March</v>
      </c>
      <c r="AC235" s="1" t="str">
        <f>TEXT(Z235, "dddd")</f>
        <v>Sunday</v>
      </c>
      <c r="AD235" s="4" t="s">
        <v>76</v>
      </c>
      <c r="AE235" s="4" t="s">
        <v>76</v>
      </c>
      <c r="AF235" s="4" t="s">
        <v>87</v>
      </c>
      <c r="AG235" s="4" t="s">
        <v>93</v>
      </c>
      <c r="AH235" s="3">
        <v>12</v>
      </c>
    </row>
    <row r="236" spans="1:34">
      <c r="A236" s="4" t="s">
        <v>579</v>
      </c>
      <c r="B236" s="3">
        <v>27</v>
      </c>
      <c r="C236" s="9" t="str" cm="1">
        <f t="array" ref="C236">_xlfn.IFS(B236&gt;65,"+65",B236&gt;54,"55-65",B236&gt;44,"45-54",B236&gt;35,"36-44",B236&gt;25,"26-35",B236&gt;=18,"18-25")</f>
        <v>26-35</v>
      </c>
      <c r="D236" s="4" t="s">
        <v>78</v>
      </c>
      <c r="E236" s="4" t="s">
        <v>72</v>
      </c>
      <c r="F236" s="4" t="s">
        <v>95</v>
      </c>
      <c r="G236" s="4" t="s">
        <v>68</v>
      </c>
      <c r="H236" s="4" t="s">
        <v>580</v>
      </c>
      <c r="I236" s="4" t="s">
        <v>118</v>
      </c>
      <c r="J236" s="5">
        <v>116.92</v>
      </c>
      <c r="K236" s="3">
        <v>7</v>
      </c>
      <c r="L236" s="4" t="str">
        <f>IF(AND(J236&gt;350,K236&gt;6), "True","False")</f>
        <v>False</v>
      </c>
      <c r="M236" s="4" t="s">
        <v>83</v>
      </c>
      <c r="N236" s="3">
        <v>2</v>
      </c>
      <c r="O236" s="4" t="str" cm="1">
        <f t="array" ref="O236">_xlfn.IFS(P236&lt;=2,"Poor",P236=3,"Average",P236&gt;=4,"Good")</f>
        <v>Average</v>
      </c>
      <c r="P236" s="3">
        <v>3</v>
      </c>
      <c r="Q236" s="2">
        <v>2</v>
      </c>
      <c r="R236" s="4" t="s">
        <v>57</v>
      </c>
      <c r="S236" s="4" t="s">
        <v>73</v>
      </c>
      <c r="T236" s="3">
        <v>2</v>
      </c>
      <c r="U236" s="4" t="str" cm="1">
        <f t="array" ref="U236">_xlfn.IFS(V236&lt;=4, "Dissatisfied",V236&lt;=7,"Neutral",V236&gt;=8,"Satisfied")</f>
        <v>Dissatisfied</v>
      </c>
      <c r="V236" s="3">
        <v>3</v>
      </c>
      <c r="W236" s="4" t="s">
        <v>59</v>
      </c>
      <c r="X236" s="4" t="s">
        <v>101</v>
      </c>
      <c r="Y236" s="4" t="s">
        <v>75</v>
      </c>
      <c r="Z236" s="1">
        <v>45382</v>
      </c>
      <c r="AA236" s="4" t="str" cm="1">
        <f t="array" ref="AA236">_xlfn.IFS(OR(AB236="December", AB236="February", AB236="January"), "Winter", OR(AB236="March", AB236="April", AB236="May"), "Spring", OR(AB236="June", AB236="July", AB236="August"), "Summer", TRUE, "Autumn")</f>
        <v>Spring</v>
      </c>
      <c r="AB236" s="7" t="str">
        <f>TEXT(Z236, "mmmm")</f>
        <v>March</v>
      </c>
      <c r="AC236" s="1" t="str">
        <f>TEXT(Z236, "dddd")</f>
        <v>Sunday</v>
      </c>
      <c r="AD236" s="4" t="s">
        <v>62</v>
      </c>
      <c r="AE236" s="4" t="s">
        <v>76</v>
      </c>
      <c r="AF236" s="4" t="s">
        <v>92</v>
      </c>
      <c r="AG236" s="4" t="s">
        <v>88</v>
      </c>
      <c r="AH236" s="3">
        <v>14</v>
      </c>
    </row>
    <row r="237" spans="1:34">
      <c r="A237" s="4" t="s">
        <v>581</v>
      </c>
      <c r="B237" s="3">
        <v>18</v>
      </c>
      <c r="C237" s="9" t="str" cm="1">
        <f t="array" ref="C237">_xlfn.IFS(B237&gt;65,"+65",B237&gt;54,"55-65",B237&gt;44,"45-54",B237&gt;35,"36-44",B237&gt;25,"26-35",B237&gt;=18,"18-25")</f>
        <v>18-25</v>
      </c>
      <c r="D237" s="4" t="s">
        <v>160</v>
      </c>
      <c r="E237" s="4" t="s">
        <v>51</v>
      </c>
      <c r="F237" s="4" t="s">
        <v>79</v>
      </c>
      <c r="G237" s="4" t="s">
        <v>53</v>
      </c>
      <c r="H237" s="4" t="s">
        <v>582</v>
      </c>
      <c r="I237" s="4" t="s">
        <v>55</v>
      </c>
      <c r="J237" s="5">
        <v>158.54</v>
      </c>
      <c r="K237" s="3">
        <v>5</v>
      </c>
      <c r="L237" s="4" t="str">
        <f>IF(AND(J237&gt;350,K237&gt;6), "True","False")</f>
        <v>False</v>
      </c>
      <c r="M237" s="4" t="s">
        <v>56</v>
      </c>
      <c r="N237" s="3">
        <v>2</v>
      </c>
      <c r="O237" s="4" t="str" cm="1">
        <f t="array" ref="O237">_xlfn.IFS(P237&lt;=2,"Poor",P237=3,"Average",P237&gt;=4,"Good")</f>
        <v>Poor</v>
      </c>
      <c r="P237" s="3">
        <v>1</v>
      </c>
      <c r="Q237" s="2">
        <v>1</v>
      </c>
      <c r="R237" s="4" t="s">
        <v>59</v>
      </c>
      <c r="S237" s="4" t="s">
        <v>58</v>
      </c>
      <c r="T237" s="3">
        <v>2</v>
      </c>
      <c r="U237" s="4" t="str" cm="1">
        <f t="array" ref="U237">_xlfn.IFS(V237&lt;=4, "Dissatisfied",V237&lt;=7,"Neutral",V237&gt;=8,"Satisfied")</f>
        <v>Neutral</v>
      </c>
      <c r="V237" s="3">
        <v>7</v>
      </c>
      <c r="W237" s="4" t="s">
        <v>72</v>
      </c>
      <c r="X237" s="4" t="s">
        <v>60</v>
      </c>
      <c r="Y237" s="4" t="s">
        <v>75</v>
      </c>
      <c r="Z237" s="1">
        <v>45382</v>
      </c>
      <c r="AA237" s="4" t="str" cm="1">
        <f t="array" ref="AA237">_xlfn.IFS(OR(AB237="December", AB237="February", AB237="January"), "Winter", OR(AB237="March", AB237="April", AB237="May"), "Spring", OR(AB237="June", AB237="July", AB237="August"), "Summer", TRUE, "Autumn")</f>
        <v>Spring</v>
      </c>
      <c r="AB237" s="7" t="str">
        <f>TEXT(Z237, "mmmm")</f>
        <v>March</v>
      </c>
      <c r="AC237" s="1" t="str">
        <f>TEXT(Z237, "dddd")</f>
        <v>Sunday</v>
      </c>
      <c r="AD237" s="4" t="s">
        <v>76</v>
      </c>
      <c r="AE237" s="4" t="s">
        <v>76</v>
      </c>
      <c r="AF237" s="4" t="s">
        <v>87</v>
      </c>
      <c r="AG237" s="4" t="s">
        <v>93</v>
      </c>
      <c r="AH237" s="3">
        <v>5</v>
      </c>
    </row>
    <row r="238" spans="1:34">
      <c r="A238" s="4" t="s">
        <v>583</v>
      </c>
      <c r="B238" s="3">
        <v>49</v>
      </c>
      <c r="C238" s="9" t="str" cm="1">
        <f t="array" ref="C238">_xlfn.IFS(B238&gt;65,"+65",B238&gt;54,"55-65",B238&gt;44,"45-54",B238&gt;35,"36-44",B238&gt;25,"26-35",B238&gt;=18,"18-25")</f>
        <v>45-54</v>
      </c>
      <c r="D238" s="4" t="s">
        <v>66</v>
      </c>
      <c r="E238" s="4" t="s">
        <v>72</v>
      </c>
      <c r="F238" s="4" t="s">
        <v>79</v>
      </c>
      <c r="G238" s="4" t="s">
        <v>68</v>
      </c>
      <c r="H238" s="4" t="s">
        <v>584</v>
      </c>
      <c r="I238" s="4" t="s">
        <v>55</v>
      </c>
      <c r="J238" s="5">
        <v>348.63</v>
      </c>
      <c r="K238" s="3">
        <v>4</v>
      </c>
      <c r="L238" s="4" t="str">
        <f>IF(AND(J238&gt;350,K238&gt;6), "True","False")</f>
        <v>False</v>
      </c>
      <c r="M238" s="4" t="s">
        <v>56</v>
      </c>
      <c r="N238" s="3">
        <v>5</v>
      </c>
      <c r="O238" s="4" t="str" cm="1">
        <f t="array" ref="O238">_xlfn.IFS(P238&lt;=2,"Poor",P238=3,"Average",P238&gt;=4,"Good")</f>
        <v>Poor</v>
      </c>
      <c r="P238" s="3">
        <v>2</v>
      </c>
      <c r="Q238" s="2">
        <v>0</v>
      </c>
      <c r="R238" s="4" t="s">
        <v>72</v>
      </c>
      <c r="S238" s="4" t="s">
        <v>84</v>
      </c>
      <c r="T238" s="3">
        <v>0</v>
      </c>
      <c r="U238" s="4" t="str" cm="1">
        <f t="array" ref="U238">_xlfn.IFS(V238&lt;=4, "Dissatisfied",V238&lt;=7,"Neutral",V238&gt;=8,"Satisfied")</f>
        <v>Neutral</v>
      </c>
      <c r="V238" s="3">
        <v>7</v>
      </c>
      <c r="W238" s="4" t="s">
        <v>57</v>
      </c>
      <c r="X238" s="4" t="s">
        <v>60</v>
      </c>
      <c r="Y238" s="4" t="s">
        <v>75</v>
      </c>
      <c r="Z238" s="1">
        <v>45383</v>
      </c>
      <c r="AA238" s="4" t="str" cm="1">
        <f t="array" ref="AA238">_xlfn.IFS(OR(AB238="December", AB238="February", AB238="January"), "Winter", OR(AB238="March", AB238="April", AB238="May"), "Spring", OR(AB238="June", AB238="July", AB238="August"), "Summer", TRUE, "Autumn")</f>
        <v>Spring</v>
      </c>
      <c r="AB238" s="7" t="str">
        <f>TEXT(Z238, "mmmm")</f>
        <v>April</v>
      </c>
      <c r="AC238" s="1" t="str">
        <f>TEXT(Z238, "dddd")</f>
        <v>Monday</v>
      </c>
      <c r="AD238" s="4" t="s">
        <v>76</v>
      </c>
      <c r="AE238" s="4" t="s">
        <v>76</v>
      </c>
      <c r="AF238" s="4" t="s">
        <v>87</v>
      </c>
      <c r="AG238" s="4" t="s">
        <v>88</v>
      </c>
      <c r="AH238" s="3">
        <v>6</v>
      </c>
    </row>
    <row r="239" spans="1:34">
      <c r="A239" s="4" t="s">
        <v>585</v>
      </c>
      <c r="B239" s="3">
        <v>47</v>
      </c>
      <c r="C239" s="9" t="str" cm="1">
        <f t="array" ref="C239">_xlfn.IFS(B239&gt;65,"+65",B239&gt;54,"55-65",B239&gt;44,"45-54",B239&gt;35,"36-44",B239&gt;25,"26-35",B239&gt;=18,"18-25")</f>
        <v>45-54</v>
      </c>
      <c r="D239" s="4" t="s">
        <v>78</v>
      </c>
      <c r="E239" s="4" t="s">
        <v>51</v>
      </c>
      <c r="F239" s="4" t="s">
        <v>79</v>
      </c>
      <c r="G239" s="4" t="s">
        <v>68</v>
      </c>
      <c r="H239" s="4" t="s">
        <v>586</v>
      </c>
      <c r="I239" s="4" t="s">
        <v>133</v>
      </c>
      <c r="J239" s="5">
        <v>246.63</v>
      </c>
      <c r="K239" s="3">
        <v>8</v>
      </c>
      <c r="L239" s="4" t="str">
        <f>IF(AND(J239&gt;350,K239&gt;6), "True","False")</f>
        <v>False</v>
      </c>
      <c r="M239" s="4" t="s">
        <v>71</v>
      </c>
      <c r="N239" s="3">
        <v>2</v>
      </c>
      <c r="O239" s="4" t="str" cm="1">
        <f t="array" ref="O239">_xlfn.IFS(P239&lt;=2,"Poor",P239=3,"Average",P239&gt;=4,"Good")</f>
        <v>Average</v>
      </c>
      <c r="P239" s="3">
        <v>3</v>
      </c>
      <c r="Q239" s="2">
        <v>1</v>
      </c>
      <c r="R239" s="4" t="s">
        <v>57</v>
      </c>
      <c r="S239" s="4" t="s">
        <v>84</v>
      </c>
      <c r="T239" s="3">
        <v>2</v>
      </c>
      <c r="U239" s="4" t="str" cm="1">
        <f t="array" ref="U239">_xlfn.IFS(V239&lt;=4, "Dissatisfied",V239&lt;=7,"Neutral",V239&gt;=8,"Satisfied")</f>
        <v>Dissatisfied</v>
      </c>
      <c r="V239" s="3">
        <v>3</v>
      </c>
      <c r="W239" s="4" t="s">
        <v>57</v>
      </c>
      <c r="X239" s="4" t="s">
        <v>74</v>
      </c>
      <c r="Y239" s="4" t="s">
        <v>119</v>
      </c>
      <c r="Z239" s="1">
        <v>45383</v>
      </c>
      <c r="AA239" s="4" t="str" cm="1">
        <f t="array" ref="AA239">_xlfn.IFS(OR(AB239="December", AB239="February", AB239="January"), "Winter", OR(AB239="March", AB239="April", AB239="May"), "Spring", OR(AB239="June", AB239="July", AB239="August"), "Summer", TRUE, "Autumn")</f>
        <v>Spring</v>
      </c>
      <c r="AB239" s="7" t="str">
        <f>TEXT(Z239, "mmmm")</f>
        <v>April</v>
      </c>
      <c r="AC239" s="1" t="str">
        <f>TEXT(Z239, "dddd")</f>
        <v>Monday</v>
      </c>
      <c r="AD239" s="4" t="s">
        <v>62</v>
      </c>
      <c r="AE239" s="4" t="s">
        <v>76</v>
      </c>
      <c r="AF239" s="4" t="s">
        <v>92</v>
      </c>
      <c r="AG239" s="4" t="s">
        <v>93</v>
      </c>
      <c r="AH239" s="3">
        <v>10</v>
      </c>
    </row>
    <row r="240" spans="1:34">
      <c r="A240" s="4" t="s">
        <v>587</v>
      </c>
      <c r="B240" s="3">
        <v>46</v>
      </c>
      <c r="C240" s="9" t="str" cm="1">
        <f t="array" ref="C240">_xlfn.IFS(B240&gt;65,"+65",B240&gt;54,"55-65",B240&gt;44,"45-54",B240&gt;35,"36-44",B240&gt;25,"26-35",B240&gt;=18,"18-25")</f>
        <v>45-54</v>
      </c>
      <c r="D240" s="4" t="s">
        <v>78</v>
      </c>
      <c r="E240" s="4" t="s">
        <v>51</v>
      </c>
      <c r="F240" s="4" t="s">
        <v>79</v>
      </c>
      <c r="G240" s="4" t="s">
        <v>53</v>
      </c>
      <c r="H240" s="4" t="s">
        <v>588</v>
      </c>
      <c r="I240" s="4" t="s">
        <v>146</v>
      </c>
      <c r="J240" s="5">
        <v>378.87</v>
      </c>
      <c r="K240" s="3">
        <v>7</v>
      </c>
      <c r="L240" s="4" t="str">
        <f>IF(AND(J240&gt;350,K240&gt;6), "True","False")</f>
        <v>True</v>
      </c>
      <c r="M240" s="4" t="s">
        <v>56</v>
      </c>
      <c r="N240" s="3">
        <v>1</v>
      </c>
      <c r="O240" s="4" t="str" cm="1">
        <f t="array" ref="O240">_xlfn.IFS(P240&lt;=2,"Poor",P240=3,"Average",P240&gt;=4,"Good")</f>
        <v>Poor</v>
      </c>
      <c r="P240" s="3">
        <v>2</v>
      </c>
      <c r="Q240" s="2">
        <v>0</v>
      </c>
      <c r="R240" s="4" t="s">
        <v>57</v>
      </c>
      <c r="S240" s="4" t="s">
        <v>73</v>
      </c>
      <c r="T240" s="3">
        <v>1</v>
      </c>
      <c r="U240" s="4" t="str" cm="1">
        <f t="array" ref="U240">_xlfn.IFS(V240&lt;=4, "Dissatisfied",V240&lt;=7,"Neutral",V240&gt;=8,"Satisfied")</f>
        <v>Dissatisfied</v>
      </c>
      <c r="V240" s="3">
        <v>2</v>
      </c>
      <c r="W240" s="4" t="s">
        <v>59</v>
      </c>
      <c r="X240" s="4" t="s">
        <v>74</v>
      </c>
      <c r="Y240" s="4" t="s">
        <v>86</v>
      </c>
      <c r="Z240" s="1">
        <v>45383</v>
      </c>
      <c r="AA240" s="4" t="str" cm="1">
        <f t="array" ref="AA240">_xlfn.IFS(OR(AB240="December", AB240="February", AB240="January"), "Winter", OR(AB240="March", AB240="April", AB240="May"), "Spring", OR(AB240="June", AB240="July", AB240="August"), "Summer", TRUE, "Autumn")</f>
        <v>Spring</v>
      </c>
      <c r="AB240" s="7" t="str">
        <f>TEXT(Z240, "mmmm")</f>
        <v>April</v>
      </c>
      <c r="AC240" s="1" t="str">
        <f>TEXT(Z240, "dddd")</f>
        <v>Monday</v>
      </c>
      <c r="AD240" s="4" t="s">
        <v>62</v>
      </c>
      <c r="AE240" s="4" t="s">
        <v>76</v>
      </c>
      <c r="AF240" s="4" t="s">
        <v>87</v>
      </c>
      <c r="AG240" s="4" t="s">
        <v>88</v>
      </c>
      <c r="AH240" s="3">
        <v>5</v>
      </c>
    </row>
    <row r="241" spans="1:34">
      <c r="A241" s="4" t="s">
        <v>589</v>
      </c>
      <c r="B241" s="3">
        <v>27</v>
      </c>
      <c r="C241" s="9" t="str" cm="1">
        <f t="array" ref="C241">_xlfn.IFS(B241&gt;65,"+65",B241&gt;54,"55-65",B241&gt;44,"45-54",B241&gt;35,"36-44",B241&gt;25,"26-35",B241&gt;=18,"18-25")</f>
        <v>26-35</v>
      </c>
      <c r="D241" s="4" t="s">
        <v>78</v>
      </c>
      <c r="E241" s="4" t="s">
        <v>51</v>
      </c>
      <c r="F241" s="4" t="s">
        <v>52</v>
      </c>
      <c r="G241" s="4" t="s">
        <v>68</v>
      </c>
      <c r="H241" s="4" t="s">
        <v>590</v>
      </c>
      <c r="I241" s="4" t="s">
        <v>223</v>
      </c>
      <c r="J241" s="5">
        <v>116.14</v>
      </c>
      <c r="K241" s="3">
        <v>11</v>
      </c>
      <c r="L241" s="4" t="str">
        <f>IF(AND(J241&gt;350,K241&gt;6), "True","False")</f>
        <v>False</v>
      </c>
      <c r="M241" s="4" t="s">
        <v>83</v>
      </c>
      <c r="N241" s="3">
        <v>1</v>
      </c>
      <c r="O241" s="4" t="str" cm="1">
        <f t="array" ref="O241">_xlfn.IFS(P241&lt;=2,"Poor",P241=3,"Average",P241&gt;=4,"Good")</f>
        <v>Good</v>
      </c>
      <c r="P241" s="3">
        <v>4</v>
      </c>
      <c r="Q241" s="2">
        <v>1</v>
      </c>
      <c r="R241" s="4" t="s">
        <v>72</v>
      </c>
      <c r="S241" s="4" t="s">
        <v>84</v>
      </c>
      <c r="T241" s="3">
        <v>0</v>
      </c>
      <c r="U241" s="4" t="str" cm="1">
        <f t="array" ref="U241">_xlfn.IFS(V241&lt;=4, "Dissatisfied",V241&lt;=7,"Neutral",V241&gt;=8,"Satisfied")</f>
        <v>Satisfied</v>
      </c>
      <c r="V241" s="3">
        <v>8</v>
      </c>
      <c r="W241" s="4" t="s">
        <v>85</v>
      </c>
      <c r="X241" s="4" t="s">
        <v>101</v>
      </c>
      <c r="Y241" s="4" t="s">
        <v>119</v>
      </c>
      <c r="Z241" s="1">
        <v>45383</v>
      </c>
      <c r="AA241" s="4" t="str" cm="1">
        <f t="array" ref="AA241">_xlfn.IFS(OR(AB241="December", AB241="February", AB241="January"), "Winter", OR(AB241="March", AB241="April", AB241="May"), "Spring", OR(AB241="June", AB241="July", AB241="August"), "Summer", TRUE, "Autumn")</f>
        <v>Spring</v>
      </c>
      <c r="AB241" s="7" t="str">
        <f>TEXT(Z241, "mmmm")</f>
        <v>April</v>
      </c>
      <c r="AC241" s="1" t="str">
        <f>TEXT(Z241, "dddd")</f>
        <v>Monday</v>
      </c>
      <c r="AD241" s="4" t="s">
        <v>76</v>
      </c>
      <c r="AE241" s="4" t="s">
        <v>62</v>
      </c>
      <c r="AF241" s="4" t="s">
        <v>102</v>
      </c>
      <c r="AG241" s="4" t="s">
        <v>93</v>
      </c>
      <c r="AH241" s="3">
        <v>14</v>
      </c>
    </row>
    <row r="242" spans="1:34">
      <c r="A242" s="4" t="s">
        <v>591</v>
      </c>
      <c r="B242" s="3">
        <v>49</v>
      </c>
      <c r="C242" s="9" t="str" cm="1">
        <f t="array" ref="C242">_xlfn.IFS(B242&gt;65,"+65",B242&gt;54,"55-65",B242&gt;44,"45-54",B242&gt;35,"36-44",B242&gt;25,"26-35",B242&gt;=18,"18-25")</f>
        <v>45-54</v>
      </c>
      <c r="D242" s="4" t="s">
        <v>66</v>
      </c>
      <c r="E242" s="4" t="s">
        <v>72</v>
      </c>
      <c r="F242" s="4" t="s">
        <v>67</v>
      </c>
      <c r="G242" s="4" t="s">
        <v>53</v>
      </c>
      <c r="H242" s="4" t="s">
        <v>592</v>
      </c>
      <c r="I242" s="4" t="s">
        <v>82</v>
      </c>
      <c r="J242" s="5">
        <v>437.97</v>
      </c>
      <c r="K242" s="3">
        <v>8</v>
      </c>
      <c r="L242" s="4" t="str">
        <f>IF(AND(J242&gt;350,K242&gt;6), "True","False")</f>
        <v>True</v>
      </c>
      <c r="M242" s="4" t="s">
        <v>56</v>
      </c>
      <c r="N242" s="3">
        <v>4</v>
      </c>
      <c r="O242" s="4" t="str" cm="1">
        <f t="array" ref="O242">_xlfn.IFS(P242&lt;=2,"Poor",P242=3,"Average",P242&gt;=4,"Good")</f>
        <v>Poor</v>
      </c>
      <c r="P242" s="3">
        <v>2</v>
      </c>
      <c r="Q242" s="2">
        <v>0</v>
      </c>
      <c r="R242" s="4" t="s">
        <v>72</v>
      </c>
      <c r="S242" s="4" t="s">
        <v>58</v>
      </c>
      <c r="T242" s="3">
        <v>0</v>
      </c>
      <c r="U242" s="4" t="str" cm="1">
        <f t="array" ref="U242">_xlfn.IFS(V242&lt;=4, "Dissatisfied",V242&lt;=7,"Neutral",V242&gt;=8,"Satisfied")</f>
        <v>Neutral</v>
      </c>
      <c r="V242" s="3">
        <v>7</v>
      </c>
      <c r="W242" s="4" t="s">
        <v>85</v>
      </c>
      <c r="X242" s="4" t="s">
        <v>74</v>
      </c>
      <c r="Y242" s="4" t="s">
        <v>75</v>
      </c>
      <c r="Z242" s="1">
        <v>45384</v>
      </c>
      <c r="AA242" s="4" t="str" cm="1">
        <f t="array" ref="AA242">_xlfn.IFS(OR(AB242="December", AB242="February", AB242="January"), "Winter", OR(AB242="March", AB242="April", AB242="May"), "Spring", OR(AB242="June", AB242="July", AB242="August"), "Summer", TRUE, "Autumn")</f>
        <v>Spring</v>
      </c>
      <c r="AB242" s="7" t="str">
        <f>TEXT(Z242, "mmmm")</f>
        <v>April</v>
      </c>
      <c r="AC242" s="1" t="str">
        <f>TEXT(Z242, "dddd")</f>
        <v>Tuesday</v>
      </c>
      <c r="AD242" s="4" t="s">
        <v>62</v>
      </c>
      <c r="AE242" s="4" t="s">
        <v>62</v>
      </c>
      <c r="AF242" s="4" t="s">
        <v>63</v>
      </c>
      <c r="AG242" s="4" t="s">
        <v>93</v>
      </c>
      <c r="AH242" s="3">
        <v>12</v>
      </c>
    </row>
    <row r="243" spans="1:34">
      <c r="A243" s="4" t="s">
        <v>593</v>
      </c>
      <c r="B243" s="3">
        <v>34</v>
      </c>
      <c r="C243" s="9" t="str" cm="1">
        <f t="array" ref="C243">_xlfn.IFS(B243&gt;65,"+65",B243&gt;54,"55-65",B243&gt;44,"45-54",B243&gt;35,"36-44",B243&gt;25,"26-35",B243&gt;=18,"18-25")</f>
        <v>26-35</v>
      </c>
      <c r="D243" s="4" t="s">
        <v>78</v>
      </c>
      <c r="E243" s="4" t="s">
        <v>72</v>
      </c>
      <c r="F243" s="4" t="s">
        <v>79</v>
      </c>
      <c r="G243" s="4" t="s">
        <v>68</v>
      </c>
      <c r="H243" s="4" t="s">
        <v>594</v>
      </c>
      <c r="I243" s="4" t="s">
        <v>275</v>
      </c>
      <c r="J243" s="5">
        <v>391.38</v>
      </c>
      <c r="K243" s="3">
        <v>5</v>
      </c>
      <c r="L243" s="4" t="str">
        <f>IF(AND(J243&gt;350,K243&gt;6), "True","False")</f>
        <v>False</v>
      </c>
      <c r="M243" s="4" t="s">
        <v>71</v>
      </c>
      <c r="N243" s="3">
        <v>5</v>
      </c>
      <c r="O243" s="4" t="str" cm="1">
        <f t="array" ref="O243">_xlfn.IFS(P243&lt;=2,"Poor",P243=3,"Average",P243&gt;=4,"Good")</f>
        <v>Poor</v>
      </c>
      <c r="P243" s="3">
        <v>2</v>
      </c>
      <c r="Q243" s="2">
        <v>2</v>
      </c>
      <c r="R243" s="4" t="s">
        <v>59</v>
      </c>
      <c r="S243" s="4" t="s">
        <v>58</v>
      </c>
      <c r="T243" s="3">
        <v>0</v>
      </c>
      <c r="U243" s="4" t="str" cm="1">
        <f t="array" ref="U243">_xlfn.IFS(V243&lt;=4, "Dissatisfied",V243&lt;=7,"Neutral",V243&gt;=8,"Satisfied")</f>
        <v>Neutral</v>
      </c>
      <c r="V243" s="3">
        <v>7</v>
      </c>
      <c r="W243" s="4" t="s">
        <v>59</v>
      </c>
      <c r="X243" s="4" t="s">
        <v>74</v>
      </c>
      <c r="Y243" s="4" t="s">
        <v>111</v>
      </c>
      <c r="Z243" s="1">
        <v>45384</v>
      </c>
      <c r="AA243" s="4" t="str" cm="1">
        <f t="array" ref="AA243">_xlfn.IFS(OR(AB243="December", AB243="February", AB243="January"), "Winter", OR(AB243="March", AB243="April", AB243="May"), "Spring", OR(AB243="June", AB243="July", AB243="August"), "Summer", TRUE, "Autumn")</f>
        <v>Spring</v>
      </c>
      <c r="AB243" s="7" t="str">
        <f>TEXT(Z243, "mmmm")</f>
        <v>April</v>
      </c>
      <c r="AC243" s="1" t="str">
        <f>TEXT(Z243, "dddd")</f>
        <v>Tuesday</v>
      </c>
      <c r="AD243" s="4" t="s">
        <v>76</v>
      </c>
      <c r="AE243" s="4" t="s">
        <v>76</v>
      </c>
      <c r="AF243" s="4" t="s">
        <v>63</v>
      </c>
      <c r="AG243" s="4" t="s">
        <v>88</v>
      </c>
      <c r="AH243" s="3">
        <v>8</v>
      </c>
    </row>
    <row r="244" spans="1:34">
      <c r="A244" s="4" t="s">
        <v>595</v>
      </c>
      <c r="B244" s="3">
        <v>33</v>
      </c>
      <c r="C244" s="9" t="str" cm="1">
        <f t="array" ref="C244">_xlfn.IFS(B244&gt;65,"+65",B244&gt;54,"55-65",B244&gt;44,"45-54",B244&gt;35,"36-44",B244&gt;25,"26-35",B244&gt;=18,"18-25")</f>
        <v>26-35</v>
      </c>
      <c r="D244" s="4" t="s">
        <v>66</v>
      </c>
      <c r="E244" s="4" t="s">
        <v>51</v>
      </c>
      <c r="F244" s="4" t="s">
        <v>67</v>
      </c>
      <c r="G244" s="4" t="s">
        <v>80</v>
      </c>
      <c r="H244" s="4" t="s">
        <v>596</v>
      </c>
      <c r="I244" s="4" t="s">
        <v>122</v>
      </c>
      <c r="J244" s="5">
        <v>388.26</v>
      </c>
      <c r="K244" s="3">
        <v>2</v>
      </c>
      <c r="L244" s="4" t="str">
        <f>IF(AND(J244&gt;350,K244&gt;6), "True","False")</f>
        <v>False</v>
      </c>
      <c r="M244" s="4" t="s">
        <v>83</v>
      </c>
      <c r="N244" s="3">
        <v>3</v>
      </c>
      <c r="O244" s="4" t="str" cm="1">
        <f t="array" ref="O244">_xlfn.IFS(P244&lt;=2,"Poor",P244=3,"Average",P244&gt;=4,"Good")</f>
        <v>Poor</v>
      </c>
      <c r="P244" s="3">
        <v>1</v>
      </c>
      <c r="Q244" s="2">
        <v>1</v>
      </c>
      <c r="R244" s="4" t="s">
        <v>72</v>
      </c>
      <c r="S244" s="4" t="s">
        <v>58</v>
      </c>
      <c r="T244" s="3">
        <v>0</v>
      </c>
      <c r="U244" s="4" t="str" cm="1">
        <f t="array" ref="U244">_xlfn.IFS(V244&lt;=4, "Dissatisfied",V244&lt;=7,"Neutral",V244&gt;=8,"Satisfied")</f>
        <v>Neutral</v>
      </c>
      <c r="V244" s="3">
        <v>7</v>
      </c>
      <c r="W244" s="4" t="s">
        <v>57</v>
      </c>
      <c r="X244" s="4" t="s">
        <v>60</v>
      </c>
      <c r="Y244" s="4" t="s">
        <v>119</v>
      </c>
      <c r="Z244" s="1">
        <v>45384</v>
      </c>
      <c r="AA244" s="4" t="str" cm="1">
        <f t="array" ref="AA244">_xlfn.IFS(OR(AB244="December", AB244="February", AB244="January"), "Winter", OR(AB244="March", AB244="April", AB244="May"), "Spring", OR(AB244="June", AB244="July", AB244="August"), "Summer", TRUE, "Autumn")</f>
        <v>Spring</v>
      </c>
      <c r="AB244" s="7" t="str">
        <f>TEXT(Z244, "mmmm")</f>
        <v>April</v>
      </c>
      <c r="AC244" s="1" t="str">
        <f>TEXT(Z244, "dddd")</f>
        <v>Tuesday</v>
      </c>
      <c r="AD244" s="4" t="s">
        <v>76</v>
      </c>
      <c r="AE244" s="4" t="s">
        <v>76</v>
      </c>
      <c r="AF244" s="4" t="s">
        <v>87</v>
      </c>
      <c r="AG244" s="4" t="s">
        <v>88</v>
      </c>
      <c r="AH244" s="3">
        <v>5</v>
      </c>
    </row>
    <row r="245" spans="1:34">
      <c r="A245" s="4" t="s">
        <v>597</v>
      </c>
      <c r="B245" s="3">
        <v>21</v>
      </c>
      <c r="C245" s="9" t="str" cm="1">
        <f t="array" ref="C245">_xlfn.IFS(B245&gt;65,"+65",B245&gt;54,"55-65",B245&gt;44,"45-54",B245&gt;35,"36-44",B245&gt;25,"26-35",B245&gt;=18,"18-25")</f>
        <v>18-25</v>
      </c>
      <c r="D245" s="4" t="s">
        <v>66</v>
      </c>
      <c r="E245" s="4" t="s">
        <v>72</v>
      </c>
      <c r="F245" s="4" t="s">
        <v>95</v>
      </c>
      <c r="G245" s="4" t="s">
        <v>80</v>
      </c>
      <c r="H245" s="4" t="s">
        <v>598</v>
      </c>
      <c r="I245" s="4" t="s">
        <v>164</v>
      </c>
      <c r="J245" s="5">
        <v>264.52</v>
      </c>
      <c r="K245" s="3">
        <v>9</v>
      </c>
      <c r="L245" s="4" t="str">
        <f>IF(AND(J245&gt;350,K245&gt;6), "True","False")</f>
        <v>False</v>
      </c>
      <c r="M245" s="4" t="s">
        <v>56</v>
      </c>
      <c r="N245" s="3">
        <v>3</v>
      </c>
      <c r="O245" s="4" t="str" cm="1">
        <f t="array" ref="O245">_xlfn.IFS(P245&lt;=2,"Poor",P245=3,"Average",P245&gt;=4,"Good")</f>
        <v>Average</v>
      </c>
      <c r="P245" s="3">
        <v>3</v>
      </c>
      <c r="Q245" s="2">
        <v>1</v>
      </c>
      <c r="R245" s="4" t="s">
        <v>57</v>
      </c>
      <c r="S245" s="4" t="s">
        <v>58</v>
      </c>
      <c r="T245" s="3">
        <v>0</v>
      </c>
      <c r="U245" s="4" t="str" cm="1">
        <f t="array" ref="U245">_xlfn.IFS(V245&lt;=4, "Dissatisfied",V245&lt;=7,"Neutral",V245&gt;=8,"Satisfied")</f>
        <v>Satisfied</v>
      </c>
      <c r="V245" s="3">
        <v>10</v>
      </c>
      <c r="W245" s="4" t="s">
        <v>57</v>
      </c>
      <c r="X245" s="4" t="s">
        <v>60</v>
      </c>
      <c r="Y245" s="4" t="s">
        <v>75</v>
      </c>
      <c r="Z245" s="1">
        <v>45384</v>
      </c>
      <c r="AA245" s="4" t="str" cm="1">
        <f t="array" ref="AA245">_xlfn.IFS(OR(AB245="December", AB245="February", AB245="January"), "Winter", OR(AB245="March", AB245="April", AB245="May"), "Spring", OR(AB245="June", AB245="July", AB245="August"), "Summer", TRUE, "Autumn")</f>
        <v>Spring</v>
      </c>
      <c r="AB245" s="7" t="str">
        <f>TEXT(Z245, "mmmm")</f>
        <v>April</v>
      </c>
      <c r="AC245" s="1" t="str">
        <f>TEXT(Z245, "dddd")</f>
        <v>Tuesday</v>
      </c>
      <c r="AD245" s="4" t="s">
        <v>62</v>
      </c>
      <c r="AE245" s="4" t="s">
        <v>62</v>
      </c>
      <c r="AF245" s="4" t="s">
        <v>87</v>
      </c>
      <c r="AG245" s="4" t="s">
        <v>88</v>
      </c>
      <c r="AH245" s="3">
        <v>6</v>
      </c>
    </row>
    <row r="246" spans="1:34">
      <c r="A246" s="4" t="s">
        <v>599</v>
      </c>
      <c r="B246" s="3">
        <v>18</v>
      </c>
      <c r="C246" s="9" t="str" cm="1">
        <f t="array" ref="C246">_xlfn.IFS(B246&gt;65,"+65",B246&gt;54,"55-65",B246&gt;44,"45-54",B246&gt;35,"36-44",B246&gt;25,"26-35",B246&gt;=18,"18-25")</f>
        <v>18-25</v>
      </c>
      <c r="D246" s="4" t="s">
        <v>78</v>
      </c>
      <c r="E246" s="4" t="s">
        <v>51</v>
      </c>
      <c r="F246" s="4" t="s">
        <v>52</v>
      </c>
      <c r="G246" s="4" t="s">
        <v>53</v>
      </c>
      <c r="H246" s="4" t="s">
        <v>600</v>
      </c>
      <c r="I246" s="4" t="s">
        <v>100</v>
      </c>
      <c r="J246" s="5">
        <v>197.9</v>
      </c>
      <c r="K246" s="3">
        <v>11</v>
      </c>
      <c r="L246" s="4" t="str">
        <f>IF(AND(J246&gt;350,K246&gt;6), "True","False")</f>
        <v>False</v>
      </c>
      <c r="M246" s="4" t="s">
        <v>83</v>
      </c>
      <c r="N246" s="3">
        <v>2</v>
      </c>
      <c r="O246" s="4" t="str" cm="1">
        <f t="array" ref="O246">_xlfn.IFS(P246&lt;=2,"Poor",P246=3,"Average",P246&gt;=4,"Good")</f>
        <v>Good</v>
      </c>
      <c r="P246" s="3">
        <v>4</v>
      </c>
      <c r="Q246" s="2">
        <v>2</v>
      </c>
      <c r="R246" s="4" t="s">
        <v>85</v>
      </c>
      <c r="S246" s="4" t="s">
        <v>58</v>
      </c>
      <c r="T246" s="3">
        <v>1</v>
      </c>
      <c r="U246" s="4" t="str" cm="1">
        <f t="array" ref="U246">_xlfn.IFS(V246&lt;=4, "Dissatisfied",V246&lt;=7,"Neutral",V246&gt;=8,"Satisfied")</f>
        <v>Dissatisfied</v>
      </c>
      <c r="V246" s="3">
        <v>4</v>
      </c>
      <c r="W246" s="4" t="s">
        <v>59</v>
      </c>
      <c r="X246" s="4" t="s">
        <v>101</v>
      </c>
      <c r="Y246" s="4" t="s">
        <v>75</v>
      </c>
      <c r="Z246" s="1">
        <v>45384</v>
      </c>
      <c r="AA246" s="4" t="str" cm="1">
        <f t="array" ref="AA246">_xlfn.IFS(OR(AB246="December", AB246="February", AB246="January"), "Winter", OR(AB246="March", AB246="April", AB246="May"), "Spring", OR(AB246="June", AB246="July", AB246="August"), "Summer", TRUE, "Autumn")</f>
        <v>Spring</v>
      </c>
      <c r="AB246" s="7" t="str">
        <f>TEXT(Z246, "mmmm")</f>
        <v>April</v>
      </c>
      <c r="AC246" s="1" t="str">
        <f>TEXT(Z246, "dddd")</f>
        <v>Tuesday</v>
      </c>
      <c r="AD246" s="4" t="s">
        <v>62</v>
      </c>
      <c r="AE246" s="4" t="s">
        <v>62</v>
      </c>
      <c r="AF246" s="4" t="s">
        <v>102</v>
      </c>
      <c r="AG246" s="4" t="s">
        <v>64</v>
      </c>
      <c r="AH246" s="3">
        <v>5</v>
      </c>
    </row>
    <row r="247" spans="1:34">
      <c r="A247" s="4" t="s">
        <v>601</v>
      </c>
      <c r="B247" s="3">
        <v>48</v>
      </c>
      <c r="C247" s="9" t="str" cm="1">
        <f t="array" ref="C247">_xlfn.IFS(B247&gt;65,"+65",B247&gt;54,"55-65",B247&gt;44,"45-54",B247&gt;35,"36-44",B247&gt;25,"26-35",B247&gt;=18,"18-25")</f>
        <v>45-54</v>
      </c>
      <c r="D247" s="4" t="s">
        <v>66</v>
      </c>
      <c r="E247" s="4" t="s">
        <v>51</v>
      </c>
      <c r="F247" s="4" t="s">
        <v>67</v>
      </c>
      <c r="G247" s="4" t="s">
        <v>53</v>
      </c>
      <c r="H247" s="4" t="s">
        <v>602</v>
      </c>
      <c r="I247" s="4" t="s">
        <v>133</v>
      </c>
      <c r="J247" s="5">
        <v>465.85</v>
      </c>
      <c r="K247" s="3">
        <v>10</v>
      </c>
      <c r="L247" s="4" t="str">
        <f>IF(AND(J247&gt;350,K247&gt;6), "True","False")</f>
        <v>True</v>
      </c>
      <c r="M247" s="4" t="s">
        <v>56</v>
      </c>
      <c r="N247" s="3">
        <v>5</v>
      </c>
      <c r="O247" s="4" t="str" cm="1">
        <f t="array" ref="O247">_xlfn.IFS(P247&lt;=2,"Poor",P247=3,"Average",P247&gt;=4,"Good")</f>
        <v>Average</v>
      </c>
      <c r="P247" s="3">
        <v>3</v>
      </c>
      <c r="Q247" s="2">
        <v>2</v>
      </c>
      <c r="R247" s="4" t="s">
        <v>57</v>
      </c>
      <c r="S247" s="4" t="s">
        <v>84</v>
      </c>
      <c r="T247" s="3">
        <v>2</v>
      </c>
      <c r="U247" s="4" t="str" cm="1">
        <f t="array" ref="U247">_xlfn.IFS(V247&lt;=4, "Dissatisfied",V247&lt;=7,"Neutral",V247&gt;=8,"Satisfied")</f>
        <v>Satisfied</v>
      </c>
      <c r="V247" s="3">
        <v>10</v>
      </c>
      <c r="W247" s="4" t="s">
        <v>85</v>
      </c>
      <c r="X247" s="4" t="s">
        <v>101</v>
      </c>
      <c r="Y247" s="4" t="s">
        <v>86</v>
      </c>
      <c r="Z247" s="1">
        <v>45386</v>
      </c>
      <c r="AA247" s="4" t="str" cm="1">
        <f t="array" ref="AA247">_xlfn.IFS(OR(AB247="December", AB247="February", AB247="January"), "Winter", OR(AB247="March", AB247="April", AB247="May"), "Spring", OR(AB247="June", AB247="July", AB247="August"), "Summer", TRUE, "Autumn")</f>
        <v>Spring</v>
      </c>
      <c r="AB247" s="7" t="str">
        <f>TEXT(Z247, "mmmm")</f>
        <v>April</v>
      </c>
      <c r="AC247" s="1" t="str">
        <f>TEXT(Z247, "dddd")</f>
        <v>Thursday</v>
      </c>
      <c r="AD247" s="4" t="s">
        <v>62</v>
      </c>
      <c r="AE247" s="4" t="s">
        <v>76</v>
      </c>
      <c r="AF247" s="4" t="s">
        <v>102</v>
      </c>
      <c r="AG247" s="4" t="s">
        <v>64</v>
      </c>
      <c r="AH247" s="3">
        <v>7</v>
      </c>
    </row>
    <row r="248" spans="1:34">
      <c r="A248" s="4" t="s">
        <v>603</v>
      </c>
      <c r="B248" s="3">
        <v>47</v>
      </c>
      <c r="C248" s="9" t="str" cm="1">
        <f t="array" ref="C248">_xlfn.IFS(B248&gt;65,"+65",B248&gt;54,"55-65",B248&gt;44,"45-54",B248&gt;35,"36-44",B248&gt;25,"26-35",B248&gt;=18,"18-25")</f>
        <v>45-54</v>
      </c>
      <c r="D248" s="4" t="s">
        <v>78</v>
      </c>
      <c r="E248" s="4" t="s">
        <v>72</v>
      </c>
      <c r="F248" s="4" t="s">
        <v>95</v>
      </c>
      <c r="G248" s="4" t="s">
        <v>80</v>
      </c>
      <c r="H248" s="4" t="s">
        <v>604</v>
      </c>
      <c r="I248" s="4" t="s">
        <v>172</v>
      </c>
      <c r="J248" s="5">
        <v>421.5</v>
      </c>
      <c r="K248" s="3">
        <v>11</v>
      </c>
      <c r="L248" s="4" t="str">
        <f>IF(AND(J248&gt;350,K248&gt;6), "True","False")</f>
        <v>True</v>
      </c>
      <c r="M248" s="4" t="s">
        <v>56</v>
      </c>
      <c r="N248" s="3">
        <v>5</v>
      </c>
      <c r="O248" s="4" t="str" cm="1">
        <f t="array" ref="O248">_xlfn.IFS(P248&lt;=2,"Poor",P248=3,"Average",P248&gt;=4,"Good")</f>
        <v>Poor</v>
      </c>
      <c r="P248" s="3">
        <v>1</v>
      </c>
      <c r="Q248" s="2">
        <v>2</v>
      </c>
      <c r="R248" s="4" t="s">
        <v>59</v>
      </c>
      <c r="S248" s="4" t="s">
        <v>84</v>
      </c>
      <c r="T248" s="3">
        <v>0</v>
      </c>
      <c r="U248" s="4" t="str" cm="1">
        <f t="array" ref="U248">_xlfn.IFS(V248&lt;=4, "Dissatisfied",V248&lt;=7,"Neutral",V248&gt;=8,"Satisfied")</f>
        <v>Satisfied</v>
      </c>
      <c r="V248" s="3">
        <v>8</v>
      </c>
      <c r="W248" s="4" t="s">
        <v>57</v>
      </c>
      <c r="X248" s="4" t="s">
        <v>101</v>
      </c>
      <c r="Y248" s="4" t="s">
        <v>86</v>
      </c>
      <c r="Z248" s="1">
        <v>45386</v>
      </c>
      <c r="AA248" s="4" t="str" cm="1">
        <f t="array" ref="AA248">_xlfn.IFS(OR(AB248="December", AB248="February", AB248="January"), "Winter", OR(AB248="March", AB248="April", AB248="May"), "Spring", OR(AB248="June", AB248="July", AB248="August"), "Summer", TRUE, "Autumn")</f>
        <v>Spring</v>
      </c>
      <c r="AB248" s="7" t="str">
        <f>TEXT(Z248, "mmmm")</f>
        <v>April</v>
      </c>
      <c r="AC248" s="1" t="str">
        <f>TEXT(Z248, "dddd")</f>
        <v>Thursday</v>
      </c>
      <c r="AD248" s="4" t="s">
        <v>62</v>
      </c>
      <c r="AE248" s="4" t="s">
        <v>62</v>
      </c>
      <c r="AF248" s="4" t="s">
        <v>63</v>
      </c>
      <c r="AG248" s="4" t="s">
        <v>93</v>
      </c>
      <c r="AH248" s="3">
        <v>3</v>
      </c>
    </row>
    <row r="249" spans="1:34">
      <c r="A249" s="4" t="s">
        <v>605</v>
      </c>
      <c r="B249" s="3">
        <v>44</v>
      </c>
      <c r="C249" s="9" t="str" cm="1">
        <f t="array" ref="C249">_xlfn.IFS(B249&gt;65,"+65",B249&gt;54,"55-65",B249&gt;44,"45-54",B249&gt;35,"36-44",B249&gt;25,"26-35",B249&gt;=18,"18-25")</f>
        <v>36-44</v>
      </c>
      <c r="D249" s="4" t="s">
        <v>78</v>
      </c>
      <c r="E249" s="4" t="s">
        <v>72</v>
      </c>
      <c r="F249" s="4" t="s">
        <v>52</v>
      </c>
      <c r="G249" s="4" t="s">
        <v>53</v>
      </c>
      <c r="H249" s="4" t="s">
        <v>606</v>
      </c>
      <c r="I249" s="4" t="s">
        <v>234</v>
      </c>
      <c r="J249" s="5">
        <v>191.21</v>
      </c>
      <c r="K249" s="3">
        <v>7</v>
      </c>
      <c r="L249" s="4" t="str">
        <f>IF(AND(J249&gt;350,K249&gt;6), "True","False")</f>
        <v>False</v>
      </c>
      <c r="M249" s="4" t="s">
        <v>83</v>
      </c>
      <c r="N249" s="3">
        <v>5</v>
      </c>
      <c r="O249" s="4" t="str" cm="1">
        <f t="array" ref="O249">_xlfn.IFS(P249&lt;=2,"Poor",P249=3,"Average",P249&gt;=4,"Good")</f>
        <v>Good</v>
      </c>
      <c r="P249" s="3">
        <v>4</v>
      </c>
      <c r="Q249" s="2">
        <v>1</v>
      </c>
      <c r="R249" s="4" t="s">
        <v>59</v>
      </c>
      <c r="S249" s="4" t="s">
        <v>73</v>
      </c>
      <c r="T249" s="3">
        <v>2</v>
      </c>
      <c r="U249" s="4" t="str" cm="1">
        <f t="array" ref="U249">_xlfn.IFS(V249&lt;=4, "Dissatisfied",V249&lt;=7,"Neutral",V249&gt;=8,"Satisfied")</f>
        <v>Neutral</v>
      </c>
      <c r="V249" s="3">
        <v>6</v>
      </c>
      <c r="W249" s="4" t="s">
        <v>59</v>
      </c>
      <c r="X249" s="4" t="s">
        <v>60</v>
      </c>
      <c r="Y249" s="4" t="s">
        <v>75</v>
      </c>
      <c r="Z249" s="1">
        <v>45386</v>
      </c>
      <c r="AA249" s="4" t="str" cm="1">
        <f t="array" ref="AA249">_xlfn.IFS(OR(AB249="December", AB249="February", AB249="January"), "Winter", OR(AB249="March", AB249="April", AB249="May"), "Spring", OR(AB249="June", AB249="July", AB249="August"), "Summer", TRUE, "Autumn")</f>
        <v>Spring</v>
      </c>
      <c r="AB249" s="7" t="str">
        <f>TEXT(Z249, "mmmm")</f>
        <v>April</v>
      </c>
      <c r="AC249" s="1" t="str">
        <f>TEXT(Z249, "dddd")</f>
        <v>Thursday</v>
      </c>
      <c r="AD249" s="4" t="s">
        <v>76</v>
      </c>
      <c r="AE249" s="4" t="s">
        <v>76</v>
      </c>
      <c r="AF249" s="4" t="s">
        <v>63</v>
      </c>
      <c r="AG249" s="4" t="s">
        <v>88</v>
      </c>
      <c r="AH249" s="3">
        <v>13</v>
      </c>
    </row>
    <row r="250" spans="1:34">
      <c r="A250" s="4" t="s">
        <v>607</v>
      </c>
      <c r="B250" s="3">
        <v>43</v>
      </c>
      <c r="C250" s="9" t="str" cm="1">
        <f t="array" ref="C250">_xlfn.IFS(B250&gt;65,"+65",B250&gt;54,"55-65",B250&gt;44,"45-54",B250&gt;35,"36-44",B250&gt;25,"26-35",B250&gt;=18,"18-25")</f>
        <v>36-44</v>
      </c>
      <c r="D250" s="4" t="s">
        <v>78</v>
      </c>
      <c r="E250" s="4" t="s">
        <v>72</v>
      </c>
      <c r="F250" s="4" t="s">
        <v>79</v>
      </c>
      <c r="G250" s="4" t="s">
        <v>53</v>
      </c>
      <c r="H250" s="4" t="s">
        <v>608</v>
      </c>
      <c r="I250" s="4" t="s">
        <v>133</v>
      </c>
      <c r="J250" s="5">
        <v>427.82</v>
      </c>
      <c r="K250" s="3">
        <v>9</v>
      </c>
      <c r="L250" s="4" t="str">
        <f>IF(AND(J250&gt;350,K250&gt;6), "True","False")</f>
        <v>True</v>
      </c>
      <c r="M250" s="4" t="s">
        <v>71</v>
      </c>
      <c r="N250" s="3">
        <v>5</v>
      </c>
      <c r="O250" s="4" t="str" cm="1">
        <f t="array" ref="O250">_xlfn.IFS(P250&lt;=2,"Poor",P250=3,"Average",P250&gt;=4,"Good")</f>
        <v>Good</v>
      </c>
      <c r="P250" s="3">
        <v>5</v>
      </c>
      <c r="Q250" s="2">
        <v>0</v>
      </c>
      <c r="R250" s="4" t="s">
        <v>85</v>
      </c>
      <c r="S250" s="4" t="s">
        <v>84</v>
      </c>
      <c r="T250" s="3">
        <v>1</v>
      </c>
      <c r="U250" s="4" t="str" cm="1">
        <f t="array" ref="U250">_xlfn.IFS(V250&lt;=4, "Dissatisfied",V250&lt;=7,"Neutral",V250&gt;=8,"Satisfied")</f>
        <v>Dissatisfied</v>
      </c>
      <c r="V250" s="3">
        <v>2</v>
      </c>
      <c r="W250" s="4" t="s">
        <v>85</v>
      </c>
      <c r="X250" s="4" t="s">
        <v>101</v>
      </c>
      <c r="Y250" s="4" t="s">
        <v>86</v>
      </c>
      <c r="Z250" s="1">
        <v>45386</v>
      </c>
      <c r="AA250" s="4" t="str" cm="1">
        <f t="array" ref="AA250">_xlfn.IFS(OR(AB250="December", AB250="February", AB250="January"), "Winter", OR(AB250="March", AB250="April", AB250="May"), "Spring", OR(AB250="June", AB250="July", AB250="August"), "Summer", TRUE, "Autumn")</f>
        <v>Spring</v>
      </c>
      <c r="AB250" s="7" t="str">
        <f>TEXT(Z250, "mmmm")</f>
        <v>April</v>
      </c>
      <c r="AC250" s="1" t="str">
        <f>TEXT(Z250, "dddd")</f>
        <v>Thursday</v>
      </c>
      <c r="AD250" s="4" t="s">
        <v>62</v>
      </c>
      <c r="AE250" s="4" t="s">
        <v>76</v>
      </c>
      <c r="AF250" s="4" t="s">
        <v>102</v>
      </c>
      <c r="AG250" s="4" t="s">
        <v>88</v>
      </c>
      <c r="AH250" s="3">
        <v>14</v>
      </c>
    </row>
    <row r="251" spans="1:34">
      <c r="A251" s="4" t="s">
        <v>609</v>
      </c>
      <c r="B251" s="3">
        <v>33</v>
      </c>
      <c r="C251" s="9" t="str" cm="1">
        <f t="array" ref="C251">_xlfn.IFS(B251&gt;65,"+65",B251&gt;54,"55-65",B251&gt;44,"45-54",B251&gt;35,"36-44",B251&gt;25,"26-35",B251&gt;=18,"18-25")</f>
        <v>26-35</v>
      </c>
      <c r="D251" s="4" t="s">
        <v>78</v>
      </c>
      <c r="E251" s="4" t="s">
        <v>51</v>
      </c>
      <c r="F251" s="4" t="s">
        <v>79</v>
      </c>
      <c r="G251" s="4" t="s">
        <v>68</v>
      </c>
      <c r="H251" s="4" t="s">
        <v>610</v>
      </c>
      <c r="I251" s="4" t="s">
        <v>91</v>
      </c>
      <c r="J251" s="5">
        <v>221.88</v>
      </c>
      <c r="K251" s="3">
        <v>12</v>
      </c>
      <c r="L251" s="4" t="str">
        <f>IF(AND(J251&gt;350,K251&gt;6), "True","False")</f>
        <v>False</v>
      </c>
      <c r="M251" s="4" t="s">
        <v>71</v>
      </c>
      <c r="N251" s="3">
        <v>1</v>
      </c>
      <c r="O251" s="4" t="str" cm="1">
        <f t="array" ref="O251">_xlfn.IFS(P251&lt;=2,"Poor",P251=3,"Average",P251&gt;=4,"Good")</f>
        <v>Good</v>
      </c>
      <c r="P251" s="3">
        <v>4</v>
      </c>
      <c r="Q251" s="2">
        <v>2</v>
      </c>
      <c r="R251" s="4" t="s">
        <v>59</v>
      </c>
      <c r="S251" s="4" t="s">
        <v>84</v>
      </c>
      <c r="T251" s="3">
        <v>1</v>
      </c>
      <c r="U251" s="4" t="str" cm="1">
        <f t="array" ref="U251">_xlfn.IFS(V251&lt;=4, "Dissatisfied",V251&lt;=7,"Neutral",V251&gt;=8,"Satisfied")</f>
        <v>Neutral</v>
      </c>
      <c r="V251" s="3">
        <v>6</v>
      </c>
      <c r="W251" s="4" t="s">
        <v>57</v>
      </c>
      <c r="X251" s="4" t="s">
        <v>101</v>
      </c>
      <c r="Y251" s="4" t="s">
        <v>111</v>
      </c>
      <c r="Z251" s="1">
        <v>45386</v>
      </c>
      <c r="AA251" s="4" t="str" cm="1">
        <f t="array" ref="AA251">_xlfn.IFS(OR(AB251="December", AB251="February", AB251="January"), "Winter", OR(AB251="March", AB251="April", AB251="May"), "Spring", OR(AB251="June", AB251="July", AB251="August"), "Summer", TRUE, "Autumn")</f>
        <v>Spring</v>
      </c>
      <c r="AB251" s="7" t="str">
        <f>TEXT(Z251, "mmmm")</f>
        <v>April</v>
      </c>
      <c r="AC251" s="1" t="str">
        <f>TEXT(Z251, "dddd")</f>
        <v>Thursday</v>
      </c>
      <c r="AD251" s="4" t="s">
        <v>62</v>
      </c>
      <c r="AE251" s="4" t="s">
        <v>76</v>
      </c>
      <c r="AF251" s="4" t="s">
        <v>63</v>
      </c>
      <c r="AG251" s="4" t="s">
        <v>93</v>
      </c>
      <c r="AH251" s="3">
        <v>9</v>
      </c>
    </row>
    <row r="252" spans="1:34">
      <c r="A252" s="4" t="s">
        <v>611</v>
      </c>
      <c r="B252" s="3">
        <v>31</v>
      </c>
      <c r="C252" s="9" t="str" cm="1">
        <f t="array" ref="C252">_xlfn.IFS(B252&gt;65,"+65",B252&gt;54,"55-65",B252&gt;44,"45-54",B252&gt;35,"36-44",B252&gt;25,"26-35",B252&gt;=18,"18-25")</f>
        <v>26-35</v>
      </c>
      <c r="D252" s="4" t="s">
        <v>66</v>
      </c>
      <c r="E252" s="4" t="s">
        <v>51</v>
      </c>
      <c r="F252" s="4" t="s">
        <v>79</v>
      </c>
      <c r="G252" s="4" t="s">
        <v>80</v>
      </c>
      <c r="H252" s="4" t="s">
        <v>612</v>
      </c>
      <c r="I252" s="4" t="s">
        <v>164</v>
      </c>
      <c r="J252" s="5">
        <v>467.5</v>
      </c>
      <c r="K252" s="3">
        <v>6</v>
      </c>
      <c r="L252" s="4" t="str">
        <f>IF(AND(J252&gt;350,K252&gt;6), "True","False")</f>
        <v>False</v>
      </c>
      <c r="M252" s="4" t="s">
        <v>71</v>
      </c>
      <c r="N252" s="3">
        <v>2</v>
      </c>
      <c r="O252" s="4" t="str" cm="1">
        <f t="array" ref="O252">_xlfn.IFS(P252&lt;=2,"Poor",P252=3,"Average",P252&gt;=4,"Good")</f>
        <v>Poor</v>
      </c>
      <c r="P252" s="3">
        <v>1</v>
      </c>
      <c r="Q252" s="2">
        <v>0</v>
      </c>
      <c r="R252" s="4" t="s">
        <v>57</v>
      </c>
      <c r="S252" s="4" t="s">
        <v>84</v>
      </c>
      <c r="T252" s="3">
        <v>1</v>
      </c>
      <c r="U252" s="4" t="str" cm="1">
        <f t="array" ref="U252">_xlfn.IFS(V252&lt;=4, "Dissatisfied",V252&lt;=7,"Neutral",V252&gt;=8,"Satisfied")</f>
        <v>Dissatisfied</v>
      </c>
      <c r="V252" s="3">
        <v>1</v>
      </c>
      <c r="W252" s="4" t="s">
        <v>72</v>
      </c>
      <c r="X252" s="4" t="s">
        <v>101</v>
      </c>
      <c r="Y252" s="4" t="s">
        <v>86</v>
      </c>
      <c r="Z252" s="1">
        <v>45386</v>
      </c>
      <c r="AA252" s="4" t="str" cm="1">
        <f t="array" ref="AA252">_xlfn.IFS(OR(AB252="December", AB252="February", AB252="January"), "Winter", OR(AB252="March", AB252="April", AB252="May"), "Spring", OR(AB252="June", AB252="July", AB252="August"), "Summer", TRUE, "Autumn")</f>
        <v>Spring</v>
      </c>
      <c r="AB252" s="7" t="str">
        <f>TEXT(Z252, "mmmm")</f>
        <v>April</v>
      </c>
      <c r="AC252" s="1" t="str">
        <f>TEXT(Z252, "dddd")</f>
        <v>Thursday</v>
      </c>
      <c r="AD252" s="4" t="s">
        <v>76</v>
      </c>
      <c r="AE252" s="4" t="s">
        <v>76</v>
      </c>
      <c r="AF252" s="4" t="s">
        <v>87</v>
      </c>
      <c r="AG252" s="4" t="s">
        <v>88</v>
      </c>
      <c r="AH252" s="3">
        <v>6</v>
      </c>
    </row>
    <row r="253" spans="1:34">
      <c r="A253" s="4" t="s">
        <v>613</v>
      </c>
      <c r="B253" s="3">
        <v>30</v>
      </c>
      <c r="C253" s="9" t="str" cm="1">
        <f t="array" ref="C253">_xlfn.IFS(B253&gt;65,"+65",B253&gt;54,"55-65",B253&gt;44,"45-54",B253&gt;35,"36-44",B253&gt;25,"26-35",B253&gt;=18,"18-25")</f>
        <v>26-35</v>
      </c>
      <c r="D253" s="4" t="s">
        <v>78</v>
      </c>
      <c r="E253" s="4" t="s">
        <v>72</v>
      </c>
      <c r="F253" s="4" t="s">
        <v>67</v>
      </c>
      <c r="G253" s="4" t="s">
        <v>68</v>
      </c>
      <c r="H253" s="4" t="s">
        <v>614</v>
      </c>
      <c r="I253" s="4" t="s">
        <v>70</v>
      </c>
      <c r="J253" s="5">
        <v>268.58999999999997</v>
      </c>
      <c r="K253" s="3">
        <v>4</v>
      </c>
      <c r="L253" s="4" t="str">
        <f>IF(AND(J253&gt;350,K253&gt;6), "True","False")</f>
        <v>False</v>
      </c>
      <c r="M253" s="4" t="s">
        <v>56</v>
      </c>
      <c r="N253" s="3">
        <v>3</v>
      </c>
      <c r="O253" s="4" t="str" cm="1">
        <f t="array" ref="O253">_xlfn.IFS(P253&lt;=2,"Poor",P253=3,"Average",P253&gt;=4,"Good")</f>
        <v>Average</v>
      </c>
      <c r="P253" s="3">
        <v>3</v>
      </c>
      <c r="Q253" s="2">
        <v>1</v>
      </c>
      <c r="R253" s="4" t="s">
        <v>72</v>
      </c>
      <c r="S253" s="4" t="s">
        <v>73</v>
      </c>
      <c r="T253" s="3">
        <v>1</v>
      </c>
      <c r="U253" s="4" t="str" cm="1">
        <f t="array" ref="U253">_xlfn.IFS(V253&lt;=4, "Dissatisfied",V253&lt;=7,"Neutral",V253&gt;=8,"Satisfied")</f>
        <v>Dissatisfied</v>
      </c>
      <c r="V253" s="3">
        <v>1</v>
      </c>
      <c r="W253" s="4" t="s">
        <v>85</v>
      </c>
      <c r="X253" s="4" t="s">
        <v>101</v>
      </c>
      <c r="Y253" s="4" t="s">
        <v>75</v>
      </c>
      <c r="Z253" s="1">
        <v>45387</v>
      </c>
      <c r="AA253" s="4" t="str" cm="1">
        <f t="array" ref="AA253">_xlfn.IFS(OR(AB253="December", AB253="February", AB253="January"), "Winter", OR(AB253="March", AB253="April", AB253="May"), "Spring", OR(AB253="June", AB253="July", AB253="August"), "Summer", TRUE, "Autumn")</f>
        <v>Spring</v>
      </c>
      <c r="AB253" s="7" t="str">
        <f>TEXT(Z253, "mmmm")</f>
        <v>April</v>
      </c>
      <c r="AC253" s="1" t="str">
        <f>TEXT(Z253, "dddd")</f>
        <v>Friday</v>
      </c>
      <c r="AD253" s="4" t="s">
        <v>62</v>
      </c>
      <c r="AE253" s="4" t="s">
        <v>62</v>
      </c>
      <c r="AF253" s="4" t="s">
        <v>63</v>
      </c>
      <c r="AG253" s="4" t="s">
        <v>64</v>
      </c>
      <c r="AH253" s="3">
        <v>3</v>
      </c>
    </row>
    <row r="254" spans="1:34">
      <c r="A254" s="4" t="s">
        <v>615</v>
      </c>
      <c r="B254" s="3">
        <v>45</v>
      </c>
      <c r="C254" s="9" t="str" cm="1">
        <f t="array" ref="C254">_xlfn.IFS(B254&gt;65,"+65",B254&gt;54,"55-65",B254&gt;44,"45-54",B254&gt;35,"36-44",B254&gt;25,"26-35",B254&gt;=18,"18-25")</f>
        <v>45-54</v>
      </c>
      <c r="D254" s="4" t="s">
        <v>66</v>
      </c>
      <c r="E254" s="4" t="s">
        <v>51</v>
      </c>
      <c r="F254" s="4" t="s">
        <v>79</v>
      </c>
      <c r="G254" s="4" t="s">
        <v>68</v>
      </c>
      <c r="H254" s="4" t="s">
        <v>616</v>
      </c>
      <c r="I254" s="4" t="s">
        <v>118</v>
      </c>
      <c r="J254" s="5">
        <v>430.75</v>
      </c>
      <c r="K254" s="3">
        <v>8</v>
      </c>
      <c r="L254" s="4" t="str">
        <f>IF(AND(J254&gt;350,K254&gt;6), "True","False")</f>
        <v>True</v>
      </c>
      <c r="M254" s="4" t="s">
        <v>83</v>
      </c>
      <c r="N254" s="3">
        <v>3</v>
      </c>
      <c r="O254" s="4" t="str" cm="1">
        <f t="array" ref="O254">_xlfn.IFS(P254&lt;=2,"Poor",P254=3,"Average",P254&gt;=4,"Good")</f>
        <v>Good</v>
      </c>
      <c r="P254" s="3">
        <v>4</v>
      </c>
      <c r="Q254" s="2">
        <v>2</v>
      </c>
      <c r="R254" s="4" t="s">
        <v>59</v>
      </c>
      <c r="S254" s="4" t="s">
        <v>73</v>
      </c>
      <c r="T254" s="3">
        <v>1</v>
      </c>
      <c r="U254" s="4" t="str" cm="1">
        <f t="array" ref="U254">_xlfn.IFS(V254&lt;=4, "Dissatisfied",V254&lt;=7,"Neutral",V254&gt;=8,"Satisfied")</f>
        <v>Neutral</v>
      </c>
      <c r="V254" s="3">
        <v>5</v>
      </c>
      <c r="W254" s="4" t="s">
        <v>57</v>
      </c>
      <c r="X254" s="4" t="s">
        <v>74</v>
      </c>
      <c r="Y254" s="4" t="s">
        <v>61</v>
      </c>
      <c r="Z254" s="1">
        <v>45388</v>
      </c>
      <c r="AA254" s="4" t="str" cm="1">
        <f t="array" ref="AA254">_xlfn.IFS(OR(AB254="December", AB254="February", AB254="January"), "Winter", OR(AB254="March", AB254="April", AB254="May"), "Spring", OR(AB254="June", AB254="July", AB254="August"), "Summer", TRUE, "Autumn")</f>
        <v>Spring</v>
      </c>
      <c r="AB254" s="7" t="str">
        <f>TEXT(Z254, "mmmm")</f>
        <v>April</v>
      </c>
      <c r="AC254" s="1" t="str">
        <f>TEXT(Z254, "dddd")</f>
        <v>Saturday</v>
      </c>
      <c r="AD254" s="4" t="s">
        <v>76</v>
      </c>
      <c r="AE254" s="4" t="s">
        <v>76</v>
      </c>
      <c r="AF254" s="4" t="s">
        <v>63</v>
      </c>
      <c r="AG254" s="4" t="s">
        <v>88</v>
      </c>
      <c r="AH254" s="3">
        <v>6</v>
      </c>
    </row>
    <row r="255" spans="1:34">
      <c r="A255" s="4" t="s">
        <v>617</v>
      </c>
      <c r="B255" s="3">
        <v>40</v>
      </c>
      <c r="C255" s="9" t="str" cm="1">
        <f t="array" ref="C255">_xlfn.IFS(B255&gt;65,"+65",B255&gt;54,"55-65",B255&gt;44,"45-54",B255&gt;35,"36-44",B255&gt;25,"26-35",B255&gt;=18,"18-25")</f>
        <v>36-44</v>
      </c>
      <c r="D255" s="4" t="s">
        <v>78</v>
      </c>
      <c r="E255" s="4" t="s">
        <v>72</v>
      </c>
      <c r="F255" s="4" t="s">
        <v>79</v>
      </c>
      <c r="G255" s="4" t="s">
        <v>53</v>
      </c>
      <c r="H255" s="4" t="s">
        <v>618</v>
      </c>
      <c r="I255" s="4" t="s">
        <v>172</v>
      </c>
      <c r="J255" s="5">
        <v>105.64</v>
      </c>
      <c r="K255" s="3">
        <v>6</v>
      </c>
      <c r="L255" s="4" t="str">
        <f>IF(AND(J255&gt;350,K255&gt;6), "True","False")</f>
        <v>False</v>
      </c>
      <c r="M255" s="4" t="s">
        <v>56</v>
      </c>
      <c r="N255" s="3">
        <v>1</v>
      </c>
      <c r="O255" s="4" t="str" cm="1">
        <f t="array" ref="O255">_xlfn.IFS(P255&lt;=2,"Poor",P255=3,"Average",P255&gt;=4,"Good")</f>
        <v>Average</v>
      </c>
      <c r="P255" s="3">
        <v>3</v>
      </c>
      <c r="Q255" s="2">
        <v>0</v>
      </c>
      <c r="R255" s="4" t="s">
        <v>59</v>
      </c>
      <c r="S255" s="4" t="s">
        <v>73</v>
      </c>
      <c r="T255" s="3">
        <v>2</v>
      </c>
      <c r="U255" s="4" t="str" cm="1">
        <f t="array" ref="U255">_xlfn.IFS(V255&lt;=4, "Dissatisfied",V255&lt;=7,"Neutral",V255&gt;=8,"Satisfied")</f>
        <v>Dissatisfied</v>
      </c>
      <c r="V255" s="3">
        <v>1</v>
      </c>
      <c r="W255" s="4" t="s">
        <v>57</v>
      </c>
      <c r="X255" s="4" t="s">
        <v>60</v>
      </c>
      <c r="Y255" s="4" t="s">
        <v>111</v>
      </c>
      <c r="Z255" s="1">
        <v>45388</v>
      </c>
      <c r="AA255" s="4" t="str" cm="1">
        <f t="array" ref="AA255">_xlfn.IFS(OR(AB255="December", AB255="February", AB255="January"), "Winter", OR(AB255="March", AB255="April", AB255="May"), "Spring", OR(AB255="June", AB255="July", AB255="August"), "Summer", TRUE, "Autumn")</f>
        <v>Spring</v>
      </c>
      <c r="AB255" s="7" t="str">
        <f>TEXT(Z255, "mmmm")</f>
        <v>April</v>
      </c>
      <c r="AC255" s="1" t="str">
        <f>TEXT(Z255, "dddd")</f>
        <v>Saturday</v>
      </c>
      <c r="AD255" s="4" t="s">
        <v>62</v>
      </c>
      <c r="AE255" s="4" t="s">
        <v>62</v>
      </c>
      <c r="AF255" s="4" t="s">
        <v>87</v>
      </c>
      <c r="AG255" s="4" t="s">
        <v>88</v>
      </c>
      <c r="AH255" s="3">
        <v>12</v>
      </c>
    </row>
    <row r="256" spans="1:34">
      <c r="A256" s="4" t="s">
        <v>619</v>
      </c>
      <c r="B256" s="3">
        <v>37</v>
      </c>
      <c r="C256" s="9" t="str" cm="1">
        <f t="array" ref="C256">_xlfn.IFS(B256&gt;65,"+65",B256&gt;54,"55-65",B256&gt;44,"45-54",B256&gt;35,"36-44",B256&gt;25,"26-35",B256&gt;=18,"18-25")</f>
        <v>36-44</v>
      </c>
      <c r="D256" s="4" t="s">
        <v>66</v>
      </c>
      <c r="E256" s="4" t="s">
        <v>51</v>
      </c>
      <c r="F256" s="4" t="s">
        <v>79</v>
      </c>
      <c r="G256" s="4" t="s">
        <v>80</v>
      </c>
      <c r="H256" s="4" t="s">
        <v>620</v>
      </c>
      <c r="I256" s="4" t="s">
        <v>194</v>
      </c>
      <c r="J256" s="5">
        <v>161.41</v>
      </c>
      <c r="K256" s="3">
        <v>9</v>
      </c>
      <c r="L256" s="4" t="str">
        <f>IF(AND(J256&gt;350,K256&gt;6), "True","False")</f>
        <v>False</v>
      </c>
      <c r="M256" s="4" t="s">
        <v>83</v>
      </c>
      <c r="N256" s="3">
        <v>1</v>
      </c>
      <c r="O256" s="4" t="str" cm="1">
        <f t="array" ref="O256">_xlfn.IFS(P256&lt;=2,"Poor",P256=3,"Average",P256&gt;=4,"Good")</f>
        <v>Good</v>
      </c>
      <c r="P256" s="3">
        <v>4</v>
      </c>
      <c r="Q256" s="2">
        <v>0</v>
      </c>
      <c r="R256" s="4" t="s">
        <v>59</v>
      </c>
      <c r="S256" s="4" t="s">
        <v>73</v>
      </c>
      <c r="T256" s="3">
        <v>1</v>
      </c>
      <c r="U256" s="4" t="str" cm="1">
        <f t="array" ref="U256">_xlfn.IFS(V256&lt;=4, "Dissatisfied",V256&lt;=7,"Neutral",V256&gt;=8,"Satisfied")</f>
        <v>Satisfied</v>
      </c>
      <c r="V256" s="3">
        <v>8</v>
      </c>
      <c r="W256" s="4" t="s">
        <v>72</v>
      </c>
      <c r="X256" s="4" t="s">
        <v>101</v>
      </c>
      <c r="Y256" s="4" t="s">
        <v>86</v>
      </c>
      <c r="Z256" s="1">
        <v>45389</v>
      </c>
      <c r="AA256" s="4" t="str" cm="1">
        <f t="array" ref="AA256">_xlfn.IFS(OR(AB256="December", AB256="February", AB256="January"), "Winter", OR(AB256="March", AB256="April", AB256="May"), "Spring", OR(AB256="June", AB256="July", AB256="August"), "Summer", TRUE, "Autumn")</f>
        <v>Spring</v>
      </c>
      <c r="AB256" s="7" t="str">
        <f>TEXT(Z256, "mmmm")</f>
        <v>April</v>
      </c>
      <c r="AC256" s="1" t="str">
        <f>TEXT(Z256, "dddd")</f>
        <v>Sunday</v>
      </c>
      <c r="AD256" s="4" t="s">
        <v>62</v>
      </c>
      <c r="AE256" s="4" t="s">
        <v>76</v>
      </c>
      <c r="AF256" s="4" t="s">
        <v>92</v>
      </c>
      <c r="AG256" s="4" t="s">
        <v>64</v>
      </c>
      <c r="AH256" s="3">
        <v>3</v>
      </c>
    </row>
    <row r="257" spans="1:34">
      <c r="A257" s="4" t="s">
        <v>621</v>
      </c>
      <c r="B257" s="3">
        <v>47</v>
      </c>
      <c r="C257" s="9" t="str" cm="1">
        <f t="array" ref="C257">_xlfn.IFS(B257&gt;65,"+65",B257&gt;54,"55-65",B257&gt;44,"45-54",B257&gt;35,"36-44",B257&gt;25,"26-35",B257&gt;=18,"18-25")</f>
        <v>45-54</v>
      </c>
      <c r="D257" s="4" t="s">
        <v>66</v>
      </c>
      <c r="E257" s="4" t="s">
        <v>72</v>
      </c>
      <c r="F257" s="4" t="s">
        <v>79</v>
      </c>
      <c r="G257" s="4" t="s">
        <v>80</v>
      </c>
      <c r="H257" s="4" t="s">
        <v>622</v>
      </c>
      <c r="I257" s="4" t="s">
        <v>55</v>
      </c>
      <c r="J257" s="5">
        <v>164.44</v>
      </c>
      <c r="K257" s="3">
        <v>5</v>
      </c>
      <c r="L257" s="4" t="str">
        <f>IF(AND(J257&gt;350,K257&gt;6), "True","False")</f>
        <v>False</v>
      </c>
      <c r="M257" s="4" t="s">
        <v>71</v>
      </c>
      <c r="N257" s="3">
        <v>5</v>
      </c>
      <c r="O257" s="4" t="str" cm="1">
        <f t="array" ref="O257">_xlfn.IFS(P257&lt;=2,"Poor",P257=3,"Average",P257&gt;=4,"Good")</f>
        <v>Poor</v>
      </c>
      <c r="P257" s="3">
        <v>1</v>
      </c>
      <c r="Q257" s="2">
        <v>2</v>
      </c>
      <c r="R257" s="4" t="s">
        <v>59</v>
      </c>
      <c r="S257" s="4" t="s">
        <v>84</v>
      </c>
      <c r="T257" s="3">
        <v>1</v>
      </c>
      <c r="U257" s="4" t="str" cm="1">
        <f t="array" ref="U257">_xlfn.IFS(V257&lt;=4, "Dissatisfied",V257&lt;=7,"Neutral",V257&gt;=8,"Satisfied")</f>
        <v>Satisfied</v>
      </c>
      <c r="V257" s="3">
        <v>10</v>
      </c>
      <c r="W257" s="4" t="s">
        <v>72</v>
      </c>
      <c r="X257" s="4" t="s">
        <v>60</v>
      </c>
      <c r="Y257" s="4" t="s">
        <v>111</v>
      </c>
      <c r="Z257" s="1">
        <v>45390</v>
      </c>
      <c r="AA257" s="4" t="str" cm="1">
        <f t="array" ref="AA257">_xlfn.IFS(OR(AB257="December", AB257="February", AB257="January"), "Winter", OR(AB257="March", AB257="April", AB257="May"), "Spring", OR(AB257="June", AB257="July", AB257="August"), "Summer", TRUE, "Autumn")</f>
        <v>Spring</v>
      </c>
      <c r="AB257" s="7" t="str">
        <f>TEXT(Z257, "mmmm")</f>
        <v>April</v>
      </c>
      <c r="AC257" s="1" t="str">
        <f>TEXT(Z257, "dddd")</f>
        <v>Monday</v>
      </c>
      <c r="AD257" s="4" t="s">
        <v>76</v>
      </c>
      <c r="AE257" s="4" t="s">
        <v>76</v>
      </c>
      <c r="AF257" s="4" t="s">
        <v>92</v>
      </c>
      <c r="AG257" s="4" t="s">
        <v>88</v>
      </c>
      <c r="AH257" s="3">
        <v>5</v>
      </c>
    </row>
    <row r="258" spans="1:34">
      <c r="A258" s="4" t="s">
        <v>623</v>
      </c>
      <c r="B258" s="3">
        <v>42</v>
      </c>
      <c r="C258" s="9" t="str" cm="1">
        <f t="array" ref="C258">_xlfn.IFS(B258&gt;65,"+65",B258&gt;54,"55-65",B258&gt;44,"45-54",B258&gt;35,"36-44",B258&gt;25,"26-35",B258&gt;=18,"18-25")</f>
        <v>36-44</v>
      </c>
      <c r="D258" s="4" t="s">
        <v>66</v>
      </c>
      <c r="E258" s="4" t="s">
        <v>72</v>
      </c>
      <c r="F258" s="4" t="s">
        <v>52</v>
      </c>
      <c r="G258" s="4" t="s">
        <v>53</v>
      </c>
      <c r="H258" s="4" t="s">
        <v>624</v>
      </c>
      <c r="I258" s="4" t="s">
        <v>275</v>
      </c>
      <c r="J258" s="5">
        <v>411.81</v>
      </c>
      <c r="K258" s="3">
        <v>4</v>
      </c>
      <c r="L258" s="4" t="str">
        <f>IF(AND(J258&gt;350,K258&gt;6), "True","False")</f>
        <v>False</v>
      </c>
      <c r="M258" s="4" t="s">
        <v>83</v>
      </c>
      <c r="N258" s="3">
        <v>1</v>
      </c>
      <c r="O258" s="4" t="str" cm="1">
        <f t="array" ref="O258">_xlfn.IFS(P258&lt;=2,"Poor",P258=3,"Average",P258&gt;=4,"Good")</f>
        <v>Average</v>
      </c>
      <c r="P258" s="3">
        <v>3</v>
      </c>
      <c r="Q258" s="2">
        <v>1</v>
      </c>
      <c r="R258" s="4" t="s">
        <v>72</v>
      </c>
      <c r="S258" s="4" t="s">
        <v>84</v>
      </c>
      <c r="T258" s="3">
        <v>1</v>
      </c>
      <c r="U258" s="4" t="str" cm="1">
        <f t="array" ref="U258">_xlfn.IFS(V258&lt;=4, "Dissatisfied",V258&lt;=7,"Neutral",V258&gt;=8,"Satisfied")</f>
        <v>Dissatisfied</v>
      </c>
      <c r="V258" s="3">
        <v>1</v>
      </c>
      <c r="W258" s="4" t="s">
        <v>72</v>
      </c>
      <c r="X258" s="4" t="s">
        <v>60</v>
      </c>
      <c r="Y258" s="4" t="s">
        <v>61</v>
      </c>
      <c r="Z258" s="1">
        <v>45390</v>
      </c>
      <c r="AA258" s="4" t="str" cm="1">
        <f t="array" ref="AA258">_xlfn.IFS(OR(AB258="December", AB258="February", AB258="January"), "Winter", OR(AB258="March", AB258="April", AB258="May"), "Spring", OR(AB258="June", AB258="July", AB258="August"), "Summer", TRUE, "Autumn")</f>
        <v>Spring</v>
      </c>
      <c r="AB258" s="7" t="str">
        <f>TEXT(Z258, "mmmm")</f>
        <v>April</v>
      </c>
      <c r="AC258" s="1" t="str">
        <f>TEXT(Z258, "dddd")</f>
        <v>Monday</v>
      </c>
      <c r="AD258" s="4" t="s">
        <v>62</v>
      </c>
      <c r="AE258" s="4" t="s">
        <v>62</v>
      </c>
      <c r="AF258" s="4" t="s">
        <v>87</v>
      </c>
      <c r="AG258" s="4" t="s">
        <v>64</v>
      </c>
      <c r="AH258" s="3">
        <v>1</v>
      </c>
    </row>
    <row r="259" spans="1:34">
      <c r="A259" s="4" t="s">
        <v>625</v>
      </c>
      <c r="B259" s="3">
        <v>21</v>
      </c>
      <c r="C259" s="9" t="str" cm="1">
        <f t="array" ref="C259">_xlfn.IFS(B259&gt;65,"+65",B259&gt;54,"55-65",B259&gt;44,"45-54",B259&gt;35,"36-44",B259&gt;25,"26-35",B259&gt;=18,"18-25")</f>
        <v>18-25</v>
      </c>
      <c r="D259" s="4" t="s">
        <v>78</v>
      </c>
      <c r="E259" s="4" t="s">
        <v>72</v>
      </c>
      <c r="F259" s="4" t="s">
        <v>95</v>
      </c>
      <c r="G259" s="4" t="s">
        <v>80</v>
      </c>
      <c r="H259" s="4" t="s">
        <v>626</v>
      </c>
      <c r="I259" s="4" t="s">
        <v>100</v>
      </c>
      <c r="J259" s="5">
        <v>215.54</v>
      </c>
      <c r="K259" s="3">
        <v>11</v>
      </c>
      <c r="L259" s="4" t="str">
        <f>IF(AND(J259&gt;350,K259&gt;6), "True","False")</f>
        <v>False</v>
      </c>
      <c r="M259" s="4" t="s">
        <v>56</v>
      </c>
      <c r="N259" s="3">
        <v>3</v>
      </c>
      <c r="O259" s="4" t="str" cm="1">
        <f t="array" ref="O259">_xlfn.IFS(P259&lt;=2,"Poor",P259=3,"Average",P259&gt;=4,"Good")</f>
        <v>Poor</v>
      </c>
      <c r="P259" s="3">
        <v>1</v>
      </c>
      <c r="Q259" s="2">
        <v>2</v>
      </c>
      <c r="R259" s="4" t="s">
        <v>59</v>
      </c>
      <c r="S259" s="4" t="s">
        <v>84</v>
      </c>
      <c r="T259" s="3">
        <v>2</v>
      </c>
      <c r="U259" s="4" t="str" cm="1">
        <f t="array" ref="U259">_xlfn.IFS(V259&lt;=4, "Dissatisfied",V259&lt;=7,"Neutral",V259&gt;=8,"Satisfied")</f>
        <v>Neutral</v>
      </c>
      <c r="V259" s="3">
        <v>6</v>
      </c>
      <c r="W259" s="4" t="s">
        <v>72</v>
      </c>
      <c r="X259" s="4" t="s">
        <v>101</v>
      </c>
      <c r="Y259" s="4" t="s">
        <v>119</v>
      </c>
      <c r="Z259" s="1">
        <v>45390</v>
      </c>
      <c r="AA259" s="4" t="str" cm="1">
        <f t="array" ref="AA259">_xlfn.IFS(OR(AB259="December", AB259="February", AB259="January"), "Winter", OR(AB259="March", AB259="April", AB259="May"), "Spring", OR(AB259="June", AB259="July", AB259="August"), "Summer", TRUE, "Autumn")</f>
        <v>Spring</v>
      </c>
      <c r="AB259" s="7" t="str">
        <f>TEXT(Z259, "mmmm")</f>
        <v>April</v>
      </c>
      <c r="AC259" s="1" t="str">
        <f>TEXT(Z259, "dddd")</f>
        <v>Monday</v>
      </c>
      <c r="AD259" s="4" t="s">
        <v>62</v>
      </c>
      <c r="AE259" s="4" t="s">
        <v>62</v>
      </c>
      <c r="AF259" s="4" t="s">
        <v>87</v>
      </c>
      <c r="AG259" s="4" t="s">
        <v>88</v>
      </c>
      <c r="AH259" s="3">
        <v>10</v>
      </c>
    </row>
    <row r="260" spans="1:34">
      <c r="A260" s="4" t="s">
        <v>627</v>
      </c>
      <c r="B260" s="3">
        <v>48</v>
      </c>
      <c r="C260" s="9" t="str" cm="1">
        <f t="array" ref="C260">_xlfn.IFS(B260&gt;65,"+65",B260&gt;54,"55-65",B260&gt;44,"45-54",B260&gt;35,"36-44",B260&gt;25,"26-35",B260&gt;=18,"18-25")</f>
        <v>45-54</v>
      </c>
      <c r="D260" s="4" t="s">
        <v>66</v>
      </c>
      <c r="E260" s="4" t="s">
        <v>51</v>
      </c>
      <c r="F260" s="4" t="s">
        <v>52</v>
      </c>
      <c r="G260" s="4" t="s">
        <v>68</v>
      </c>
      <c r="H260" s="4" t="s">
        <v>628</v>
      </c>
      <c r="I260" s="4" t="s">
        <v>172</v>
      </c>
      <c r="J260" s="5">
        <v>227.03</v>
      </c>
      <c r="K260" s="3">
        <v>9</v>
      </c>
      <c r="L260" s="4" t="str">
        <f>IF(AND(J260&gt;350,K260&gt;6), "True","False")</f>
        <v>False</v>
      </c>
      <c r="M260" s="4" t="s">
        <v>71</v>
      </c>
      <c r="N260" s="3">
        <v>4</v>
      </c>
      <c r="O260" s="4" t="str" cm="1">
        <f t="array" ref="O260">_xlfn.IFS(P260&lt;=2,"Poor",P260=3,"Average",P260&gt;=4,"Good")</f>
        <v>Good</v>
      </c>
      <c r="P260" s="3">
        <v>4</v>
      </c>
      <c r="Q260" s="2">
        <v>2</v>
      </c>
      <c r="R260" s="4" t="s">
        <v>59</v>
      </c>
      <c r="S260" s="4" t="s">
        <v>58</v>
      </c>
      <c r="T260" s="3">
        <v>2</v>
      </c>
      <c r="U260" s="4" t="str" cm="1">
        <f t="array" ref="U260">_xlfn.IFS(V260&lt;=4, "Dissatisfied",V260&lt;=7,"Neutral",V260&gt;=8,"Satisfied")</f>
        <v>Neutral</v>
      </c>
      <c r="V260" s="3">
        <v>7</v>
      </c>
      <c r="W260" s="4" t="s">
        <v>72</v>
      </c>
      <c r="X260" s="4" t="s">
        <v>74</v>
      </c>
      <c r="Y260" s="4" t="s">
        <v>111</v>
      </c>
      <c r="Z260" s="1">
        <v>45391</v>
      </c>
      <c r="AA260" s="4" t="str" cm="1">
        <f t="array" ref="AA260">_xlfn.IFS(OR(AB260="December", AB260="February", AB260="January"), "Winter", OR(AB260="March", AB260="April", AB260="May"), "Spring", OR(AB260="June", AB260="July", AB260="August"), "Summer", TRUE, "Autumn")</f>
        <v>Spring</v>
      </c>
      <c r="AB260" s="7" t="str">
        <f>TEXT(Z260, "mmmm")</f>
        <v>April</v>
      </c>
      <c r="AC260" s="1" t="str">
        <f>TEXT(Z260, "dddd")</f>
        <v>Tuesday</v>
      </c>
      <c r="AD260" s="4" t="s">
        <v>62</v>
      </c>
      <c r="AE260" s="4" t="s">
        <v>62</v>
      </c>
      <c r="AF260" s="4" t="s">
        <v>63</v>
      </c>
      <c r="AG260" s="4" t="s">
        <v>88</v>
      </c>
      <c r="AH260" s="3">
        <v>4</v>
      </c>
    </row>
    <row r="261" spans="1:34">
      <c r="A261" s="4" t="s">
        <v>629</v>
      </c>
      <c r="B261" s="3">
        <v>44</v>
      </c>
      <c r="C261" s="9" t="str" cm="1">
        <f t="array" ref="C261">_xlfn.IFS(B261&gt;65,"+65",B261&gt;54,"55-65",B261&gt;44,"45-54",B261&gt;35,"36-44",B261&gt;25,"26-35",B261&gt;=18,"18-25")</f>
        <v>36-44</v>
      </c>
      <c r="D261" s="4" t="s">
        <v>78</v>
      </c>
      <c r="E261" s="4" t="s">
        <v>51</v>
      </c>
      <c r="F261" s="4" t="s">
        <v>52</v>
      </c>
      <c r="G261" s="4" t="s">
        <v>68</v>
      </c>
      <c r="H261" s="4" t="s">
        <v>630</v>
      </c>
      <c r="I261" s="4" t="s">
        <v>70</v>
      </c>
      <c r="J261" s="5">
        <v>302.07</v>
      </c>
      <c r="K261" s="3">
        <v>6</v>
      </c>
      <c r="L261" s="4" t="str">
        <f>IF(AND(J261&gt;350,K261&gt;6), "True","False")</f>
        <v>False</v>
      </c>
      <c r="M261" s="4" t="s">
        <v>83</v>
      </c>
      <c r="N261" s="3">
        <v>1</v>
      </c>
      <c r="O261" s="4" t="str" cm="1">
        <f t="array" ref="O261">_xlfn.IFS(P261&lt;=2,"Poor",P261=3,"Average",P261&gt;=4,"Good")</f>
        <v>Good</v>
      </c>
      <c r="P261" s="3">
        <v>5</v>
      </c>
      <c r="Q261" s="2">
        <v>1</v>
      </c>
      <c r="R261" s="4" t="s">
        <v>85</v>
      </c>
      <c r="S261" s="4" t="s">
        <v>58</v>
      </c>
      <c r="T261" s="3">
        <v>2</v>
      </c>
      <c r="U261" s="4" t="str" cm="1">
        <f t="array" ref="U261">_xlfn.IFS(V261&lt;=4, "Dissatisfied",V261&lt;=7,"Neutral",V261&gt;=8,"Satisfied")</f>
        <v>Neutral</v>
      </c>
      <c r="V261" s="3">
        <v>5</v>
      </c>
      <c r="W261" s="4" t="s">
        <v>85</v>
      </c>
      <c r="X261" s="4" t="s">
        <v>101</v>
      </c>
      <c r="Y261" s="4" t="s">
        <v>111</v>
      </c>
      <c r="Z261" s="1">
        <v>45391</v>
      </c>
      <c r="AA261" s="4" t="str" cm="1">
        <f t="array" ref="AA261">_xlfn.IFS(OR(AB261="December", AB261="February", AB261="January"), "Winter", OR(AB261="March", AB261="April", AB261="May"), "Spring", OR(AB261="June", AB261="July", AB261="August"), "Summer", TRUE, "Autumn")</f>
        <v>Spring</v>
      </c>
      <c r="AB261" s="7" t="str">
        <f>TEXT(Z261, "mmmm")</f>
        <v>April</v>
      </c>
      <c r="AC261" s="1" t="str">
        <f>TEXT(Z261, "dddd")</f>
        <v>Tuesday</v>
      </c>
      <c r="AD261" s="4" t="s">
        <v>62</v>
      </c>
      <c r="AE261" s="4" t="s">
        <v>76</v>
      </c>
      <c r="AF261" s="4" t="s">
        <v>87</v>
      </c>
      <c r="AG261" s="4" t="s">
        <v>93</v>
      </c>
      <c r="AH261" s="3">
        <v>13</v>
      </c>
    </row>
    <row r="262" spans="1:34">
      <c r="A262" s="4" t="s">
        <v>631</v>
      </c>
      <c r="B262" s="3">
        <v>37</v>
      </c>
      <c r="C262" s="9" t="str" cm="1">
        <f t="array" ref="C262">_xlfn.IFS(B262&gt;65,"+65",B262&gt;54,"55-65",B262&gt;44,"45-54",B262&gt;35,"36-44",B262&gt;25,"26-35",B262&gt;=18,"18-25")</f>
        <v>36-44</v>
      </c>
      <c r="D262" s="4" t="s">
        <v>78</v>
      </c>
      <c r="E262" s="4" t="s">
        <v>51</v>
      </c>
      <c r="F262" s="4" t="s">
        <v>52</v>
      </c>
      <c r="G262" s="4" t="s">
        <v>80</v>
      </c>
      <c r="H262" s="4" t="s">
        <v>632</v>
      </c>
      <c r="I262" s="4" t="s">
        <v>156</v>
      </c>
      <c r="J262" s="5">
        <v>292.08</v>
      </c>
      <c r="K262" s="3">
        <v>7</v>
      </c>
      <c r="L262" s="4" t="str">
        <f>IF(AND(J262&gt;350,K262&gt;6), "True","False")</f>
        <v>False</v>
      </c>
      <c r="M262" s="4" t="s">
        <v>71</v>
      </c>
      <c r="N262" s="3">
        <v>3</v>
      </c>
      <c r="O262" s="4" t="str" cm="1">
        <f t="array" ref="O262">_xlfn.IFS(P262&lt;=2,"Poor",P262=3,"Average",P262&gt;=4,"Good")</f>
        <v>Poor</v>
      </c>
      <c r="P262" s="3">
        <v>2</v>
      </c>
      <c r="Q262" s="2">
        <v>1</v>
      </c>
      <c r="R262" s="4" t="s">
        <v>72</v>
      </c>
      <c r="S262" s="4" t="s">
        <v>84</v>
      </c>
      <c r="T262" s="3">
        <v>2</v>
      </c>
      <c r="U262" s="4" t="str" cm="1">
        <f t="array" ref="U262">_xlfn.IFS(V262&lt;=4, "Dissatisfied",V262&lt;=7,"Neutral",V262&gt;=8,"Satisfied")</f>
        <v>Satisfied</v>
      </c>
      <c r="V262" s="3">
        <v>9</v>
      </c>
      <c r="W262" s="4" t="s">
        <v>59</v>
      </c>
      <c r="X262" s="4" t="s">
        <v>60</v>
      </c>
      <c r="Y262" s="4" t="s">
        <v>119</v>
      </c>
      <c r="Z262" s="1">
        <v>45391</v>
      </c>
      <c r="AA262" s="4" t="str" cm="1">
        <f t="array" ref="AA262">_xlfn.IFS(OR(AB262="December", AB262="February", AB262="January"), "Winter", OR(AB262="March", AB262="April", AB262="May"), "Spring", OR(AB262="June", AB262="July", AB262="August"), "Summer", TRUE, "Autumn")</f>
        <v>Spring</v>
      </c>
      <c r="AB262" s="7" t="str">
        <f>TEXT(Z262, "mmmm")</f>
        <v>April</v>
      </c>
      <c r="AC262" s="1" t="str">
        <f>TEXT(Z262, "dddd")</f>
        <v>Tuesday</v>
      </c>
      <c r="AD262" s="4" t="s">
        <v>76</v>
      </c>
      <c r="AE262" s="4" t="s">
        <v>76</v>
      </c>
      <c r="AF262" s="4" t="s">
        <v>63</v>
      </c>
      <c r="AG262" s="4" t="s">
        <v>64</v>
      </c>
      <c r="AH262" s="3">
        <v>11</v>
      </c>
    </row>
    <row r="263" spans="1:34">
      <c r="A263" s="4" t="s">
        <v>633</v>
      </c>
      <c r="B263" s="3">
        <v>36</v>
      </c>
      <c r="C263" s="9" t="str" cm="1">
        <f t="array" ref="C263">_xlfn.IFS(B263&gt;65,"+65",B263&gt;54,"55-65",B263&gt;44,"45-54",B263&gt;35,"36-44",B263&gt;25,"26-35",B263&gt;=18,"18-25")</f>
        <v>36-44</v>
      </c>
      <c r="D263" s="4" t="s">
        <v>232</v>
      </c>
      <c r="E263" s="4" t="s">
        <v>72</v>
      </c>
      <c r="F263" s="4" t="s">
        <v>67</v>
      </c>
      <c r="G263" s="4" t="s">
        <v>68</v>
      </c>
      <c r="H263" s="4" t="s">
        <v>634</v>
      </c>
      <c r="I263" s="4" t="s">
        <v>223</v>
      </c>
      <c r="J263" s="5">
        <v>268.27999999999997</v>
      </c>
      <c r="K263" s="3">
        <v>9</v>
      </c>
      <c r="L263" s="4" t="str">
        <f>IF(AND(J263&gt;350,K263&gt;6), "True","False")</f>
        <v>False</v>
      </c>
      <c r="M263" s="4" t="s">
        <v>83</v>
      </c>
      <c r="N263" s="3">
        <v>5</v>
      </c>
      <c r="O263" s="4" t="str" cm="1">
        <f t="array" ref="O263">_xlfn.IFS(P263&lt;=2,"Poor",P263=3,"Average",P263&gt;=4,"Good")</f>
        <v>Poor</v>
      </c>
      <c r="P263" s="3">
        <v>2</v>
      </c>
      <c r="Q263" s="2">
        <v>2</v>
      </c>
      <c r="R263" s="4" t="s">
        <v>72</v>
      </c>
      <c r="S263" s="4" t="s">
        <v>73</v>
      </c>
      <c r="T263" s="3">
        <v>2</v>
      </c>
      <c r="U263" s="4" t="str" cm="1">
        <f t="array" ref="U263">_xlfn.IFS(V263&lt;=4, "Dissatisfied",V263&lt;=7,"Neutral",V263&gt;=8,"Satisfied")</f>
        <v>Dissatisfied</v>
      </c>
      <c r="V263" s="3">
        <v>2</v>
      </c>
      <c r="W263" s="4" t="s">
        <v>72</v>
      </c>
      <c r="X263" s="4" t="s">
        <v>60</v>
      </c>
      <c r="Y263" s="4" t="s">
        <v>119</v>
      </c>
      <c r="Z263" s="1">
        <v>45391</v>
      </c>
      <c r="AA263" s="4" t="str" cm="1">
        <f t="array" ref="AA263">_xlfn.IFS(OR(AB263="December", AB263="February", AB263="January"), "Winter", OR(AB263="March", AB263="April", AB263="May"), "Spring", OR(AB263="June", AB263="July", AB263="August"), "Summer", TRUE, "Autumn")</f>
        <v>Spring</v>
      </c>
      <c r="AB263" s="7" t="str">
        <f>TEXT(Z263, "mmmm")</f>
        <v>April</v>
      </c>
      <c r="AC263" s="1" t="str">
        <f>TEXT(Z263, "dddd")</f>
        <v>Tuesday</v>
      </c>
      <c r="AD263" s="4" t="s">
        <v>76</v>
      </c>
      <c r="AE263" s="4" t="s">
        <v>62</v>
      </c>
      <c r="AF263" s="4" t="s">
        <v>63</v>
      </c>
      <c r="AG263" s="4" t="s">
        <v>64</v>
      </c>
      <c r="AH263" s="3">
        <v>8</v>
      </c>
    </row>
    <row r="264" spans="1:34">
      <c r="A264" s="4" t="s">
        <v>635</v>
      </c>
      <c r="B264" s="3">
        <v>28</v>
      </c>
      <c r="C264" s="9" t="str" cm="1">
        <f t="array" ref="C264">_xlfn.IFS(B264&gt;65,"+65",B264&gt;54,"55-65",B264&gt;44,"45-54",B264&gt;35,"36-44",B264&gt;25,"26-35",B264&gt;=18,"18-25")</f>
        <v>26-35</v>
      </c>
      <c r="D264" s="4" t="s">
        <v>66</v>
      </c>
      <c r="E264" s="4" t="s">
        <v>51</v>
      </c>
      <c r="F264" s="4" t="s">
        <v>95</v>
      </c>
      <c r="G264" s="4" t="s">
        <v>68</v>
      </c>
      <c r="H264" s="4" t="s">
        <v>636</v>
      </c>
      <c r="I264" s="4" t="s">
        <v>156</v>
      </c>
      <c r="J264" s="5">
        <v>215.31</v>
      </c>
      <c r="K264" s="3">
        <v>7</v>
      </c>
      <c r="L264" s="4" t="str">
        <f>IF(AND(J264&gt;350,K264&gt;6), "True","False")</f>
        <v>False</v>
      </c>
      <c r="M264" s="4" t="s">
        <v>56</v>
      </c>
      <c r="N264" s="3">
        <v>5</v>
      </c>
      <c r="O264" s="4" t="str" cm="1">
        <f t="array" ref="O264">_xlfn.IFS(P264&lt;=2,"Poor",P264=3,"Average",P264&gt;=4,"Good")</f>
        <v>Good</v>
      </c>
      <c r="P264" s="3">
        <v>5</v>
      </c>
      <c r="Q264" s="2">
        <v>2</v>
      </c>
      <c r="R264" s="4" t="s">
        <v>85</v>
      </c>
      <c r="S264" s="4" t="s">
        <v>84</v>
      </c>
      <c r="T264" s="3">
        <v>1</v>
      </c>
      <c r="U264" s="4" t="str" cm="1">
        <f t="array" ref="U264">_xlfn.IFS(V264&lt;=4, "Dissatisfied",V264&lt;=7,"Neutral",V264&gt;=8,"Satisfied")</f>
        <v>Satisfied</v>
      </c>
      <c r="V264" s="3">
        <v>8</v>
      </c>
      <c r="W264" s="4" t="s">
        <v>85</v>
      </c>
      <c r="X264" s="4" t="s">
        <v>60</v>
      </c>
      <c r="Y264" s="4" t="s">
        <v>111</v>
      </c>
      <c r="Z264" s="1">
        <v>45391</v>
      </c>
      <c r="AA264" s="4" t="str" cm="1">
        <f t="array" ref="AA264">_xlfn.IFS(OR(AB264="December", AB264="February", AB264="January"), "Winter", OR(AB264="March", AB264="April", AB264="May"), "Spring", OR(AB264="June", AB264="July", AB264="August"), "Summer", TRUE, "Autumn")</f>
        <v>Spring</v>
      </c>
      <c r="AB264" s="7" t="str">
        <f>TEXT(Z264, "mmmm")</f>
        <v>April</v>
      </c>
      <c r="AC264" s="1" t="str">
        <f>TEXT(Z264, "dddd")</f>
        <v>Tuesday</v>
      </c>
      <c r="AD264" s="4" t="s">
        <v>76</v>
      </c>
      <c r="AE264" s="4" t="s">
        <v>62</v>
      </c>
      <c r="AF264" s="4" t="s">
        <v>92</v>
      </c>
      <c r="AG264" s="4" t="s">
        <v>88</v>
      </c>
      <c r="AH264" s="3">
        <v>7</v>
      </c>
    </row>
    <row r="265" spans="1:34">
      <c r="A265" s="4" t="s">
        <v>637</v>
      </c>
      <c r="B265" s="3">
        <v>25</v>
      </c>
      <c r="C265" s="9" t="str" cm="1">
        <f t="array" ref="C265">_xlfn.IFS(B265&gt;65,"+65",B265&gt;54,"55-65",B265&gt;44,"45-54",B265&gt;35,"36-44",B265&gt;25,"26-35",B265&gt;=18,"18-25")</f>
        <v>18-25</v>
      </c>
      <c r="D265" s="4" t="s">
        <v>66</v>
      </c>
      <c r="E265" s="4" t="s">
        <v>51</v>
      </c>
      <c r="F265" s="4" t="s">
        <v>52</v>
      </c>
      <c r="G265" s="4" t="s">
        <v>68</v>
      </c>
      <c r="H265" s="4" t="s">
        <v>638</v>
      </c>
      <c r="I265" s="4" t="s">
        <v>223</v>
      </c>
      <c r="J265" s="5">
        <v>82.13</v>
      </c>
      <c r="K265" s="3">
        <v>9</v>
      </c>
      <c r="L265" s="4" t="str">
        <f>IF(AND(J265&gt;350,K265&gt;6), "True","False")</f>
        <v>False</v>
      </c>
      <c r="M265" s="4" t="s">
        <v>56</v>
      </c>
      <c r="N265" s="3">
        <v>5</v>
      </c>
      <c r="O265" s="4" t="str" cm="1">
        <f t="array" ref="O265">_xlfn.IFS(P265&lt;=2,"Poor",P265=3,"Average",P265&gt;=4,"Good")</f>
        <v>Poor</v>
      </c>
      <c r="P265" s="3">
        <v>1</v>
      </c>
      <c r="Q265" s="2">
        <v>0</v>
      </c>
      <c r="R265" s="4" t="s">
        <v>85</v>
      </c>
      <c r="S265" s="4" t="s">
        <v>84</v>
      </c>
      <c r="T265" s="3">
        <v>2</v>
      </c>
      <c r="U265" s="4" t="str" cm="1">
        <f t="array" ref="U265">_xlfn.IFS(V265&lt;=4, "Dissatisfied",V265&lt;=7,"Neutral",V265&gt;=8,"Satisfied")</f>
        <v>Neutral</v>
      </c>
      <c r="V265" s="3">
        <v>6</v>
      </c>
      <c r="W265" s="4" t="s">
        <v>72</v>
      </c>
      <c r="X265" s="4" t="s">
        <v>74</v>
      </c>
      <c r="Y265" s="4" t="s">
        <v>75</v>
      </c>
      <c r="Z265" s="1">
        <v>45391</v>
      </c>
      <c r="AA265" s="4" t="str" cm="1">
        <f t="array" ref="AA265">_xlfn.IFS(OR(AB265="December", AB265="February", AB265="January"), "Winter", OR(AB265="March", AB265="April", AB265="May"), "Spring", OR(AB265="June", AB265="July", AB265="August"), "Summer", TRUE, "Autumn")</f>
        <v>Spring</v>
      </c>
      <c r="AB265" s="7" t="str">
        <f>TEXT(Z265, "mmmm")</f>
        <v>April</v>
      </c>
      <c r="AC265" s="1" t="str">
        <f>TEXT(Z265, "dddd")</f>
        <v>Tuesday</v>
      </c>
      <c r="AD265" s="4" t="s">
        <v>62</v>
      </c>
      <c r="AE265" s="4" t="s">
        <v>62</v>
      </c>
      <c r="AF265" s="4" t="s">
        <v>63</v>
      </c>
      <c r="AG265" s="4" t="s">
        <v>93</v>
      </c>
      <c r="AH265" s="3">
        <v>6</v>
      </c>
    </row>
    <row r="266" spans="1:34">
      <c r="A266" s="4" t="s">
        <v>639</v>
      </c>
      <c r="B266" s="3">
        <v>49</v>
      </c>
      <c r="C266" s="9" t="str" cm="1">
        <f t="array" ref="C266">_xlfn.IFS(B266&gt;65,"+65",B266&gt;54,"55-65",B266&gt;44,"45-54",B266&gt;35,"36-44",B266&gt;25,"26-35",B266&gt;=18,"18-25")</f>
        <v>45-54</v>
      </c>
      <c r="D266" s="4" t="s">
        <v>78</v>
      </c>
      <c r="E266" s="4" t="s">
        <v>51</v>
      </c>
      <c r="F266" s="4" t="s">
        <v>79</v>
      </c>
      <c r="G266" s="4" t="s">
        <v>53</v>
      </c>
      <c r="H266" s="4" t="s">
        <v>640</v>
      </c>
      <c r="I266" s="4" t="s">
        <v>70</v>
      </c>
      <c r="J266" s="5">
        <v>78.709999999999994</v>
      </c>
      <c r="K266" s="3">
        <v>5</v>
      </c>
      <c r="L266" s="4" t="str">
        <f>IF(AND(J266&gt;350,K266&gt;6), "True","False")</f>
        <v>False</v>
      </c>
      <c r="M266" s="4" t="s">
        <v>56</v>
      </c>
      <c r="N266" s="3">
        <v>4</v>
      </c>
      <c r="O266" s="4" t="str" cm="1">
        <f t="array" ref="O266">_xlfn.IFS(P266&lt;=2,"Poor",P266=3,"Average",P266&gt;=4,"Good")</f>
        <v>Average</v>
      </c>
      <c r="P266" s="3">
        <v>3</v>
      </c>
      <c r="Q266" s="2">
        <v>1</v>
      </c>
      <c r="R266" s="4" t="s">
        <v>57</v>
      </c>
      <c r="S266" s="4" t="s">
        <v>84</v>
      </c>
      <c r="T266" s="3">
        <v>1</v>
      </c>
      <c r="U266" s="4" t="str" cm="1">
        <f t="array" ref="U266">_xlfn.IFS(V266&lt;=4, "Dissatisfied",V266&lt;=7,"Neutral",V266&gt;=8,"Satisfied")</f>
        <v>Satisfied</v>
      </c>
      <c r="V266" s="3">
        <v>10</v>
      </c>
      <c r="W266" s="4" t="s">
        <v>59</v>
      </c>
      <c r="X266" s="4" t="s">
        <v>60</v>
      </c>
      <c r="Y266" s="4" t="s">
        <v>86</v>
      </c>
      <c r="Z266" s="1">
        <v>45392</v>
      </c>
      <c r="AA266" s="4" t="str" cm="1">
        <f t="array" ref="AA266">_xlfn.IFS(OR(AB266="December", AB266="February", AB266="January"), "Winter", OR(AB266="March", AB266="April", AB266="May"), "Spring", OR(AB266="June", AB266="July", AB266="August"), "Summer", TRUE, "Autumn")</f>
        <v>Spring</v>
      </c>
      <c r="AB266" s="7" t="str">
        <f>TEXT(Z266, "mmmm")</f>
        <v>April</v>
      </c>
      <c r="AC266" s="1" t="str">
        <f>TEXT(Z266, "dddd")</f>
        <v>Wednesday</v>
      </c>
      <c r="AD266" s="4" t="s">
        <v>62</v>
      </c>
      <c r="AE266" s="4" t="s">
        <v>62</v>
      </c>
      <c r="AF266" s="4" t="s">
        <v>87</v>
      </c>
      <c r="AG266" s="4" t="s">
        <v>88</v>
      </c>
      <c r="AH266" s="3">
        <v>4</v>
      </c>
    </row>
    <row r="267" spans="1:34">
      <c r="A267" s="4" t="s">
        <v>641</v>
      </c>
      <c r="B267" s="3">
        <v>35</v>
      </c>
      <c r="C267" s="9" t="str" cm="1">
        <f t="array" ref="C267">_xlfn.IFS(B267&gt;65,"+65",B267&gt;54,"55-65",B267&gt;44,"45-54",B267&gt;35,"36-44",B267&gt;25,"26-35",B267&gt;=18,"18-25")</f>
        <v>26-35</v>
      </c>
      <c r="D267" s="4" t="s">
        <v>78</v>
      </c>
      <c r="E267" s="4" t="s">
        <v>51</v>
      </c>
      <c r="F267" s="4" t="s">
        <v>79</v>
      </c>
      <c r="G267" s="4" t="s">
        <v>80</v>
      </c>
      <c r="H267" s="4" t="s">
        <v>642</v>
      </c>
      <c r="I267" s="4" t="s">
        <v>100</v>
      </c>
      <c r="J267" s="5">
        <v>495.95</v>
      </c>
      <c r="K267" s="3">
        <v>5</v>
      </c>
      <c r="L267" s="4" t="str">
        <f>IF(AND(J267&gt;350,K267&gt;6), "True","False")</f>
        <v>False</v>
      </c>
      <c r="M267" s="4" t="s">
        <v>71</v>
      </c>
      <c r="N267" s="3">
        <v>4</v>
      </c>
      <c r="O267" s="4" t="str" cm="1">
        <f t="array" ref="O267">_xlfn.IFS(P267&lt;=2,"Poor",P267=3,"Average",P267&gt;=4,"Good")</f>
        <v>Poor</v>
      </c>
      <c r="P267" s="3">
        <v>2</v>
      </c>
      <c r="Q267" s="2">
        <v>0</v>
      </c>
      <c r="R267" s="4" t="s">
        <v>72</v>
      </c>
      <c r="S267" s="4" t="s">
        <v>73</v>
      </c>
      <c r="T267" s="3">
        <v>1</v>
      </c>
      <c r="U267" s="4" t="str" cm="1">
        <f t="array" ref="U267">_xlfn.IFS(V267&lt;=4, "Dissatisfied",V267&lt;=7,"Neutral",V267&gt;=8,"Satisfied")</f>
        <v>Neutral</v>
      </c>
      <c r="V267" s="3">
        <v>7</v>
      </c>
      <c r="W267" s="4" t="s">
        <v>57</v>
      </c>
      <c r="X267" s="4" t="s">
        <v>60</v>
      </c>
      <c r="Y267" s="4" t="s">
        <v>111</v>
      </c>
      <c r="Z267" s="1">
        <v>45392</v>
      </c>
      <c r="AA267" s="4" t="str" cm="1">
        <f t="array" ref="AA267">_xlfn.IFS(OR(AB267="December", AB267="February", AB267="January"), "Winter", OR(AB267="March", AB267="April", AB267="May"), "Spring", OR(AB267="June", AB267="July", AB267="August"), "Summer", TRUE, "Autumn")</f>
        <v>Spring</v>
      </c>
      <c r="AB267" s="7" t="str">
        <f>TEXT(Z267, "mmmm")</f>
        <v>April</v>
      </c>
      <c r="AC267" s="1" t="str">
        <f>TEXT(Z267, "dddd")</f>
        <v>Wednesday</v>
      </c>
      <c r="AD267" s="4" t="s">
        <v>76</v>
      </c>
      <c r="AE267" s="4" t="s">
        <v>76</v>
      </c>
      <c r="AF267" s="4" t="s">
        <v>87</v>
      </c>
      <c r="AG267" s="4" t="s">
        <v>88</v>
      </c>
      <c r="AH267" s="3">
        <v>6</v>
      </c>
    </row>
    <row r="268" spans="1:34">
      <c r="A268" s="4" t="s">
        <v>643</v>
      </c>
      <c r="B268" s="3">
        <v>50</v>
      </c>
      <c r="C268" s="9" t="str" cm="1">
        <f t="array" ref="C268">_xlfn.IFS(B268&gt;65,"+65",B268&gt;54,"55-65",B268&gt;44,"45-54",B268&gt;35,"36-44",B268&gt;25,"26-35",B268&gt;=18,"18-25")</f>
        <v>45-54</v>
      </c>
      <c r="D268" s="4" t="s">
        <v>78</v>
      </c>
      <c r="E268" s="4" t="s">
        <v>51</v>
      </c>
      <c r="F268" s="4" t="s">
        <v>52</v>
      </c>
      <c r="G268" s="4" t="s">
        <v>68</v>
      </c>
      <c r="H268" s="4" t="s">
        <v>644</v>
      </c>
      <c r="I268" s="4" t="s">
        <v>169</v>
      </c>
      <c r="J268" s="5">
        <v>143.52000000000001</v>
      </c>
      <c r="K268" s="3">
        <v>9</v>
      </c>
      <c r="L268" s="4" t="str">
        <f>IF(AND(J268&gt;350,K268&gt;6), "True","False")</f>
        <v>False</v>
      </c>
      <c r="M268" s="4" t="s">
        <v>71</v>
      </c>
      <c r="N268" s="3">
        <v>2</v>
      </c>
      <c r="O268" s="4" t="str" cm="1">
        <f t="array" ref="O268">_xlfn.IFS(P268&lt;=2,"Poor",P268=3,"Average",P268&gt;=4,"Good")</f>
        <v>Good</v>
      </c>
      <c r="P268" s="3">
        <v>5</v>
      </c>
      <c r="Q268" s="2">
        <v>1</v>
      </c>
      <c r="R268" s="4" t="s">
        <v>85</v>
      </c>
      <c r="S268" s="4" t="s">
        <v>84</v>
      </c>
      <c r="T268" s="3">
        <v>2</v>
      </c>
      <c r="U268" s="4" t="str" cm="1">
        <f t="array" ref="U268">_xlfn.IFS(V268&lt;=4, "Dissatisfied",V268&lt;=7,"Neutral",V268&gt;=8,"Satisfied")</f>
        <v>Dissatisfied</v>
      </c>
      <c r="V268" s="3">
        <v>3</v>
      </c>
      <c r="W268" s="4" t="s">
        <v>57</v>
      </c>
      <c r="X268" s="4" t="s">
        <v>74</v>
      </c>
      <c r="Y268" s="4" t="s">
        <v>119</v>
      </c>
      <c r="Z268" s="1">
        <v>45393</v>
      </c>
      <c r="AA268" s="4" t="str" cm="1">
        <f t="array" ref="AA268">_xlfn.IFS(OR(AB268="December", AB268="February", AB268="January"), "Winter", OR(AB268="March", AB268="April", AB268="May"), "Spring", OR(AB268="June", AB268="July", AB268="August"), "Summer", TRUE, "Autumn")</f>
        <v>Spring</v>
      </c>
      <c r="AB268" s="7" t="str">
        <f>TEXT(Z268, "mmmm")</f>
        <v>April</v>
      </c>
      <c r="AC268" s="1" t="str">
        <f>TEXT(Z268, "dddd")</f>
        <v>Thursday</v>
      </c>
      <c r="AD268" s="4" t="s">
        <v>62</v>
      </c>
      <c r="AE268" s="4" t="s">
        <v>76</v>
      </c>
      <c r="AF268" s="4" t="s">
        <v>92</v>
      </c>
      <c r="AG268" s="4" t="s">
        <v>93</v>
      </c>
      <c r="AH268" s="3">
        <v>12</v>
      </c>
    </row>
    <row r="269" spans="1:34">
      <c r="A269" s="4" t="s">
        <v>645</v>
      </c>
      <c r="B269" s="3">
        <v>40</v>
      </c>
      <c r="C269" s="9" t="str" cm="1">
        <f t="array" ref="C269">_xlfn.IFS(B269&gt;65,"+65",B269&gt;54,"55-65",B269&gt;44,"45-54",B269&gt;35,"36-44",B269&gt;25,"26-35",B269&gt;=18,"18-25")</f>
        <v>36-44</v>
      </c>
      <c r="D269" s="4" t="s">
        <v>78</v>
      </c>
      <c r="E269" s="4" t="s">
        <v>51</v>
      </c>
      <c r="F269" s="4" t="s">
        <v>79</v>
      </c>
      <c r="G269" s="4" t="s">
        <v>68</v>
      </c>
      <c r="H269" s="4" t="s">
        <v>646</v>
      </c>
      <c r="I269" s="4" t="s">
        <v>70</v>
      </c>
      <c r="J269" s="5">
        <v>173.46</v>
      </c>
      <c r="K269" s="3">
        <v>4</v>
      </c>
      <c r="L269" s="4" t="str">
        <f>IF(AND(J269&gt;350,K269&gt;6), "True","False")</f>
        <v>False</v>
      </c>
      <c r="M269" s="4" t="s">
        <v>83</v>
      </c>
      <c r="N269" s="3">
        <v>5</v>
      </c>
      <c r="O269" s="4" t="str" cm="1">
        <f t="array" ref="O269">_xlfn.IFS(P269&lt;=2,"Poor",P269=3,"Average",P269&gt;=4,"Good")</f>
        <v>Average</v>
      </c>
      <c r="P269" s="3">
        <v>3</v>
      </c>
      <c r="Q269" s="2">
        <v>1</v>
      </c>
      <c r="R269" s="4" t="s">
        <v>57</v>
      </c>
      <c r="S269" s="4" t="s">
        <v>58</v>
      </c>
      <c r="T269" s="3">
        <v>0</v>
      </c>
      <c r="U269" s="4" t="str" cm="1">
        <f t="array" ref="U269">_xlfn.IFS(V269&lt;=4, "Dissatisfied",V269&lt;=7,"Neutral",V269&gt;=8,"Satisfied")</f>
        <v>Satisfied</v>
      </c>
      <c r="V269" s="3">
        <v>9</v>
      </c>
      <c r="W269" s="4" t="s">
        <v>85</v>
      </c>
      <c r="X269" s="4" t="s">
        <v>60</v>
      </c>
      <c r="Y269" s="4" t="s">
        <v>86</v>
      </c>
      <c r="Z269" s="1">
        <v>45393</v>
      </c>
      <c r="AA269" s="4" t="str" cm="1">
        <f t="array" ref="AA269">_xlfn.IFS(OR(AB269="December", AB269="February", AB269="January"), "Winter", OR(AB269="March", AB269="April", AB269="May"), "Spring", OR(AB269="June", AB269="July", AB269="August"), "Summer", TRUE, "Autumn")</f>
        <v>Spring</v>
      </c>
      <c r="AB269" s="7" t="str">
        <f>TEXT(Z269, "mmmm")</f>
        <v>April</v>
      </c>
      <c r="AC269" s="1" t="str">
        <f>TEXT(Z269, "dddd")</f>
        <v>Thursday</v>
      </c>
      <c r="AD269" s="4" t="s">
        <v>76</v>
      </c>
      <c r="AE269" s="4" t="s">
        <v>62</v>
      </c>
      <c r="AF269" s="4" t="s">
        <v>102</v>
      </c>
      <c r="AG269" s="4" t="s">
        <v>88</v>
      </c>
      <c r="AH269" s="3">
        <v>2</v>
      </c>
    </row>
    <row r="270" spans="1:34">
      <c r="A270" s="4" t="s">
        <v>647</v>
      </c>
      <c r="B270" s="3">
        <v>35</v>
      </c>
      <c r="C270" s="9" t="str" cm="1">
        <f t="array" ref="C270">_xlfn.IFS(B270&gt;65,"+65",B270&gt;54,"55-65",B270&gt;44,"45-54",B270&gt;35,"36-44",B270&gt;25,"26-35",B270&gt;=18,"18-25")</f>
        <v>26-35</v>
      </c>
      <c r="D270" s="4" t="s">
        <v>66</v>
      </c>
      <c r="E270" s="4" t="s">
        <v>72</v>
      </c>
      <c r="F270" s="4" t="s">
        <v>95</v>
      </c>
      <c r="G270" s="4" t="s">
        <v>80</v>
      </c>
      <c r="H270" s="4" t="s">
        <v>648</v>
      </c>
      <c r="I270" s="4" t="s">
        <v>172</v>
      </c>
      <c r="J270" s="5">
        <v>317.08999999999997</v>
      </c>
      <c r="K270" s="3">
        <v>6</v>
      </c>
      <c r="L270" s="4" t="str">
        <f>IF(AND(J270&gt;350,K270&gt;6), "True","False")</f>
        <v>False</v>
      </c>
      <c r="M270" s="4" t="s">
        <v>56</v>
      </c>
      <c r="N270" s="3">
        <v>1</v>
      </c>
      <c r="O270" s="4" t="str" cm="1">
        <f t="array" ref="O270">_xlfn.IFS(P270&lt;=2,"Poor",P270=3,"Average",P270&gt;=4,"Good")</f>
        <v>Poor</v>
      </c>
      <c r="P270" s="3">
        <v>1</v>
      </c>
      <c r="Q270" s="2">
        <v>1</v>
      </c>
      <c r="R270" s="4" t="s">
        <v>72</v>
      </c>
      <c r="S270" s="4" t="s">
        <v>58</v>
      </c>
      <c r="T270" s="3">
        <v>2</v>
      </c>
      <c r="U270" s="4" t="str" cm="1">
        <f t="array" ref="U270">_xlfn.IFS(V270&lt;=4, "Dissatisfied",V270&lt;=7,"Neutral",V270&gt;=8,"Satisfied")</f>
        <v>Dissatisfied</v>
      </c>
      <c r="V270" s="3">
        <v>2</v>
      </c>
      <c r="W270" s="4" t="s">
        <v>72</v>
      </c>
      <c r="X270" s="4" t="s">
        <v>101</v>
      </c>
      <c r="Y270" s="4" t="s">
        <v>111</v>
      </c>
      <c r="Z270" s="1">
        <v>45393</v>
      </c>
      <c r="AA270" s="4" t="str" cm="1">
        <f t="array" ref="AA270">_xlfn.IFS(OR(AB270="December", AB270="February", AB270="January"), "Winter", OR(AB270="March", AB270="April", AB270="May"), "Spring", OR(AB270="June", AB270="July", AB270="August"), "Summer", TRUE, "Autumn")</f>
        <v>Spring</v>
      </c>
      <c r="AB270" s="7" t="str">
        <f>TEXT(Z270, "mmmm")</f>
        <v>April</v>
      </c>
      <c r="AC270" s="1" t="str">
        <f>TEXT(Z270, "dddd")</f>
        <v>Thursday</v>
      </c>
      <c r="AD270" s="4" t="s">
        <v>62</v>
      </c>
      <c r="AE270" s="4" t="s">
        <v>76</v>
      </c>
      <c r="AF270" s="4" t="s">
        <v>92</v>
      </c>
      <c r="AG270" s="4" t="s">
        <v>64</v>
      </c>
      <c r="AH270" s="3">
        <v>4</v>
      </c>
    </row>
    <row r="271" spans="1:34">
      <c r="A271" s="4" t="s">
        <v>649</v>
      </c>
      <c r="B271" s="3">
        <v>34</v>
      </c>
      <c r="C271" s="9" t="str" cm="1">
        <f t="array" ref="C271">_xlfn.IFS(B271&gt;65,"+65",B271&gt;54,"55-65",B271&gt;44,"45-54",B271&gt;35,"36-44",B271&gt;25,"26-35",B271&gt;=18,"18-25")</f>
        <v>26-35</v>
      </c>
      <c r="D271" s="4" t="s">
        <v>66</v>
      </c>
      <c r="E271" s="4" t="s">
        <v>72</v>
      </c>
      <c r="F271" s="4" t="s">
        <v>52</v>
      </c>
      <c r="G271" s="4" t="s">
        <v>53</v>
      </c>
      <c r="H271" s="4" t="s">
        <v>650</v>
      </c>
      <c r="I271" s="4" t="s">
        <v>110</v>
      </c>
      <c r="J271" s="5">
        <v>393.09</v>
      </c>
      <c r="K271" s="3">
        <v>8</v>
      </c>
      <c r="L271" s="4" t="str">
        <f>IF(AND(J271&gt;350,K271&gt;6), "True","False")</f>
        <v>True</v>
      </c>
      <c r="M271" s="4" t="s">
        <v>56</v>
      </c>
      <c r="N271" s="3">
        <v>5</v>
      </c>
      <c r="O271" s="4" t="str" cm="1">
        <f t="array" ref="O271">_xlfn.IFS(P271&lt;=2,"Poor",P271=3,"Average",P271&gt;=4,"Good")</f>
        <v>Average</v>
      </c>
      <c r="P271" s="3">
        <v>3</v>
      </c>
      <c r="Q271" s="2">
        <v>2</v>
      </c>
      <c r="R271" s="4" t="s">
        <v>85</v>
      </c>
      <c r="S271" s="4" t="s">
        <v>84</v>
      </c>
      <c r="T271" s="3">
        <v>0</v>
      </c>
      <c r="U271" s="4" t="str" cm="1">
        <f t="array" ref="U271">_xlfn.IFS(V271&lt;=4, "Dissatisfied",V271&lt;=7,"Neutral",V271&gt;=8,"Satisfied")</f>
        <v>Dissatisfied</v>
      </c>
      <c r="V271" s="3">
        <v>3</v>
      </c>
      <c r="W271" s="4" t="s">
        <v>85</v>
      </c>
      <c r="X271" s="4" t="s">
        <v>74</v>
      </c>
      <c r="Y271" s="4" t="s">
        <v>61</v>
      </c>
      <c r="Z271" s="1">
        <v>45393</v>
      </c>
      <c r="AA271" s="4" t="str" cm="1">
        <f t="array" ref="AA271">_xlfn.IFS(OR(AB271="December", AB271="February", AB271="January"), "Winter", OR(AB271="March", AB271="April", AB271="May"), "Spring", OR(AB271="June", AB271="July", AB271="August"), "Summer", TRUE, "Autumn")</f>
        <v>Spring</v>
      </c>
      <c r="AB271" s="7" t="str">
        <f>TEXT(Z271, "mmmm")</f>
        <v>April</v>
      </c>
      <c r="AC271" s="1" t="str">
        <f>TEXT(Z271, "dddd")</f>
        <v>Thursday</v>
      </c>
      <c r="AD271" s="4" t="s">
        <v>76</v>
      </c>
      <c r="AE271" s="4" t="s">
        <v>62</v>
      </c>
      <c r="AF271" s="4" t="s">
        <v>87</v>
      </c>
      <c r="AG271" s="4" t="s">
        <v>64</v>
      </c>
      <c r="AH271" s="3">
        <v>1</v>
      </c>
    </row>
    <row r="272" spans="1:34">
      <c r="A272" s="4" t="s">
        <v>651</v>
      </c>
      <c r="B272" s="3">
        <v>19</v>
      </c>
      <c r="C272" s="9" t="str" cm="1">
        <f t="array" ref="C272">_xlfn.IFS(B272&gt;65,"+65",B272&gt;54,"55-65",B272&gt;44,"45-54",B272&gt;35,"36-44",B272&gt;25,"26-35",B272&gt;=18,"18-25")</f>
        <v>18-25</v>
      </c>
      <c r="D272" s="4" t="s">
        <v>78</v>
      </c>
      <c r="E272" s="4" t="s">
        <v>72</v>
      </c>
      <c r="F272" s="4" t="s">
        <v>67</v>
      </c>
      <c r="G272" s="4" t="s">
        <v>80</v>
      </c>
      <c r="H272" s="4" t="s">
        <v>652</v>
      </c>
      <c r="I272" s="4" t="s">
        <v>100</v>
      </c>
      <c r="J272" s="5">
        <v>73.19</v>
      </c>
      <c r="K272" s="3">
        <v>5</v>
      </c>
      <c r="L272" s="4" t="str">
        <f>IF(AND(J272&gt;350,K272&gt;6), "True","False")</f>
        <v>False</v>
      </c>
      <c r="M272" s="4" t="s">
        <v>83</v>
      </c>
      <c r="N272" s="3">
        <v>2</v>
      </c>
      <c r="O272" s="4" t="str" cm="1">
        <f t="array" ref="O272">_xlfn.IFS(P272&lt;=2,"Poor",P272=3,"Average",P272&gt;=4,"Good")</f>
        <v>Good</v>
      </c>
      <c r="P272" s="3">
        <v>5</v>
      </c>
      <c r="Q272" s="2">
        <v>1</v>
      </c>
      <c r="R272" s="4" t="s">
        <v>59</v>
      </c>
      <c r="S272" s="4" t="s">
        <v>58</v>
      </c>
      <c r="T272" s="3">
        <v>2</v>
      </c>
      <c r="U272" s="4" t="str" cm="1">
        <f t="array" ref="U272">_xlfn.IFS(V272&lt;=4, "Dissatisfied",V272&lt;=7,"Neutral",V272&gt;=8,"Satisfied")</f>
        <v>Satisfied</v>
      </c>
      <c r="V272" s="3">
        <v>8</v>
      </c>
      <c r="W272" s="4" t="s">
        <v>72</v>
      </c>
      <c r="X272" s="4" t="s">
        <v>60</v>
      </c>
      <c r="Y272" s="4" t="s">
        <v>86</v>
      </c>
      <c r="Z272" s="1">
        <v>45393</v>
      </c>
      <c r="AA272" s="4" t="str" cm="1">
        <f t="array" ref="AA272">_xlfn.IFS(OR(AB272="December", AB272="February", AB272="January"), "Winter", OR(AB272="March", AB272="April", AB272="May"), "Spring", OR(AB272="June", AB272="July", AB272="August"), "Summer", TRUE, "Autumn")</f>
        <v>Spring</v>
      </c>
      <c r="AB272" s="7" t="str">
        <f>TEXT(Z272, "mmmm")</f>
        <v>April</v>
      </c>
      <c r="AC272" s="1" t="str">
        <f>TEXT(Z272, "dddd")</f>
        <v>Thursday</v>
      </c>
      <c r="AD272" s="4" t="s">
        <v>76</v>
      </c>
      <c r="AE272" s="4" t="s">
        <v>62</v>
      </c>
      <c r="AF272" s="4" t="s">
        <v>63</v>
      </c>
      <c r="AG272" s="4" t="s">
        <v>88</v>
      </c>
      <c r="AH272" s="3">
        <v>3</v>
      </c>
    </row>
    <row r="273" spans="1:34">
      <c r="A273" s="4" t="s">
        <v>653</v>
      </c>
      <c r="B273" s="3">
        <v>50</v>
      </c>
      <c r="C273" s="9" t="str" cm="1">
        <f t="array" ref="C273">_xlfn.IFS(B273&gt;65,"+65",B273&gt;54,"55-65",B273&gt;44,"45-54",B273&gt;35,"36-44",B273&gt;25,"26-35",B273&gt;=18,"18-25")</f>
        <v>45-54</v>
      </c>
      <c r="D273" s="4" t="s">
        <v>188</v>
      </c>
      <c r="E273" s="4" t="s">
        <v>51</v>
      </c>
      <c r="F273" s="4" t="s">
        <v>67</v>
      </c>
      <c r="G273" s="4" t="s">
        <v>80</v>
      </c>
      <c r="H273" s="4" t="s">
        <v>654</v>
      </c>
      <c r="I273" s="4" t="s">
        <v>110</v>
      </c>
      <c r="J273" s="5">
        <v>460.88</v>
      </c>
      <c r="K273" s="3">
        <v>5</v>
      </c>
      <c r="L273" s="4" t="str">
        <f>IF(AND(J273&gt;350,K273&gt;6), "True","False")</f>
        <v>False</v>
      </c>
      <c r="M273" s="4" t="s">
        <v>83</v>
      </c>
      <c r="N273" s="3">
        <v>3</v>
      </c>
      <c r="O273" s="4" t="str" cm="1">
        <f t="array" ref="O273">_xlfn.IFS(P273&lt;=2,"Poor",P273=3,"Average",P273&gt;=4,"Good")</f>
        <v>Good</v>
      </c>
      <c r="P273" s="3">
        <v>4</v>
      </c>
      <c r="Q273" s="2">
        <v>2</v>
      </c>
      <c r="R273" s="4" t="s">
        <v>57</v>
      </c>
      <c r="S273" s="4" t="s">
        <v>58</v>
      </c>
      <c r="T273" s="3">
        <v>2</v>
      </c>
      <c r="U273" s="4" t="str" cm="1">
        <f t="array" ref="U273">_xlfn.IFS(V273&lt;=4, "Dissatisfied",V273&lt;=7,"Neutral",V273&gt;=8,"Satisfied")</f>
        <v>Dissatisfied</v>
      </c>
      <c r="V273" s="3">
        <v>4</v>
      </c>
      <c r="W273" s="4" t="s">
        <v>72</v>
      </c>
      <c r="X273" s="4" t="s">
        <v>74</v>
      </c>
      <c r="Y273" s="4" t="s">
        <v>61</v>
      </c>
      <c r="Z273" s="1">
        <v>45394</v>
      </c>
      <c r="AA273" s="4" t="str" cm="1">
        <f t="array" ref="AA273">_xlfn.IFS(OR(AB273="December", AB273="February", AB273="January"), "Winter", OR(AB273="March", AB273="April", AB273="May"), "Spring", OR(AB273="June", AB273="July", AB273="August"), "Summer", TRUE, "Autumn")</f>
        <v>Spring</v>
      </c>
      <c r="AB273" s="7" t="str">
        <f>TEXT(Z273, "mmmm")</f>
        <v>April</v>
      </c>
      <c r="AC273" s="1" t="str">
        <f>TEXT(Z273, "dddd")</f>
        <v>Friday</v>
      </c>
      <c r="AD273" s="4" t="s">
        <v>62</v>
      </c>
      <c r="AE273" s="4" t="s">
        <v>76</v>
      </c>
      <c r="AF273" s="4" t="s">
        <v>92</v>
      </c>
      <c r="AG273" s="4" t="s">
        <v>64</v>
      </c>
      <c r="AH273" s="3">
        <v>2</v>
      </c>
    </row>
    <row r="274" spans="1:34">
      <c r="A274" s="4" t="s">
        <v>655</v>
      </c>
      <c r="B274" s="3">
        <v>50</v>
      </c>
      <c r="C274" s="9" t="str" cm="1">
        <f t="array" ref="C274">_xlfn.IFS(B274&gt;65,"+65",B274&gt;54,"55-65",B274&gt;44,"45-54",B274&gt;35,"36-44",B274&gt;25,"26-35",B274&gt;=18,"18-25")</f>
        <v>45-54</v>
      </c>
      <c r="D274" s="4" t="s">
        <v>78</v>
      </c>
      <c r="E274" s="4" t="s">
        <v>51</v>
      </c>
      <c r="F274" s="4" t="s">
        <v>79</v>
      </c>
      <c r="G274" s="4" t="s">
        <v>80</v>
      </c>
      <c r="H274" s="4" t="s">
        <v>656</v>
      </c>
      <c r="I274" s="4" t="s">
        <v>133</v>
      </c>
      <c r="J274" s="5">
        <v>96.68</v>
      </c>
      <c r="K274" s="3">
        <v>10</v>
      </c>
      <c r="L274" s="4" t="str">
        <f>IF(AND(J274&gt;350,K274&gt;6), "True","False")</f>
        <v>False</v>
      </c>
      <c r="M274" s="4" t="s">
        <v>83</v>
      </c>
      <c r="N274" s="3">
        <v>5</v>
      </c>
      <c r="O274" s="4" t="str" cm="1">
        <f t="array" ref="O274">_xlfn.IFS(P274&lt;=2,"Poor",P274=3,"Average",P274&gt;=4,"Good")</f>
        <v>Poor</v>
      </c>
      <c r="P274" s="3">
        <v>2</v>
      </c>
      <c r="Q274" s="2">
        <v>2</v>
      </c>
      <c r="R274" s="4" t="s">
        <v>72</v>
      </c>
      <c r="S274" s="4" t="s">
        <v>84</v>
      </c>
      <c r="T274" s="3">
        <v>2</v>
      </c>
      <c r="U274" s="4" t="str" cm="1">
        <f t="array" ref="U274">_xlfn.IFS(V274&lt;=4, "Dissatisfied",V274&lt;=7,"Neutral",V274&gt;=8,"Satisfied")</f>
        <v>Dissatisfied</v>
      </c>
      <c r="V274" s="3">
        <v>3</v>
      </c>
      <c r="W274" s="4" t="s">
        <v>57</v>
      </c>
      <c r="X274" s="4" t="s">
        <v>60</v>
      </c>
      <c r="Y274" s="4" t="s">
        <v>119</v>
      </c>
      <c r="Z274" s="1">
        <v>45395</v>
      </c>
      <c r="AA274" s="4" t="str" cm="1">
        <f t="array" ref="AA274">_xlfn.IFS(OR(AB274="December", AB274="February", AB274="January"), "Winter", OR(AB274="March", AB274="April", AB274="May"), "Spring", OR(AB274="June", AB274="July", AB274="August"), "Summer", TRUE, "Autumn")</f>
        <v>Spring</v>
      </c>
      <c r="AB274" s="7" t="str">
        <f>TEXT(Z274, "mmmm")</f>
        <v>April</v>
      </c>
      <c r="AC274" s="1" t="str">
        <f>TEXT(Z274, "dddd")</f>
        <v>Saturday</v>
      </c>
      <c r="AD274" s="4" t="s">
        <v>62</v>
      </c>
      <c r="AE274" s="4" t="s">
        <v>76</v>
      </c>
      <c r="AF274" s="4" t="s">
        <v>87</v>
      </c>
      <c r="AG274" s="4" t="s">
        <v>88</v>
      </c>
      <c r="AH274" s="3">
        <v>10</v>
      </c>
    </row>
    <row r="275" spans="1:34">
      <c r="A275" s="4" t="s">
        <v>657</v>
      </c>
      <c r="B275" s="3">
        <v>40</v>
      </c>
      <c r="C275" s="9" t="str" cm="1">
        <f t="array" ref="C275">_xlfn.IFS(B275&gt;65,"+65",B275&gt;54,"55-65",B275&gt;44,"45-54",B275&gt;35,"36-44",B275&gt;25,"26-35",B275&gt;=18,"18-25")</f>
        <v>36-44</v>
      </c>
      <c r="D275" s="4" t="s">
        <v>66</v>
      </c>
      <c r="E275" s="4" t="s">
        <v>72</v>
      </c>
      <c r="F275" s="4" t="s">
        <v>79</v>
      </c>
      <c r="G275" s="4" t="s">
        <v>68</v>
      </c>
      <c r="H275" s="4" t="s">
        <v>658</v>
      </c>
      <c r="I275" s="4" t="s">
        <v>100</v>
      </c>
      <c r="J275" s="5">
        <v>53.67</v>
      </c>
      <c r="K275" s="3">
        <v>7</v>
      </c>
      <c r="L275" s="4" t="str">
        <f>IF(AND(J275&gt;350,K275&gt;6), "True","False")</f>
        <v>False</v>
      </c>
      <c r="M275" s="4" t="s">
        <v>56</v>
      </c>
      <c r="N275" s="3">
        <v>3</v>
      </c>
      <c r="O275" s="4" t="str" cm="1">
        <f t="array" ref="O275">_xlfn.IFS(P275&lt;=2,"Poor",P275=3,"Average",P275&gt;=4,"Good")</f>
        <v>Good</v>
      </c>
      <c r="P275" s="3">
        <v>5</v>
      </c>
      <c r="Q275" s="2">
        <v>1</v>
      </c>
      <c r="R275" s="4" t="s">
        <v>72</v>
      </c>
      <c r="S275" s="4" t="s">
        <v>58</v>
      </c>
      <c r="T275" s="3">
        <v>0</v>
      </c>
      <c r="U275" s="4" t="str" cm="1">
        <f t="array" ref="U275">_xlfn.IFS(V275&lt;=4, "Dissatisfied",V275&lt;=7,"Neutral",V275&gt;=8,"Satisfied")</f>
        <v>Dissatisfied</v>
      </c>
      <c r="V275" s="3">
        <v>2</v>
      </c>
      <c r="W275" s="4" t="s">
        <v>72</v>
      </c>
      <c r="X275" s="4" t="s">
        <v>101</v>
      </c>
      <c r="Y275" s="4" t="s">
        <v>86</v>
      </c>
      <c r="Z275" s="1">
        <v>45395</v>
      </c>
      <c r="AA275" s="4" t="str" cm="1">
        <f t="array" ref="AA275">_xlfn.IFS(OR(AB275="December", AB275="February", AB275="January"), "Winter", OR(AB275="March", AB275="April", AB275="May"), "Spring", OR(AB275="June", AB275="July", AB275="August"), "Summer", TRUE, "Autumn")</f>
        <v>Spring</v>
      </c>
      <c r="AB275" s="7" t="str">
        <f>TEXT(Z275, "mmmm")</f>
        <v>April</v>
      </c>
      <c r="AC275" s="1" t="str">
        <f>TEXT(Z275, "dddd")</f>
        <v>Saturday</v>
      </c>
      <c r="AD275" s="4" t="s">
        <v>76</v>
      </c>
      <c r="AE275" s="4" t="s">
        <v>76</v>
      </c>
      <c r="AF275" s="4" t="s">
        <v>87</v>
      </c>
      <c r="AG275" s="4" t="s">
        <v>93</v>
      </c>
      <c r="AH275" s="3">
        <v>11</v>
      </c>
    </row>
    <row r="276" spans="1:34">
      <c r="A276" s="4" t="s">
        <v>659</v>
      </c>
      <c r="B276" s="3">
        <v>26</v>
      </c>
      <c r="C276" s="9" t="str" cm="1">
        <f t="array" ref="C276">_xlfn.IFS(B276&gt;65,"+65",B276&gt;54,"55-65",B276&gt;44,"45-54",B276&gt;35,"36-44",B276&gt;25,"26-35",B276&gt;=18,"18-25")</f>
        <v>26-35</v>
      </c>
      <c r="D276" s="4" t="s">
        <v>78</v>
      </c>
      <c r="E276" s="4" t="s">
        <v>72</v>
      </c>
      <c r="F276" s="4" t="s">
        <v>52</v>
      </c>
      <c r="G276" s="4" t="s">
        <v>68</v>
      </c>
      <c r="H276" s="4" t="s">
        <v>660</v>
      </c>
      <c r="I276" s="4" t="s">
        <v>156</v>
      </c>
      <c r="J276" s="5">
        <v>114.03</v>
      </c>
      <c r="K276" s="3">
        <v>7</v>
      </c>
      <c r="L276" s="4" t="str">
        <f>IF(AND(J276&gt;350,K276&gt;6), "True","False")</f>
        <v>False</v>
      </c>
      <c r="M276" s="4" t="s">
        <v>83</v>
      </c>
      <c r="N276" s="3">
        <v>4</v>
      </c>
      <c r="O276" s="4" t="str" cm="1">
        <f t="array" ref="O276">_xlfn.IFS(P276&lt;=2,"Poor",P276=3,"Average",P276&gt;=4,"Good")</f>
        <v>Average</v>
      </c>
      <c r="P276" s="3">
        <v>3</v>
      </c>
      <c r="Q276" s="2">
        <v>0</v>
      </c>
      <c r="R276" s="4" t="s">
        <v>85</v>
      </c>
      <c r="S276" s="4" t="s">
        <v>58</v>
      </c>
      <c r="T276" s="3">
        <v>1</v>
      </c>
      <c r="U276" s="4" t="str" cm="1">
        <f t="array" ref="U276">_xlfn.IFS(V276&lt;=4, "Dissatisfied",V276&lt;=7,"Neutral",V276&gt;=8,"Satisfied")</f>
        <v>Satisfied</v>
      </c>
      <c r="V276" s="3">
        <v>10</v>
      </c>
      <c r="W276" s="4" t="s">
        <v>72</v>
      </c>
      <c r="X276" s="4" t="s">
        <v>74</v>
      </c>
      <c r="Y276" s="4" t="s">
        <v>119</v>
      </c>
      <c r="Z276" s="1">
        <v>45395</v>
      </c>
      <c r="AA276" s="4" t="str" cm="1">
        <f t="array" ref="AA276">_xlfn.IFS(OR(AB276="December", AB276="February", AB276="January"), "Winter", OR(AB276="March", AB276="April", AB276="May"), "Spring", OR(AB276="June", AB276="July", AB276="August"), "Summer", TRUE, "Autumn")</f>
        <v>Spring</v>
      </c>
      <c r="AB276" s="7" t="str">
        <f>TEXT(Z276, "mmmm")</f>
        <v>April</v>
      </c>
      <c r="AC276" s="1" t="str">
        <f>TEXT(Z276, "dddd")</f>
        <v>Saturday</v>
      </c>
      <c r="AD276" s="4" t="s">
        <v>62</v>
      </c>
      <c r="AE276" s="4" t="s">
        <v>62</v>
      </c>
      <c r="AF276" s="4" t="s">
        <v>87</v>
      </c>
      <c r="AG276" s="4" t="s">
        <v>88</v>
      </c>
      <c r="AH276" s="3">
        <v>6</v>
      </c>
    </row>
    <row r="277" spans="1:34">
      <c r="A277" s="4" t="s">
        <v>661</v>
      </c>
      <c r="B277" s="3">
        <v>46</v>
      </c>
      <c r="C277" s="9" t="str" cm="1">
        <f t="array" ref="C277">_xlfn.IFS(B277&gt;65,"+65",B277&gt;54,"55-65",B277&gt;44,"45-54",B277&gt;35,"36-44",B277&gt;25,"26-35",B277&gt;=18,"18-25")</f>
        <v>45-54</v>
      </c>
      <c r="D277" s="4" t="s">
        <v>78</v>
      </c>
      <c r="E277" s="4" t="s">
        <v>72</v>
      </c>
      <c r="F277" s="4" t="s">
        <v>79</v>
      </c>
      <c r="G277" s="4" t="s">
        <v>68</v>
      </c>
      <c r="H277" s="4" t="s">
        <v>662</v>
      </c>
      <c r="I277" s="4" t="s">
        <v>234</v>
      </c>
      <c r="J277" s="5">
        <v>309.52999999999997</v>
      </c>
      <c r="K277" s="3">
        <v>8</v>
      </c>
      <c r="L277" s="4" t="str">
        <f>IF(AND(J277&gt;350,K277&gt;6), "True","False")</f>
        <v>False</v>
      </c>
      <c r="M277" s="4" t="s">
        <v>83</v>
      </c>
      <c r="N277" s="3">
        <v>2</v>
      </c>
      <c r="O277" s="4" t="str" cm="1">
        <f t="array" ref="O277">_xlfn.IFS(P277&lt;=2,"Poor",P277=3,"Average",P277&gt;=4,"Good")</f>
        <v>Poor</v>
      </c>
      <c r="P277" s="3">
        <v>1</v>
      </c>
      <c r="Q277" s="2">
        <v>1</v>
      </c>
      <c r="R277" s="4" t="s">
        <v>57</v>
      </c>
      <c r="S277" s="4" t="s">
        <v>73</v>
      </c>
      <c r="T277" s="3">
        <v>2</v>
      </c>
      <c r="U277" s="4" t="str" cm="1">
        <f t="array" ref="U277">_xlfn.IFS(V277&lt;=4, "Dissatisfied",V277&lt;=7,"Neutral",V277&gt;=8,"Satisfied")</f>
        <v>Neutral</v>
      </c>
      <c r="V277" s="3">
        <v>6</v>
      </c>
      <c r="W277" s="4" t="s">
        <v>57</v>
      </c>
      <c r="X277" s="4" t="s">
        <v>60</v>
      </c>
      <c r="Y277" s="4" t="s">
        <v>61</v>
      </c>
      <c r="Z277" s="1">
        <v>45396</v>
      </c>
      <c r="AA277" s="4" t="str" cm="1">
        <f t="array" ref="AA277">_xlfn.IFS(OR(AB277="December", AB277="February", AB277="January"), "Winter", OR(AB277="March", AB277="April", AB277="May"), "Spring", OR(AB277="June", AB277="July", AB277="August"), "Summer", TRUE, "Autumn")</f>
        <v>Spring</v>
      </c>
      <c r="AB277" s="7" t="str">
        <f>TEXT(Z277, "mmmm")</f>
        <v>April</v>
      </c>
      <c r="AC277" s="1" t="str">
        <f>TEXT(Z277, "dddd")</f>
        <v>Sunday</v>
      </c>
      <c r="AD277" s="4" t="s">
        <v>76</v>
      </c>
      <c r="AE277" s="4" t="s">
        <v>62</v>
      </c>
      <c r="AF277" s="4" t="s">
        <v>87</v>
      </c>
      <c r="AG277" s="4" t="s">
        <v>64</v>
      </c>
      <c r="AH277" s="3">
        <v>5</v>
      </c>
    </row>
    <row r="278" spans="1:34">
      <c r="A278" s="4" t="s">
        <v>663</v>
      </c>
      <c r="B278" s="3">
        <v>35</v>
      </c>
      <c r="C278" s="9" t="str" cm="1">
        <f t="array" ref="C278">_xlfn.IFS(B278&gt;65,"+65",B278&gt;54,"55-65",B278&gt;44,"45-54",B278&gt;35,"36-44",B278&gt;25,"26-35",B278&gt;=18,"18-25")</f>
        <v>26-35</v>
      </c>
      <c r="D278" s="4" t="s">
        <v>78</v>
      </c>
      <c r="E278" s="4" t="s">
        <v>51</v>
      </c>
      <c r="F278" s="4" t="s">
        <v>95</v>
      </c>
      <c r="G278" s="4" t="s">
        <v>68</v>
      </c>
      <c r="H278" s="4" t="s">
        <v>664</v>
      </c>
      <c r="I278" s="4" t="s">
        <v>100</v>
      </c>
      <c r="J278" s="5">
        <v>170.71</v>
      </c>
      <c r="K278" s="3">
        <v>10</v>
      </c>
      <c r="L278" s="4" t="str">
        <f>IF(AND(J278&gt;350,K278&gt;6), "True","False")</f>
        <v>False</v>
      </c>
      <c r="M278" s="4" t="s">
        <v>83</v>
      </c>
      <c r="N278" s="3">
        <v>5</v>
      </c>
      <c r="O278" s="4" t="str" cm="1">
        <f t="array" ref="O278">_xlfn.IFS(P278&lt;=2,"Poor",P278=3,"Average",P278&gt;=4,"Good")</f>
        <v>Average</v>
      </c>
      <c r="P278" s="3">
        <v>3</v>
      </c>
      <c r="Q278" s="2">
        <v>0</v>
      </c>
      <c r="R278" s="4" t="s">
        <v>59</v>
      </c>
      <c r="S278" s="4" t="s">
        <v>84</v>
      </c>
      <c r="T278" s="3">
        <v>1</v>
      </c>
      <c r="U278" s="4" t="str" cm="1">
        <f t="array" ref="U278">_xlfn.IFS(V278&lt;=4, "Dissatisfied",V278&lt;=7,"Neutral",V278&gt;=8,"Satisfied")</f>
        <v>Satisfied</v>
      </c>
      <c r="V278" s="3">
        <v>9</v>
      </c>
      <c r="W278" s="4" t="s">
        <v>59</v>
      </c>
      <c r="X278" s="4" t="s">
        <v>101</v>
      </c>
      <c r="Y278" s="4" t="s">
        <v>119</v>
      </c>
      <c r="Z278" s="1">
        <v>45396</v>
      </c>
      <c r="AA278" s="4" t="str" cm="1">
        <f t="array" ref="AA278">_xlfn.IFS(OR(AB278="December", AB278="February", AB278="January"), "Winter", OR(AB278="March", AB278="April", AB278="May"), "Spring", OR(AB278="June", AB278="July", AB278="August"), "Summer", TRUE, "Autumn")</f>
        <v>Spring</v>
      </c>
      <c r="AB278" s="7" t="str">
        <f>TEXT(Z278, "mmmm")</f>
        <v>April</v>
      </c>
      <c r="AC278" s="1" t="str">
        <f>TEXT(Z278, "dddd")</f>
        <v>Sunday</v>
      </c>
      <c r="AD278" s="4" t="s">
        <v>62</v>
      </c>
      <c r="AE278" s="4" t="s">
        <v>62</v>
      </c>
      <c r="AF278" s="4" t="s">
        <v>87</v>
      </c>
      <c r="AG278" s="4" t="s">
        <v>88</v>
      </c>
      <c r="AH278" s="3">
        <v>7</v>
      </c>
    </row>
    <row r="279" spans="1:34">
      <c r="A279" s="4" t="s">
        <v>665</v>
      </c>
      <c r="B279" s="3">
        <v>35</v>
      </c>
      <c r="C279" s="9" t="str" cm="1">
        <f t="array" ref="C279">_xlfn.IFS(B279&gt;65,"+65",B279&gt;54,"55-65",B279&gt;44,"45-54",B279&gt;35,"36-44",B279&gt;25,"26-35",B279&gt;=18,"18-25")</f>
        <v>26-35</v>
      </c>
      <c r="D279" s="4" t="s">
        <v>50</v>
      </c>
      <c r="E279" s="4" t="s">
        <v>72</v>
      </c>
      <c r="F279" s="4" t="s">
        <v>79</v>
      </c>
      <c r="G279" s="4" t="s">
        <v>53</v>
      </c>
      <c r="H279" s="4" t="s">
        <v>666</v>
      </c>
      <c r="I279" s="4" t="s">
        <v>100</v>
      </c>
      <c r="J279" s="5">
        <v>375.45</v>
      </c>
      <c r="K279" s="3">
        <v>6</v>
      </c>
      <c r="L279" s="4" t="str">
        <f>IF(AND(J279&gt;350,K279&gt;6), "True","False")</f>
        <v>False</v>
      </c>
      <c r="M279" s="4" t="s">
        <v>56</v>
      </c>
      <c r="N279" s="3">
        <v>3</v>
      </c>
      <c r="O279" s="4" t="str" cm="1">
        <f t="array" ref="O279">_xlfn.IFS(P279&lt;=2,"Poor",P279=3,"Average",P279&gt;=4,"Good")</f>
        <v>Good</v>
      </c>
      <c r="P279" s="3">
        <v>4</v>
      </c>
      <c r="Q279" s="2">
        <v>0</v>
      </c>
      <c r="R279" s="4" t="s">
        <v>72</v>
      </c>
      <c r="S279" s="4" t="s">
        <v>58</v>
      </c>
      <c r="T279" s="3">
        <v>1</v>
      </c>
      <c r="U279" s="4" t="str" cm="1">
        <f t="array" ref="U279">_xlfn.IFS(V279&lt;=4, "Dissatisfied",V279&lt;=7,"Neutral",V279&gt;=8,"Satisfied")</f>
        <v>Satisfied</v>
      </c>
      <c r="V279" s="3">
        <v>8</v>
      </c>
      <c r="W279" s="4" t="s">
        <v>85</v>
      </c>
      <c r="X279" s="4" t="s">
        <v>60</v>
      </c>
      <c r="Y279" s="4" t="s">
        <v>111</v>
      </c>
      <c r="Z279" s="1">
        <v>45396</v>
      </c>
      <c r="AA279" s="4" t="str" cm="1">
        <f t="array" ref="AA279">_xlfn.IFS(OR(AB279="December", AB279="February", AB279="January"), "Winter", OR(AB279="March", AB279="April", AB279="May"), "Spring", OR(AB279="June", AB279="July", AB279="August"), "Summer", TRUE, "Autumn")</f>
        <v>Spring</v>
      </c>
      <c r="AB279" s="7" t="str">
        <f>TEXT(Z279, "mmmm")</f>
        <v>April</v>
      </c>
      <c r="AC279" s="1" t="str">
        <f>TEXT(Z279, "dddd")</f>
        <v>Sunday</v>
      </c>
      <c r="AD279" s="4" t="s">
        <v>76</v>
      </c>
      <c r="AE279" s="4" t="s">
        <v>62</v>
      </c>
      <c r="AF279" s="4" t="s">
        <v>92</v>
      </c>
      <c r="AG279" s="4" t="s">
        <v>93</v>
      </c>
      <c r="AH279" s="3">
        <v>1</v>
      </c>
    </row>
    <row r="280" spans="1:34">
      <c r="A280" s="4" t="s">
        <v>667</v>
      </c>
      <c r="B280" s="3">
        <v>23</v>
      </c>
      <c r="C280" s="9" t="str" cm="1">
        <f t="array" ref="C280">_xlfn.IFS(B280&gt;65,"+65",B280&gt;54,"55-65",B280&gt;44,"45-54",B280&gt;35,"36-44",B280&gt;25,"26-35",B280&gt;=18,"18-25")</f>
        <v>18-25</v>
      </c>
      <c r="D280" s="4" t="s">
        <v>66</v>
      </c>
      <c r="E280" s="4" t="s">
        <v>51</v>
      </c>
      <c r="F280" s="4" t="s">
        <v>52</v>
      </c>
      <c r="G280" s="4" t="s">
        <v>80</v>
      </c>
      <c r="H280" s="4" t="s">
        <v>668</v>
      </c>
      <c r="I280" s="4" t="s">
        <v>110</v>
      </c>
      <c r="J280" s="5">
        <v>257.43</v>
      </c>
      <c r="K280" s="3">
        <v>5</v>
      </c>
      <c r="L280" s="4" t="str">
        <f>IF(AND(J280&gt;350,K280&gt;6), "True","False")</f>
        <v>False</v>
      </c>
      <c r="M280" s="4" t="s">
        <v>56</v>
      </c>
      <c r="N280" s="3">
        <v>4</v>
      </c>
      <c r="O280" s="4" t="str" cm="1">
        <f t="array" ref="O280">_xlfn.IFS(P280&lt;=2,"Poor",P280=3,"Average",P280&gt;=4,"Good")</f>
        <v>Poor</v>
      </c>
      <c r="P280" s="3">
        <v>2</v>
      </c>
      <c r="Q280" s="2">
        <v>0</v>
      </c>
      <c r="R280" s="4" t="s">
        <v>59</v>
      </c>
      <c r="S280" s="4" t="s">
        <v>84</v>
      </c>
      <c r="T280" s="3">
        <v>1</v>
      </c>
      <c r="U280" s="4" t="str" cm="1">
        <f t="array" ref="U280">_xlfn.IFS(V280&lt;=4, "Dissatisfied",V280&lt;=7,"Neutral",V280&gt;=8,"Satisfied")</f>
        <v>Neutral</v>
      </c>
      <c r="V280" s="3">
        <v>7</v>
      </c>
      <c r="W280" s="4" t="s">
        <v>59</v>
      </c>
      <c r="X280" s="4" t="s">
        <v>101</v>
      </c>
      <c r="Y280" s="4" t="s">
        <v>111</v>
      </c>
      <c r="Z280" s="1">
        <v>45396</v>
      </c>
      <c r="AA280" s="4" t="str" cm="1">
        <f t="array" ref="AA280">_xlfn.IFS(OR(AB280="December", AB280="February", AB280="January"), "Winter", OR(AB280="March", AB280="April", AB280="May"), "Spring", OR(AB280="June", AB280="July", AB280="August"), "Summer", TRUE, "Autumn")</f>
        <v>Spring</v>
      </c>
      <c r="AB280" s="7" t="str">
        <f>TEXT(Z280, "mmmm")</f>
        <v>April</v>
      </c>
      <c r="AC280" s="1" t="str">
        <f>TEXT(Z280, "dddd")</f>
        <v>Sunday</v>
      </c>
      <c r="AD280" s="4" t="s">
        <v>62</v>
      </c>
      <c r="AE280" s="4" t="s">
        <v>62</v>
      </c>
      <c r="AF280" s="4" t="s">
        <v>63</v>
      </c>
      <c r="AG280" s="4" t="s">
        <v>64</v>
      </c>
      <c r="AH280" s="3">
        <v>13</v>
      </c>
    </row>
    <row r="281" spans="1:34">
      <c r="A281" s="4" t="s">
        <v>669</v>
      </c>
      <c r="B281" s="3">
        <v>45</v>
      </c>
      <c r="C281" s="9" t="str" cm="1">
        <f t="array" ref="C281">_xlfn.IFS(B281&gt;65,"+65",B281&gt;54,"55-65",B281&gt;44,"45-54",B281&gt;35,"36-44",B281&gt;25,"26-35",B281&gt;=18,"18-25")</f>
        <v>45-54</v>
      </c>
      <c r="D281" s="4" t="s">
        <v>66</v>
      </c>
      <c r="E281" s="4" t="s">
        <v>72</v>
      </c>
      <c r="F281" s="4" t="s">
        <v>95</v>
      </c>
      <c r="G281" s="4" t="s">
        <v>80</v>
      </c>
      <c r="H281" s="4" t="s">
        <v>670</v>
      </c>
      <c r="I281" s="4" t="s">
        <v>223</v>
      </c>
      <c r="J281" s="5">
        <v>129.1</v>
      </c>
      <c r="K281" s="3">
        <v>12</v>
      </c>
      <c r="L281" s="4" t="str">
        <f>IF(AND(J281&gt;350,K281&gt;6), "True","False")</f>
        <v>False</v>
      </c>
      <c r="M281" s="4" t="s">
        <v>83</v>
      </c>
      <c r="N281" s="3">
        <v>5</v>
      </c>
      <c r="O281" s="4" t="str" cm="1">
        <f t="array" ref="O281">_xlfn.IFS(P281&lt;=2,"Poor",P281=3,"Average",P281&gt;=4,"Good")</f>
        <v>Average</v>
      </c>
      <c r="P281" s="3">
        <v>3</v>
      </c>
      <c r="Q281" s="2">
        <v>2</v>
      </c>
      <c r="R281" s="4" t="s">
        <v>59</v>
      </c>
      <c r="S281" s="4" t="s">
        <v>58</v>
      </c>
      <c r="T281" s="3">
        <v>0</v>
      </c>
      <c r="U281" s="4" t="str" cm="1">
        <f t="array" ref="U281">_xlfn.IFS(V281&lt;=4, "Dissatisfied",V281&lt;=7,"Neutral",V281&gt;=8,"Satisfied")</f>
        <v>Satisfied</v>
      </c>
      <c r="V281" s="3">
        <v>8</v>
      </c>
      <c r="W281" s="4" t="s">
        <v>72</v>
      </c>
      <c r="X281" s="4" t="s">
        <v>101</v>
      </c>
      <c r="Y281" s="4" t="s">
        <v>119</v>
      </c>
      <c r="Z281" s="1">
        <v>45397</v>
      </c>
      <c r="AA281" s="4" t="str" cm="1">
        <f t="array" ref="AA281">_xlfn.IFS(OR(AB281="December", AB281="February", AB281="January"), "Winter", OR(AB281="March", AB281="April", AB281="May"), "Spring", OR(AB281="June", AB281="July", AB281="August"), "Summer", TRUE, "Autumn")</f>
        <v>Spring</v>
      </c>
      <c r="AB281" s="7" t="str">
        <f>TEXT(Z281, "mmmm")</f>
        <v>April</v>
      </c>
      <c r="AC281" s="1" t="str">
        <f>TEXT(Z281, "dddd")</f>
        <v>Monday</v>
      </c>
      <c r="AD281" s="4" t="s">
        <v>62</v>
      </c>
      <c r="AE281" s="4" t="s">
        <v>76</v>
      </c>
      <c r="AF281" s="4" t="s">
        <v>87</v>
      </c>
      <c r="AG281" s="4" t="s">
        <v>88</v>
      </c>
      <c r="AH281" s="3">
        <v>7</v>
      </c>
    </row>
    <row r="282" spans="1:34">
      <c r="A282" s="4" t="s">
        <v>671</v>
      </c>
      <c r="B282" s="3">
        <v>41</v>
      </c>
      <c r="C282" s="9" t="str" cm="1">
        <f t="array" ref="C282">_xlfn.IFS(B282&gt;65,"+65",B282&gt;54,"55-65",B282&gt;44,"45-54",B282&gt;35,"36-44",B282&gt;25,"26-35",B282&gt;=18,"18-25")</f>
        <v>36-44</v>
      </c>
      <c r="D282" s="4" t="s">
        <v>66</v>
      </c>
      <c r="E282" s="4" t="s">
        <v>51</v>
      </c>
      <c r="F282" s="4" t="s">
        <v>52</v>
      </c>
      <c r="G282" s="4" t="s">
        <v>68</v>
      </c>
      <c r="H282" s="4" t="s">
        <v>672</v>
      </c>
      <c r="I282" s="4" t="s">
        <v>118</v>
      </c>
      <c r="J282" s="5">
        <v>220.77</v>
      </c>
      <c r="K282" s="3">
        <v>7</v>
      </c>
      <c r="L282" s="4" t="str">
        <f>IF(AND(J282&gt;350,K282&gt;6), "True","False")</f>
        <v>False</v>
      </c>
      <c r="M282" s="4" t="s">
        <v>56</v>
      </c>
      <c r="N282" s="3">
        <v>4</v>
      </c>
      <c r="O282" s="4" t="str" cm="1">
        <f t="array" ref="O282">_xlfn.IFS(P282&lt;=2,"Poor",P282=3,"Average",P282&gt;=4,"Good")</f>
        <v>Poor</v>
      </c>
      <c r="P282" s="3">
        <v>2</v>
      </c>
      <c r="Q282" s="2">
        <v>2</v>
      </c>
      <c r="R282" s="4" t="s">
        <v>59</v>
      </c>
      <c r="S282" s="4" t="s">
        <v>58</v>
      </c>
      <c r="T282" s="3">
        <v>2</v>
      </c>
      <c r="U282" s="4" t="str" cm="1">
        <f t="array" ref="U282">_xlfn.IFS(V282&lt;=4, "Dissatisfied",V282&lt;=7,"Neutral",V282&gt;=8,"Satisfied")</f>
        <v>Dissatisfied</v>
      </c>
      <c r="V282" s="3">
        <v>1</v>
      </c>
      <c r="W282" s="4" t="s">
        <v>57</v>
      </c>
      <c r="X282" s="4" t="s">
        <v>60</v>
      </c>
      <c r="Y282" s="4" t="s">
        <v>75</v>
      </c>
      <c r="Z282" s="1">
        <v>45397</v>
      </c>
      <c r="AA282" s="4" t="str" cm="1">
        <f t="array" ref="AA282">_xlfn.IFS(OR(AB282="December", AB282="February", AB282="January"), "Winter", OR(AB282="March", AB282="April", AB282="May"), "Spring", OR(AB282="June", AB282="July", AB282="August"), "Summer", TRUE, "Autumn")</f>
        <v>Spring</v>
      </c>
      <c r="AB282" s="7" t="str">
        <f>TEXT(Z282, "mmmm")</f>
        <v>April</v>
      </c>
      <c r="AC282" s="1" t="str">
        <f>TEXT(Z282, "dddd")</f>
        <v>Monday</v>
      </c>
      <c r="AD282" s="4" t="s">
        <v>62</v>
      </c>
      <c r="AE282" s="4" t="s">
        <v>62</v>
      </c>
      <c r="AF282" s="4" t="s">
        <v>63</v>
      </c>
      <c r="AG282" s="4" t="s">
        <v>64</v>
      </c>
      <c r="AH282" s="3">
        <v>11</v>
      </c>
    </row>
    <row r="283" spans="1:34">
      <c r="A283" s="4" t="s">
        <v>673</v>
      </c>
      <c r="B283" s="3">
        <v>37</v>
      </c>
      <c r="C283" s="9" t="str" cm="1">
        <f t="array" ref="C283">_xlfn.IFS(B283&gt;65,"+65",B283&gt;54,"55-65",B283&gt;44,"45-54",B283&gt;35,"36-44",B283&gt;25,"26-35",B283&gt;=18,"18-25")</f>
        <v>36-44</v>
      </c>
      <c r="D283" s="4" t="s">
        <v>78</v>
      </c>
      <c r="E283" s="4" t="s">
        <v>72</v>
      </c>
      <c r="F283" s="4" t="s">
        <v>52</v>
      </c>
      <c r="G283" s="4" t="s">
        <v>53</v>
      </c>
      <c r="H283" s="4" t="s">
        <v>674</v>
      </c>
      <c r="I283" s="4" t="s">
        <v>55</v>
      </c>
      <c r="J283" s="5">
        <v>390.51</v>
      </c>
      <c r="K283" s="3">
        <v>6</v>
      </c>
      <c r="L283" s="4" t="str">
        <f>IF(AND(J283&gt;350,K283&gt;6), "True","False")</f>
        <v>False</v>
      </c>
      <c r="M283" s="4" t="s">
        <v>56</v>
      </c>
      <c r="N283" s="3">
        <v>3</v>
      </c>
      <c r="O283" s="4" t="str" cm="1">
        <f t="array" ref="O283">_xlfn.IFS(P283&lt;=2,"Poor",P283=3,"Average",P283&gt;=4,"Good")</f>
        <v>Poor</v>
      </c>
      <c r="P283" s="3">
        <v>2</v>
      </c>
      <c r="Q283" s="2">
        <v>0</v>
      </c>
      <c r="R283" s="4" t="s">
        <v>85</v>
      </c>
      <c r="S283" s="4" t="s">
        <v>73</v>
      </c>
      <c r="T283" s="3">
        <v>0</v>
      </c>
      <c r="U283" s="4" t="str" cm="1">
        <f t="array" ref="U283">_xlfn.IFS(V283&lt;=4, "Dissatisfied",V283&lt;=7,"Neutral",V283&gt;=8,"Satisfied")</f>
        <v>Dissatisfied</v>
      </c>
      <c r="V283" s="3">
        <v>2</v>
      </c>
      <c r="W283" s="4" t="s">
        <v>72</v>
      </c>
      <c r="X283" s="4" t="s">
        <v>101</v>
      </c>
      <c r="Y283" s="4" t="s">
        <v>61</v>
      </c>
      <c r="Z283" s="1">
        <v>45397</v>
      </c>
      <c r="AA283" s="4" t="str" cm="1">
        <f t="array" ref="AA283">_xlfn.IFS(OR(AB283="December", AB283="February", AB283="January"), "Winter", OR(AB283="March", AB283="April", AB283="May"), "Spring", OR(AB283="June", AB283="July", AB283="August"), "Summer", TRUE, "Autumn")</f>
        <v>Spring</v>
      </c>
      <c r="AB283" s="7" t="str">
        <f>TEXT(Z283, "mmmm")</f>
        <v>April</v>
      </c>
      <c r="AC283" s="1" t="str">
        <f>TEXT(Z283, "dddd")</f>
        <v>Monday</v>
      </c>
      <c r="AD283" s="4" t="s">
        <v>76</v>
      </c>
      <c r="AE283" s="4" t="s">
        <v>76</v>
      </c>
      <c r="AF283" s="4" t="s">
        <v>102</v>
      </c>
      <c r="AG283" s="4" t="s">
        <v>93</v>
      </c>
      <c r="AH283" s="3">
        <v>6</v>
      </c>
    </row>
    <row r="284" spans="1:34">
      <c r="A284" s="4" t="s">
        <v>675</v>
      </c>
      <c r="B284" s="3">
        <v>30</v>
      </c>
      <c r="C284" s="9" t="str" cm="1">
        <f t="array" ref="C284">_xlfn.IFS(B284&gt;65,"+65",B284&gt;54,"55-65",B284&gt;44,"45-54",B284&gt;35,"36-44",B284&gt;25,"26-35",B284&gt;=18,"18-25")</f>
        <v>26-35</v>
      </c>
      <c r="D284" s="4" t="s">
        <v>78</v>
      </c>
      <c r="E284" s="4" t="s">
        <v>51</v>
      </c>
      <c r="F284" s="4" t="s">
        <v>95</v>
      </c>
      <c r="G284" s="4" t="s">
        <v>68</v>
      </c>
      <c r="H284" s="4" t="s">
        <v>676</v>
      </c>
      <c r="I284" s="4" t="s">
        <v>110</v>
      </c>
      <c r="J284" s="5">
        <v>467.58</v>
      </c>
      <c r="K284" s="3">
        <v>10</v>
      </c>
      <c r="L284" s="4" t="str">
        <f>IF(AND(J284&gt;350,K284&gt;6), "True","False")</f>
        <v>True</v>
      </c>
      <c r="M284" s="4" t="s">
        <v>83</v>
      </c>
      <c r="N284" s="3">
        <v>1</v>
      </c>
      <c r="O284" s="4" t="str" cm="1">
        <f t="array" ref="O284">_xlfn.IFS(P284&lt;=2,"Poor",P284=3,"Average",P284&gt;=4,"Good")</f>
        <v>Poor</v>
      </c>
      <c r="P284" s="3">
        <v>2</v>
      </c>
      <c r="Q284" s="2">
        <v>0</v>
      </c>
      <c r="R284" s="4" t="s">
        <v>57</v>
      </c>
      <c r="S284" s="4" t="s">
        <v>84</v>
      </c>
      <c r="T284" s="3">
        <v>1</v>
      </c>
      <c r="U284" s="4" t="str" cm="1">
        <f t="array" ref="U284">_xlfn.IFS(V284&lt;=4, "Dissatisfied",V284&lt;=7,"Neutral",V284&gt;=8,"Satisfied")</f>
        <v>Neutral</v>
      </c>
      <c r="V284" s="3">
        <v>6</v>
      </c>
      <c r="W284" s="4" t="s">
        <v>59</v>
      </c>
      <c r="X284" s="4" t="s">
        <v>101</v>
      </c>
      <c r="Y284" s="4" t="s">
        <v>86</v>
      </c>
      <c r="Z284" s="1">
        <v>45397</v>
      </c>
      <c r="AA284" s="4" t="str" cm="1">
        <f t="array" ref="AA284">_xlfn.IFS(OR(AB284="December", AB284="February", AB284="January"), "Winter", OR(AB284="March", AB284="April", AB284="May"), "Spring", OR(AB284="June", AB284="July", AB284="August"), "Summer", TRUE, "Autumn")</f>
        <v>Spring</v>
      </c>
      <c r="AB284" s="7" t="str">
        <f>TEXT(Z284, "mmmm")</f>
        <v>April</v>
      </c>
      <c r="AC284" s="1" t="str">
        <f>TEXT(Z284, "dddd")</f>
        <v>Monday</v>
      </c>
      <c r="AD284" s="4" t="s">
        <v>62</v>
      </c>
      <c r="AE284" s="4" t="s">
        <v>62</v>
      </c>
      <c r="AF284" s="4" t="s">
        <v>102</v>
      </c>
      <c r="AG284" s="4" t="s">
        <v>64</v>
      </c>
      <c r="AH284" s="3">
        <v>7</v>
      </c>
    </row>
    <row r="285" spans="1:34">
      <c r="A285" s="4" t="s">
        <v>677</v>
      </c>
      <c r="B285" s="3">
        <v>49</v>
      </c>
      <c r="C285" s="9" t="str" cm="1">
        <f t="array" ref="C285">_xlfn.IFS(B285&gt;65,"+65",B285&gt;54,"55-65",B285&gt;44,"45-54",B285&gt;35,"36-44",B285&gt;25,"26-35",B285&gt;=18,"18-25")</f>
        <v>45-54</v>
      </c>
      <c r="D285" s="4" t="s">
        <v>66</v>
      </c>
      <c r="E285" s="4" t="s">
        <v>72</v>
      </c>
      <c r="F285" s="4" t="s">
        <v>67</v>
      </c>
      <c r="G285" s="4" t="s">
        <v>80</v>
      </c>
      <c r="H285" s="4" t="s">
        <v>678</v>
      </c>
      <c r="I285" s="4" t="s">
        <v>133</v>
      </c>
      <c r="J285" s="5">
        <v>222.22</v>
      </c>
      <c r="K285" s="3">
        <v>11</v>
      </c>
      <c r="L285" s="4" t="str">
        <f>IF(AND(J285&gt;350,K285&gt;6), "True","False")</f>
        <v>False</v>
      </c>
      <c r="M285" s="4" t="s">
        <v>71</v>
      </c>
      <c r="N285" s="3">
        <v>3</v>
      </c>
      <c r="O285" s="4" t="str" cm="1">
        <f t="array" ref="O285">_xlfn.IFS(P285&lt;=2,"Poor",P285=3,"Average",P285&gt;=4,"Good")</f>
        <v>Poor</v>
      </c>
      <c r="P285" s="3">
        <v>1</v>
      </c>
      <c r="Q285" s="2">
        <v>2</v>
      </c>
      <c r="R285" s="4" t="s">
        <v>85</v>
      </c>
      <c r="S285" s="4" t="s">
        <v>58</v>
      </c>
      <c r="T285" s="3">
        <v>1</v>
      </c>
      <c r="U285" s="4" t="str" cm="1">
        <f t="array" ref="U285">_xlfn.IFS(V285&lt;=4, "Dissatisfied",V285&lt;=7,"Neutral",V285&gt;=8,"Satisfied")</f>
        <v>Neutral</v>
      </c>
      <c r="V285" s="3">
        <v>5</v>
      </c>
      <c r="W285" s="4" t="s">
        <v>72</v>
      </c>
      <c r="X285" s="4" t="s">
        <v>74</v>
      </c>
      <c r="Y285" s="4" t="s">
        <v>86</v>
      </c>
      <c r="Z285" s="1">
        <v>45398</v>
      </c>
      <c r="AA285" s="4" t="str" cm="1">
        <f t="array" ref="AA285">_xlfn.IFS(OR(AB285="December", AB285="February", AB285="January"), "Winter", OR(AB285="March", AB285="April", AB285="May"), "Spring", OR(AB285="June", AB285="July", AB285="August"), "Summer", TRUE, "Autumn")</f>
        <v>Spring</v>
      </c>
      <c r="AB285" s="7" t="str">
        <f>TEXT(Z285, "mmmm")</f>
        <v>April</v>
      </c>
      <c r="AC285" s="1" t="str">
        <f>TEXT(Z285, "dddd")</f>
        <v>Tuesday</v>
      </c>
      <c r="AD285" s="4" t="s">
        <v>62</v>
      </c>
      <c r="AE285" s="4" t="s">
        <v>76</v>
      </c>
      <c r="AF285" s="4" t="s">
        <v>102</v>
      </c>
      <c r="AG285" s="4" t="s">
        <v>64</v>
      </c>
      <c r="AH285" s="3">
        <v>6</v>
      </c>
    </row>
    <row r="286" spans="1:34">
      <c r="A286" s="4" t="s">
        <v>679</v>
      </c>
      <c r="B286" s="3">
        <v>49</v>
      </c>
      <c r="C286" s="9" t="str" cm="1">
        <f t="array" ref="C286">_xlfn.IFS(B286&gt;65,"+65",B286&gt;54,"55-65",B286&gt;44,"45-54",B286&gt;35,"36-44",B286&gt;25,"26-35",B286&gt;=18,"18-25")</f>
        <v>45-54</v>
      </c>
      <c r="D286" s="4" t="s">
        <v>66</v>
      </c>
      <c r="E286" s="4" t="s">
        <v>72</v>
      </c>
      <c r="F286" s="4" t="s">
        <v>52</v>
      </c>
      <c r="G286" s="4" t="s">
        <v>53</v>
      </c>
      <c r="H286" s="4" t="s">
        <v>680</v>
      </c>
      <c r="I286" s="4" t="s">
        <v>105</v>
      </c>
      <c r="J286" s="5">
        <v>365.88</v>
      </c>
      <c r="K286" s="3">
        <v>10</v>
      </c>
      <c r="L286" s="4" t="str">
        <f>IF(AND(J286&gt;350,K286&gt;6), "True","False")</f>
        <v>True</v>
      </c>
      <c r="M286" s="4" t="s">
        <v>83</v>
      </c>
      <c r="N286" s="3">
        <v>4</v>
      </c>
      <c r="O286" s="4" t="str" cm="1">
        <f t="array" ref="O286">_xlfn.IFS(P286&lt;=2,"Poor",P286=3,"Average",P286&gt;=4,"Good")</f>
        <v>Good</v>
      </c>
      <c r="P286" s="3">
        <v>5</v>
      </c>
      <c r="Q286" s="2">
        <v>1</v>
      </c>
      <c r="R286" s="4" t="s">
        <v>57</v>
      </c>
      <c r="S286" s="4" t="s">
        <v>84</v>
      </c>
      <c r="T286" s="3">
        <v>1</v>
      </c>
      <c r="U286" s="4" t="str" cm="1">
        <f t="array" ref="U286">_xlfn.IFS(V286&lt;=4, "Dissatisfied",V286&lt;=7,"Neutral",V286&gt;=8,"Satisfied")</f>
        <v>Dissatisfied</v>
      </c>
      <c r="V286" s="3">
        <v>1</v>
      </c>
      <c r="W286" s="4" t="s">
        <v>85</v>
      </c>
      <c r="X286" s="4" t="s">
        <v>74</v>
      </c>
      <c r="Y286" s="4" t="s">
        <v>86</v>
      </c>
      <c r="Z286" s="1">
        <v>45398</v>
      </c>
      <c r="AA286" s="4" t="str" cm="1">
        <f t="array" ref="AA286">_xlfn.IFS(OR(AB286="December", AB286="February", AB286="January"), "Winter", OR(AB286="March", AB286="April", AB286="May"), "Spring", OR(AB286="June", AB286="July", AB286="August"), "Summer", TRUE, "Autumn")</f>
        <v>Spring</v>
      </c>
      <c r="AB286" s="7" t="str">
        <f>TEXT(Z286, "mmmm")</f>
        <v>April</v>
      </c>
      <c r="AC286" s="1" t="str">
        <f>TEXT(Z286, "dddd")</f>
        <v>Tuesday</v>
      </c>
      <c r="AD286" s="4" t="s">
        <v>76</v>
      </c>
      <c r="AE286" s="4" t="s">
        <v>76</v>
      </c>
      <c r="AF286" s="4" t="s">
        <v>102</v>
      </c>
      <c r="AG286" s="4" t="s">
        <v>93</v>
      </c>
      <c r="AH286" s="3">
        <v>9</v>
      </c>
    </row>
    <row r="287" spans="1:34">
      <c r="A287" s="4" t="s">
        <v>681</v>
      </c>
      <c r="B287" s="3">
        <v>42</v>
      </c>
      <c r="C287" s="9" t="str" cm="1">
        <f t="array" ref="C287">_xlfn.IFS(B287&gt;65,"+65",B287&gt;54,"55-65",B287&gt;44,"45-54",B287&gt;35,"36-44",B287&gt;25,"26-35",B287&gt;=18,"18-25")</f>
        <v>36-44</v>
      </c>
      <c r="D287" s="4" t="s">
        <v>66</v>
      </c>
      <c r="E287" s="4" t="s">
        <v>72</v>
      </c>
      <c r="F287" s="4" t="s">
        <v>52</v>
      </c>
      <c r="G287" s="4" t="s">
        <v>53</v>
      </c>
      <c r="H287" s="4" t="s">
        <v>682</v>
      </c>
      <c r="I287" s="4" t="s">
        <v>82</v>
      </c>
      <c r="J287" s="5">
        <v>333.18</v>
      </c>
      <c r="K287" s="3">
        <v>6</v>
      </c>
      <c r="L287" s="4" t="str">
        <f>IF(AND(J287&gt;350,K287&gt;6), "True","False")</f>
        <v>False</v>
      </c>
      <c r="M287" s="4" t="s">
        <v>71</v>
      </c>
      <c r="N287" s="3">
        <v>1</v>
      </c>
      <c r="O287" s="4" t="str" cm="1">
        <f t="array" ref="O287">_xlfn.IFS(P287&lt;=2,"Poor",P287=3,"Average",P287&gt;=4,"Good")</f>
        <v>Poor</v>
      </c>
      <c r="P287" s="3">
        <v>1</v>
      </c>
      <c r="Q287" s="2">
        <v>0</v>
      </c>
      <c r="R287" s="4" t="s">
        <v>85</v>
      </c>
      <c r="S287" s="4" t="s">
        <v>73</v>
      </c>
      <c r="T287" s="3">
        <v>2</v>
      </c>
      <c r="U287" s="4" t="str" cm="1">
        <f t="array" ref="U287">_xlfn.IFS(V287&lt;=4, "Dissatisfied",V287&lt;=7,"Neutral",V287&gt;=8,"Satisfied")</f>
        <v>Neutral</v>
      </c>
      <c r="V287" s="3">
        <v>5</v>
      </c>
      <c r="W287" s="4" t="s">
        <v>59</v>
      </c>
      <c r="X287" s="4" t="s">
        <v>60</v>
      </c>
      <c r="Y287" s="4" t="s">
        <v>111</v>
      </c>
      <c r="Z287" s="1">
        <v>45398</v>
      </c>
      <c r="AA287" s="4" t="str" cm="1">
        <f t="array" ref="AA287">_xlfn.IFS(OR(AB287="December", AB287="February", AB287="January"), "Winter", OR(AB287="March", AB287="April", AB287="May"), "Spring", OR(AB287="June", AB287="July", AB287="August"), "Summer", TRUE, "Autumn")</f>
        <v>Spring</v>
      </c>
      <c r="AB287" s="7" t="str">
        <f>TEXT(Z287, "mmmm")</f>
        <v>April</v>
      </c>
      <c r="AC287" s="1" t="str">
        <f>TEXT(Z287, "dddd")</f>
        <v>Tuesday</v>
      </c>
      <c r="AD287" s="4" t="s">
        <v>62</v>
      </c>
      <c r="AE287" s="4" t="s">
        <v>76</v>
      </c>
      <c r="AF287" s="4" t="s">
        <v>87</v>
      </c>
      <c r="AG287" s="4" t="s">
        <v>93</v>
      </c>
      <c r="AH287" s="3">
        <v>8</v>
      </c>
    </row>
    <row r="288" spans="1:34">
      <c r="A288" s="4" t="s">
        <v>683</v>
      </c>
      <c r="B288" s="3">
        <v>50</v>
      </c>
      <c r="C288" s="9" t="str" cm="1">
        <f t="array" ref="C288">_xlfn.IFS(B288&gt;65,"+65",B288&gt;54,"55-65",B288&gt;44,"45-54",B288&gt;35,"36-44",B288&gt;25,"26-35",B288&gt;=18,"18-25")</f>
        <v>45-54</v>
      </c>
      <c r="D288" s="4" t="s">
        <v>160</v>
      </c>
      <c r="E288" s="4" t="s">
        <v>72</v>
      </c>
      <c r="F288" s="4" t="s">
        <v>95</v>
      </c>
      <c r="G288" s="4" t="s">
        <v>68</v>
      </c>
      <c r="H288" s="4" t="s">
        <v>684</v>
      </c>
      <c r="I288" s="4" t="s">
        <v>169</v>
      </c>
      <c r="J288" s="5">
        <v>165.01</v>
      </c>
      <c r="K288" s="3">
        <v>10</v>
      </c>
      <c r="L288" s="4" t="str">
        <f>IF(AND(J288&gt;350,K288&gt;6), "True","False")</f>
        <v>False</v>
      </c>
      <c r="M288" s="4" t="s">
        <v>83</v>
      </c>
      <c r="N288" s="3">
        <v>1</v>
      </c>
      <c r="O288" s="4" t="str" cm="1">
        <f t="array" ref="O288">_xlfn.IFS(P288&lt;=2,"Poor",P288=3,"Average",P288&gt;=4,"Good")</f>
        <v>Poor</v>
      </c>
      <c r="P288" s="3">
        <v>2</v>
      </c>
      <c r="Q288" s="2">
        <v>1</v>
      </c>
      <c r="R288" s="4" t="s">
        <v>85</v>
      </c>
      <c r="S288" s="4" t="s">
        <v>84</v>
      </c>
      <c r="T288" s="3">
        <v>1</v>
      </c>
      <c r="U288" s="4" t="str" cm="1">
        <f t="array" ref="U288">_xlfn.IFS(V288&lt;=4, "Dissatisfied",V288&lt;=7,"Neutral",V288&gt;=8,"Satisfied")</f>
        <v>Neutral</v>
      </c>
      <c r="V288" s="3">
        <v>5</v>
      </c>
      <c r="W288" s="4" t="s">
        <v>85</v>
      </c>
      <c r="X288" s="4" t="s">
        <v>101</v>
      </c>
      <c r="Y288" s="4" t="s">
        <v>86</v>
      </c>
      <c r="Z288" s="1">
        <v>45399</v>
      </c>
      <c r="AA288" s="4" t="str" cm="1">
        <f t="array" ref="AA288">_xlfn.IFS(OR(AB288="December", AB288="February", AB288="January"), "Winter", OR(AB288="March", AB288="April", AB288="May"), "Spring", OR(AB288="June", AB288="July", AB288="August"), "Summer", TRUE, "Autumn")</f>
        <v>Spring</v>
      </c>
      <c r="AB288" s="7" t="str">
        <f>TEXT(Z288, "mmmm")</f>
        <v>April</v>
      </c>
      <c r="AC288" s="1" t="str">
        <f>TEXT(Z288, "dddd")</f>
        <v>Wednesday</v>
      </c>
      <c r="AD288" s="4" t="s">
        <v>62</v>
      </c>
      <c r="AE288" s="4" t="s">
        <v>76</v>
      </c>
      <c r="AF288" s="4" t="s">
        <v>92</v>
      </c>
      <c r="AG288" s="4" t="s">
        <v>88</v>
      </c>
      <c r="AH288" s="3">
        <v>10</v>
      </c>
    </row>
    <row r="289" spans="1:34">
      <c r="A289" s="4" t="s">
        <v>685</v>
      </c>
      <c r="B289" s="3">
        <v>40</v>
      </c>
      <c r="C289" s="9" t="str" cm="1">
        <f t="array" ref="C289">_xlfn.IFS(B289&gt;65,"+65",B289&gt;54,"55-65",B289&gt;44,"45-54",B289&gt;35,"36-44",B289&gt;25,"26-35",B289&gt;=18,"18-25")</f>
        <v>36-44</v>
      </c>
      <c r="D289" s="4" t="s">
        <v>78</v>
      </c>
      <c r="E289" s="4" t="s">
        <v>51</v>
      </c>
      <c r="F289" s="4" t="s">
        <v>67</v>
      </c>
      <c r="G289" s="4" t="s">
        <v>80</v>
      </c>
      <c r="H289" s="4" t="s">
        <v>686</v>
      </c>
      <c r="I289" s="4" t="s">
        <v>110</v>
      </c>
      <c r="J289" s="5">
        <v>474.56</v>
      </c>
      <c r="K289" s="3">
        <v>8</v>
      </c>
      <c r="L289" s="4" t="str">
        <f>IF(AND(J289&gt;350,K289&gt;6), "True","False")</f>
        <v>True</v>
      </c>
      <c r="M289" s="4" t="s">
        <v>71</v>
      </c>
      <c r="N289" s="3">
        <v>1</v>
      </c>
      <c r="O289" s="4" t="str" cm="1">
        <f t="array" ref="O289">_xlfn.IFS(P289&lt;=2,"Poor",P289=3,"Average",P289&gt;=4,"Good")</f>
        <v>Good</v>
      </c>
      <c r="P289" s="3">
        <v>5</v>
      </c>
      <c r="Q289" s="2">
        <v>2</v>
      </c>
      <c r="R289" s="4" t="s">
        <v>59</v>
      </c>
      <c r="S289" s="4" t="s">
        <v>58</v>
      </c>
      <c r="T289" s="3">
        <v>1</v>
      </c>
      <c r="U289" s="4" t="str" cm="1">
        <f t="array" ref="U289">_xlfn.IFS(V289&lt;=4, "Dissatisfied",V289&lt;=7,"Neutral",V289&gt;=8,"Satisfied")</f>
        <v>Neutral</v>
      </c>
      <c r="V289" s="3">
        <v>6</v>
      </c>
      <c r="W289" s="4" t="s">
        <v>72</v>
      </c>
      <c r="X289" s="4" t="s">
        <v>60</v>
      </c>
      <c r="Y289" s="4" t="s">
        <v>86</v>
      </c>
      <c r="Z289" s="1">
        <v>45399</v>
      </c>
      <c r="AA289" s="4" t="str" cm="1">
        <f t="array" ref="AA289">_xlfn.IFS(OR(AB289="December", AB289="February", AB289="January"), "Winter", OR(AB289="March", AB289="April", AB289="May"), "Spring", OR(AB289="June", AB289="July", AB289="August"), "Summer", TRUE, "Autumn")</f>
        <v>Spring</v>
      </c>
      <c r="AB289" s="7" t="str">
        <f>TEXT(Z289, "mmmm")</f>
        <v>April</v>
      </c>
      <c r="AC289" s="1" t="str">
        <f>TEXT(Z289, "dddd")</f>
        <v>Wednesday</v>
      </c>
      <c r="AD289" s="4" t="s">
        <v>62</v>
      </c>
      <c r="AE289" s="4" t="s">
        <v>76</v>
      </c>
      <c r="AF289" s="4" t="s">
        <v>87</v>
      </c>
      <c r="AG289" s="4" t="s">
        <v>64</v>
      </c>
      <c r="AH289" s="3">
        <v>12</v>
      </c>
    </row>
    <row r="290" spans="1:34">
      <c r="A290" s="4" t="s">
        <v>687</v>
      </c>
      <c r="B290" s="3">
        <v>40</v>
      </c>
      <c r="C290" s="9" t="str" cm="1">
        <f t="array" ref="C290">_xlfn.IFS(B290&gt;65,"+65",B290&gt;54,"55-65",B290&gt;44,"45-54",B290&gt;35,"36-44",B290&gt;25,"26-35",B290&gt;=18,"18-25")</f>
        <v>36-44</v>
      </c>
      <c r="D290" s="4" t="s">
        <v>50</v>
      </c>
      <c r="E290" s="4" t="s">
        <v>72</v>
      </c>
      <c r="F290" s="4" t="s">
        <v>67</v>
      </c>
      <c r="G290" s="4" t="s">
        <v>68</v>
      </c>
      <c r="H290" s="4" t="s">
        <v>331</v>
      </c>
      <c r="I290" s="4" t="s">
        <v>118</v>
      </c>
      <c r="J290" s="5">
        <v>490.34</v>
      </c>
      <c r="K290" s="3">
        <v>4</v>
      </c>
      <c r="L290" s="4" t="str">
        <f>IF(AND(J290&gt;350,K290&gt;6), "True","False")</f>
        <v>False</v>
      </c>
      <c r="M290" s="4" t="s">
        <v>71</v>
      </c>
      <c r="N290" s="3">
        <v>5</v>
      </c>
      <c r="O290" s="4" t="str" cm="1">
        <f t="array" ref="O290">_xlfn.IFS(P290&lt;=2,"Poor",P290=3,"Average",P290&gt;=4,"Good")</f>
        <v>Poor</v>
      </c>
      <c r="P290" s="3">
        <v>2</v>
      </c>
      <c r="Q290" s="2">
        <v>2</v>
      </c>
      <c r="R290" s="4" t="s">
        <v>57</v>
      </c>
      <c r="S290" s="4" t="s">
        <v>58</v>
      </c>
      <c r="T290" s="3">
        <v>2</v>
      </c>
      <c r="U290" s="4" t="str" cm="1">
        <f t="array" ref="U290">_xlfn.IFS(V290&lt;=4, "Dissatisfied",V290&lt;=7,"Neutral",V290&gt;=8,"Satisfied")</f>
        <v>Neutral</v>
      </c>
      <c r="V290" s="3">
        <v>7</v>
      </c>
      <c r="W290" s="4" t="s">
        <v>72</v>
      </c>
      <c r="X290" s="4" t="s">
        <v>74</v>
      </c>
      <c r="Y290" s="4" t="s">
        <v>111</v>
      </c>
      <c r="Z290" s="1">
        <v>45399</v>
      </c>
      <c r="AA290" s="4" t="str" cm="1">
        <f t="array" ref="AA290">_xlfn.IFS(OR(AB290="December", AB290="February", AB290="January"), "Winter", OR(AB290="March", AB290="April", AB290="May"), "Spring", OR(AB290="June", AB290="July", AB290="August"), "Summer", TRUE, "Autumn")</f>
        <v>Spring</v>
      </c>
      <c r="AB290" s="7" t="str">
        <f>TEXT(Z290, "mmmm")</f>
        <v>April</v>
      </c>
      <c r="AC290" s="1" t="str">
        <f>TEXT(Z290, "dddd")</f>
        <v>Wednesday</v>
      </c>
      <c r="AD290" s="4" t="s">
        <v>76</v>
      </c>
      <c r="AE290" s="4" t="s">
        <v>62</v>
      </c>
      <c r="AF290" s="4" t="s">
        <v>63</v>
      </c>
      <c r="AG290" s="4" t="s">
        <v>88</v>
      </c>
      <c r="AH290" s="3">
        <v>2</v>
      </c>
    </row>
    <row r="291" spans="1:34">
      <c r="A291" s="4" t="s">
        <v>688</v>
      </c>
      <c r="B291" s="3">
        <v>26</v>
      </c>
      <c r="C291" s="9" t="str" cm="1">
        <f t="array" ref="C291">_xlfn.IFS(B291&gt;65,"+65",B291&gt;54,"55-65",B291&gt;44,"45-54",B291&gt;35,"36-44",B291&gt;25,"26-35",B291&gt;=18,"18-25")</f>
        <v>26-35</v>
      </c>
      <c r="D291" s="4" t="s">
        <v>66</v>
      </c>
      <c r="E291" s="4" t="s">
        <v>51</v>
      </c>
      <c r="F291" s="4" t="s">
        <v>67</v>
      </c>
      <c r="G291" s="4" t="s">
        <v>68</v>
      </c>
      <c r="H291" s="4" t="s">
        <v>689</v>
      </c>
      <c r="I291" s="4" t="s">
        <v>118</v>
      </c>
      <c r="J291" s="5">
        <v>128.01</v>
      </c>
      <c r="K291" s="3">
        <v>2</v>
      </c>
      <c r="L291" s="4" t="str">
        <f>IF(AND(J291&gt;350,K291&gt;6), "True","False")</f>
        <v>False</v>
      </c>
      <c r="M291" s="4" t="s">
        <v>83</v>
      </c>
      <c r="N291" s="3">
        <v>4</v>
      </c>
      <c r="O291" s="4" t="str" cm="1">
        <f t="array" ref="O291">_xlfn.IFS(P291&lt;=2,"Poor",P291=3,"Average",P291&gt;=4,"Good")</f>
        <v>Poor</v>
      </c>
      <c r="P291" s="3">
        <v>2</v>
      </c>
      <c r="Q291" s="2">
        <v>1</v>
      </c>
      <c r="R291" s="4" t="s">
        <v>85</v>
      </c>
      <c r="S291" s="4" t="s">
        <v>84</v>
      </c>
      <c r="T291" s="3">
        <v>0</v>
      </c>
      <c r="U291" s="4" t="str" cm="1">
        <f t="array" ref="U291">_xlfn.IFS(V291&lt;=4, "Dissatisfied",V291&lt;=7,"Neutral",V291&gt;=8,"Satisfied")</f>
        <v>Dissatisfied</v>
      </c>
      <c r="V291" s="3">
        <v>1</v>
      </c>
      <c r="W291" s="4" t="s">
        <v>72</v>
      </c>
      <c r="X291" s="4" t="s">
        <v>60</v>
      </c>
      <c r="Y291" s="4" t="s">
        <v>75</v>
      </c>
      <c r="Z291" s="1">
        <v>45399</v>
      </c>
      <c r="AA291" s="4" t="str" cm="1">
        <f t="array" ref="AA291">_xlfn.IFS(OR(AB291="December", AB291="February", AB291="January"), "Winter", OR(AB291="March", AB291="April", AB291="May"), "Spring", OR(AB291="June", AB291="July", AB291="August"), "Summer", TRUE, "Autumn")</f>
        <v>Spring</v>
      </c>
      <c r="AB291" s="7" t="str">
        <f>TEXT(Z291, "mmmm")</f>
        <v>April</v>
      </c>
      <c r="AC291" s="1" t="str">
        <f>TEXT(Z291, "dddd")</f>
        <v>Wednesday</v>
      </c>
      <c r="AD291" s="4" t="s">
        <v>62</v>
      </c>
      <c r="AE291" s="4" t="s">
        <v>76</v>
      </c>
      <c r="AF291" s="4" t="s">
        <v>63</v>
      </c>
      <c r="AG291" s="4" t="s">
        <v>88</v>
      </c>
      <c r="AH291" s="3">
        <v>10</v>
      </c>
    </row>
    <row r="292" spans="1:34">
      <c r="A292" s="4" t="s">
        <v>690</v>
      </c>
      <c r="B292" s="3">
        <v>47</v>
      </c>
      <c r="C292" s="9" t="str" cm="1">
        <f t="array" ref="C292">_xlfn.IFS(B292&gt;65,"+65",B292&gt;54,"55-65",B292&gt;44,"45-54",B292&gt;35,"36-44",B292&gt;25,"26-35",B292&gt;=18,"18-25")</f>
        <v>45-54</v>
      </c>
      <c r="D292" s="4" t="s">
        <v>66</v>
      </c>
      <c r="E292" s="4" t="s">
        <v>72</v>
      </c>
      <c r="F292" s="4" t="s">
        <v>79</v>
      </c>
      <c r="G292" s="4" t="s">
        <v>68</v>
      </c>
      <c r="H292" s="4" t="s">
        <v>691</v>
      </c>
      <c r="I292" s="4" t="s">
        <v>110</v>
      </c>
      <c r="J292" s="5">
        <v>68.59</v>
      </c>
      <c r="K292" s="3">
        <v>9</v>
      </c>
      <c r="L292" s="4" t="str">
        <f>IF(AND(J292&gt;350,K292&gt;6), "True","False")</f>
        <v>False</v>
      </c>
      <c r="M292" s="4" t="s">
        <v>83</v>
      </c>
      <c r="N292" s="3">
        <v>3</v>
      </c>
      <c r="O292" s="4" t="str" cm="1">
        <f t="array" ref="O292">_xlfn.IFS(P292&lt;=2,"Poor",P292=3,"Average",P292&gt;=4,"Good")</f>
        <v>Good</v>
      </c>
      <c r="P292" s="3">
        <v>4</v>
      </c>
      <c r="Q292" s="2">
        <v>0</v>
      </c>
      <c r="R292" s="4" t="s">
        <v>85</v>
      </c>
      <c r="S292" s="4" t="s">
        <v>84</v>
      </c>
      <c r="T292" s="3">
        <v>2</v>
      </c>
      <c r="U292" s="4" t="str" cm="1">
        <f t="array" ref="U292">_xlfn.IFS(V292&lt;=4, "Dissatisfied",V292&lt;=7,"Neutral",V292&gt;=8,"Satisfied")</f>
        <v>Neutral</v>
      </c>
      <c r="V292" s="3">
        <v>5</v>
      </c>
      <c r="W292" s="4" t="s">
        <v>57</v>
      </c>
      <c r="X292" s="4" t="s">
        <v>60</v>
      </c>
      <c r="Y292" s="4" t="s">
        <v>86</v>
      </c>
      <c r="Z292" s="1">
        <v>45400</v>
      </c>
      <c r="AA292" s="4" t="str" cm="1">
        <f t="array" ref="AA292">_xlfn.IFS(OR(AB292="December", AB292="February", AB292="January"), "Winter", OR(AB292="March", AB292="April", AB292="May"), "Spring", OR(AB292="June", AB292="July", AB292="August"), "Summer", TRUE, "Autumn")</f>
        <v>Spring</v>
      </c>
      <c r="AB292" s="7" t="str">
        <f>TEXT(Z292, "mmmm")</f>
        <v>April</v>
      </c>
      <c r="AC292" s="1" t="str">
        <f>TEXT(Z292, "dddd")</f>
        <v>Thursday</v>
      </c>
      <c r="AD292" s="4" t="s">
        <v>76</v>
      </c>
      <c r="AE292" s="4" t="s">
        <v>62</v>
      </c>
      <c r="AF292" s="4" t="s">
        <v>102</v>
      </c>
      <c r="AG292" s="4" t="s">
        <v>64</v>
      </c>
      <c r="AH292" s="3">
        <v>5</v>
      </c>
    </row>
    <row r="293" spans="1:34">
      <c r="A293" s="4" t="s">
        <v>692</v>
      </c>
      <c r="B293" s="3">
        <v>44</v>
      </c>
      <c r="C293" s="9" t="str" cm="1">
        <f t="array" ref="C293">_xlfn.IFS(B293&gt;65,"+65",B293&gt;54,"55-65",B293&gt;44,"45-54",B293&gt;35,"36-44",B293&gt;25,"26-35",B293&gt;=18,"18-25")</f>
        <v>36-44</v>
      </c>
      <c r="D293" s="4" t="s">
        <v>66</v>
      </c>
      <c r="E293" s="4" t="s">
        <v>72</v>
      </c>
      <c r="F293" s="4" t="s">
        <v>95</v>
      </c>
      <c r="G293" s="4" t="s">
        <v>80</v>
      </c>
      <c r="H293" s="4" t="s">
        <v>693</v>
      </c>
      <c r="I293" s="4" t="s">
        <v>82</v>
      </c>
      <c r="J293" s="5">
        <v>324.22000000000003</v>
      </c>
      <c r="K293" s="3">
        <v>2</v>
      </c>
      <c r="L293" s="4" t="str">
        <f>IF(AND(J293&gt;350,K293&gt;6), "True","False")</f>
        <v>False</v>
      </c>
      <c r="M293" s="4" t="s">
        <v>71</v>
      </c>
      <c r="N293" s="3">
        <v>4</v>
      </c>
      <c r="O293" s="4" t="str" cm="1">
        <f t="array" ref="O293">_xlfn.IFS(P293&lt;=2,"Poor",P293=3,"Average",P293&gt;=4,"Good")</f>
        <v>Poor</v>
      </c>
      <c r="P293" s="3">
        <v>2</v>
      </c>
      <c r="Q293" s="2">
        <v>0</v>
      </c>
      <c r="R293" s="4" t="s">
        <v>57</v>
      </c>
      <c r="S293" s="4" t="s">
        <v>84</v>
      </c>
      <c r="T293" s="3">
        <v>1</v>
      </c>
      <c r="U293" s="4" t="str" cm="1">
        <f t="array" ref="U293">_xlfn.IFS(V293&lt;=4, "Dissatisfied",V293&lt;=7,"Neutral",V293&gt;=8,"Satisfied")</f>
        <v>Neutral</v>
      </c>
      <c r="V293" s="3">
        <v>6</v>
      </c>
      <c r="W293" s="4" t="s">
        <v>85</v>
      </c>
      <c r="X293" s="4" t="s">
        <v>101</v>
      </c>
      <c r="Y293" s="4" t="s">
        <v>86</v>
      </c>
      <c r="Z293" s="1">
        <v>45400</v>
      </c>
      <c r="AA293" s="4" t="str" cm="1">
        <f t="array" ref="AA293">_xlfn.IFS(OR(AB293="December", AB293="February", AB293="January"), "Winter", OR(AB293="March", AB293="April", AB293="May"), "Spring", OR(AB293="June", AB293="July", AB293="August"), "Summer", TRUE, "Autumn")</f>
        <v>Spring</v>
      </c>
      <c r="AB293" s="7" t="str">
        <f>TEXT(Z293, "mmmm")</f>
        <v>April</v>
      </c>
      <c r="AC293" s="1" t="str">
        <f>TEXT(Z293, "dddd")</f>
        <v>Thursday</v>
      </c>
      <c r="AD293" s="4" t="s">
        <v>76</v>
      </c>
      <c r="AE293" s="4" t="s">
        <v>76</v>
      </c>
      <c r="AF293" s="4" t="s">
        <v>102</v>
      </c>
      <c r="AG293" s="4" t="s">
        <v>93</v>
      </c>
      <c r="AH293" s="3">
        <v>14</v>
      </c>
    </row>
    <row r="294" spans="1:34">
      <c r="A294" s="4" t="s">
        <v>694</v>
      </c>
      <c r="B294" s="3">
        <v>43</v>
      </c>
      <c r="C294" s="9" t="str" cm="1">
        <f t="array" ref="C294">_xlfn.IFS(B294&gt;65,"+65",B294&gt;54,"55-65",B294&gt;44,"45-54",B294&gt;35,"36-44",B294&gt;25,"26-35",B294&gt;=18,"18-25")</f>
        <v>36-44</v>
      </c>
      <c r="D294" s="4" t="s">
        <v>66</v>
      </c>
      <c r="E294" s="4" t="s">
        <v>51</v>
      </c>
      <c r="F294" s="4" t="s">
        <v>79</v>
      </c>
      <c r="G294" s="4" t="s">
        <v>68</v>
      </c>
      <c r="H294" s="4" t="s">
        <v>695</v>
      </c>
      <c r="I294" s="4" t="s">
        <v>223</v>
      </c>
      <c r="J294" s="5">
        <v>183.66</v>
      </c>
      <c r="K294" s="3">
        <v>11</v>
      </c>
      <c r="L294" s="4" t="str">
        <f>IF(AND(J294&gt;350,K294&gt;6), "True","False")</f>
        <v>False</v>
      </c>
      <c r="M294" s="4" t="s">
        <v>56</v>
      </c>
      <c r="N294" s="3">
        <v>3</v>
      </c>
      <c r="O294" s="4" t="str" cm="1">
        <f t="array" ref="O294">_xlfn.IFS(P294&lt;=2,"Poor",P294=3,"Average",P294&gt;=4,"Good")</f>
        <v>Poor</v>
      </c>
      <c r="P294" s="3">
        <v>1</v>
      </c>
      <c r="Q294" s="2">
        <v>1</v>
      </c>
      <c r="R294" s="4" t="s">
        <v>59</v>
      </c>
      <c r="S294" s="4" t="s">
        <v>73</v>
      </c>
      <c r="T294" s="3">
        <v>0</v>
      </c>
      <c r="U294" s="4" t="str" cm="1">
        <f t="array" ref="U294">_xlfn.IFS(V294&lt;=4, "Dissatisfied",V294&lt;=7,"Neutral",V294&gt;=8,"Satisfied")</f>
        <v>Satisfied</v>
      </c>
      <c r="V294" s="3">
        <v>10</v>
      </c>
      <c r="W294" s="4" t="s">
        <v>85</v>
      </c>
      <c r="X294" s="4" t="s">
        <v>74</v>
      </c>
      <c r="Y294" s="4" t="s">
        <v>119</v>
      </c>
      <c r="Z294" s="1">
        <v>45400</v>
      </c>
      <c r="AA294" s="4" t="str" cm="1">
        <f t="array" ref="AA294">_xlfn.IFS(OR(AB294="December", AB294="February", AB294="January"), "Winter", OR(AB294="March", AB294="April", AB294="May"), "Spring", OR(AB294="June", AB294="July", AB294="August"), "Summer", TRUE, "Autumn")</f>
        <v>Spring</v>
      </c>
      <c r="AB294" s="7" t="str">
        <f>TEXT(Z294, "mmmm")</f>
        <v>April</v>
      </c>
      <c r="AC294" s="1" t="str">
        <f>TEXT(Z294, "dddd")</f>
        <v>Thursday</v>
      </c>
      <c r="AD294" s="4" t="s">
        <v>62</v>
      </c>
      <c r="AE294" s="4" t="s">
        <v>62</v>
      </c>
      <c r="AF294" s="4" t="s">
        <v>87</v>
      </c>
      <c r="AG294" s="4" t="s">
        <v>88</v>
      </c>
      <c r="AH294" s="3">
        <v>6</v>
      </c>
    </row>
    <row r="295" spans="1:34">
      <c r="A295" s="4" t="s">
        <v>696</v>
      </c>
      <c r="B295" s="3">
        <v>37</v>
      </c>
      <c r="C295" s="9" t="str" cm="1">
        <f t="array" ref="C295">_xlfn.IFS(B295&gt;65,"+65",B295&gt;54,"55-65",B295&gt;44,"45-54",B295&gt;35,"36-44",B295&gt;25,"26-35",B295&gt;=18,"18-25")</f>
        <v>36-44</v>
      </c>
      <c r="D295" s="4" t="s">
        <v>66</v>
      </c>
      <c r="E295" s="4" t="s">
        <v>72</v>
      </c>
      <c r="F295" s="4" t="s">
        <v>79</v>
      </c>
      <c r="G295" s="4" t="s">
        <v>68</v>
      </c>
      <c r="H295" s="4" t="s">
        <v>697</v>
      </c>
      <c r="I295" s="4" t="s">
        <v>97</v>
      </c>
      <c r="J295" s="5">
        <v>354.87</v>
      </c>
      <c r="K295" s="3">
        <v>5</v>
      </c>
      <c r="L295" s="4" t="str">
        <f>IF(AND(J295&gt;350,K295&gt;6), "True","False")</f>
        <v>False</v>
      </c>
      <c r="M295" s="4" t="s">
        <v>71</v>
      </c>
      <c r="N295" s="3">
        <v>1</v>
      </c>
      <c r="O295" s="4" t="str" cm="1">
        <f t="array" ref="O295">_xlfn.IFS(P295&lt;=2,"Poor",P295=3,"Average",P295&gt;=4,"Good")</f>
        <v>Poor</v>
      </c>
      <c r="P295" s="3">
        <v>1</v>
      </c>
      <c r="Q295" s="2">
        <v>0</v>
      </c>
      <c r="R295" s="4" t="s">
        <v>57</v>
      </c>
      <c r="S295" s="4" t="s">
        <v>58</v>
      </c>
      <c r="T295" s="3">
        <v>2</v>
      </c>
      <c r="U295" s="4" t="str" cm="1">
        <f t="array" ref="U295">_xlfn.IFS(V295&lt;=4, "Dissatisfied",V295&lt;=7,"Neutral",V295&gt;=8,"Satisfied")</f>
        <v>Dissatisfied</v>
      </c>
      <c r="V295" s="3">
        <v>4</v>
      </c>
      <c r="W295" s="4" t="s">
        <v>57</v>
      </c>
      <c r="X295" s="4" t="s">
        <v>101</v>
      </c>
      <c r="Y295" s="4" t="s">
        <v>61</v>
      </c>
      <c r="Z295" s="1">
        <v>45400</v>
      </c>
      <c r="AA295" s="4" t="str" cm="1">
        <f t="array" ref="AA295">_xlfn.IFS(OR(AB295="December", AB295="February", AB295="January"), "Winter", OR(AB295="March", AB295="April", AB295="May"), "Spring", OR(AB295="June", AB295="July", AB295="August"), "Summer", TRUE, "Autumn")</f>
        <v>Spring</v>
      </c>
      <c r="AB295" s="7" t="str">
        <f>TEXT(Z295, "mmmm")</f>
        <v>April</v>
      </c>
      <c r="AC295" s="1" t="str">
        <f>TEXT(Z295, "dddd")</f>
        <v>Thursday</v>
      </c>
      <c r="AD295" s="4" t="s">
        <v>76</v>
      </c>
      <c r="AE295" s="4" t="s">
        <v>62</v>
      </c>
      <c r="AF295" s="4" t="s">
        <v>87</v>
      </c>
      <c r="AG295" s="4" t="s">
        <v>93</v>
      </c>
      <c r="AH295" s="3">
        <v>12</v>
      </c>
    </row>
    <row r="296" spans="1:34">
      <c r="A296" s="4" t="s">
        <v>698</v>
      </c>
      <c r="B296" s="3">
        <v>32</v>
      </c>
      <c r="C296" s="9" t="str" cm="1">
        <f t="array" ref="C296">_xlfn.IFS(B296&gt;65,"+65",B296&gt;54,"55-65",B296&gt;44,"45-54",B296&gt;35,"36-44",B296&gt;25,"26-35",B296&gt;=18,"18-25")</f>
        <v>26-35</v>
      </c>
      <c r="D296" s="4" t="s">
        <v>66</v>
      </c>
      <c r="E296" s="4" t="s">
        <v>51</v>
      </c>
      <c r="F296" s="4" t="s">
        <v>67</v>
      </c>
      <c r="G296" s="4" t="s">
        <v>53</v>
      </c>
      <c r="H296" s="4" t="s">
        <v>699</v>
      </c>
      <c r="I296" s="4" t="s">
        <v>100</v>
      </c>
      <c r="J296" s="5">
        <v>426.21</v>
      </c>
      <c r="K296" s="3">
        <v>3</v>
      </c>
      <c r="L296" s="4" t="str">
        <f>IF(AND(J296&gt;350,K296&gt;6), "True","False")</f>
        <v>False</v>
      </c>
      <c r="M296" s="4" t="s">
        <v>83</v>
      </c>
      <c r="N296" s="3">
        <v>1</v>
      </c>
      <c r="O296" s="4" t="str" cm="1">
        <f t="array" ref="O296">_xlfn.IFS(P296&lt;=2,"Poor",P296=3,"Average",P296&gt;=4,"Good")</f>
        <v>Good</v>
      </c>
      <c r="P296" s="3">
        <v>4</v>
      </c>
      <c r="Q296" s="2">
        <v>2</v>
      </c>
      <c r="R296" s="4" t="s">
        <v>72</v>
      </c>
      <c r="S296" s="4" t="s">
        <v>84</v>
      </c>
      <c r="T296" s="3">
        <v>2</v>
      </c>
      <c r="U296" s="4" t="str" cm="1">
        <f t="array" ref="U296">_xlfn.IFS(V296&lt;=4, "Dissatisfied",V296&lt;=7,"Neutral",V296&gt;=8,"Satisfied")</f>
        <v>Neutral</v>
      </c>
      <c r="V296" s="3">
        <v>5</v>
      </c>
      <c r="W296" s="4" t="s">
        <v>72</v>
      </c>
      <c r="X296" s="4" t="s">
        <v>60</v>
      </c>
      <c r="Y296" s="4" t="s">
        <v>111</v>
      </c>
      <c r="Z296" s="1">
        <v>45400</v>
      </c>
      <c r="AA296" s="4" t="str" cm="1">
        <f t="array" ref="AA296">_xlfn.IFS(OR(AB296="December", AB296="February", AB296="January"), "Winter", OR(AB296="March", AB296="April", AB296="May"), "Spring", OR(AB296="June", AB296="July", AB296="August"), "Summer", TRUE, "Autumn")</f>
        <v>Spring</v>
      </c>
      <c r="AB296" s="7" t="str">
        <f>TEXT(Z296, "mmmm")</f>
        <v>April</v>
      </c>
      <c r="AC296" s="1" t="str">
        <f>TEXT(Z296, "dddd")</f>
        <v>Thursday</v>
      </c>
      <c r="AD296" s="4" t="s">
        <v>76</v>
      </c>
      <c r="AE296" s="4" t="s">
        <v>62</v>
      </c>
      <c r="AF296" s="4" t="s">
        <v>102</v>
      </c>
      <c r="AG296" s="4" t="s">
        <v>64</v>
      </c>
      <c r="AH296" s="3">
        <v>2</v>
      </c>
    </row>
    <row r="297" spans="1:34">
      <c r="A297" s="4" t="s">
        <v>700</v>
      </c>
      <c r="B297" s="3">
        <v>19</v>
      </c>
      <c r="C297" s="9" t="str" cm="1">
        <f t="array" ref="C297">_xlfn.IFS(B297&gt;65,"+65",B297&gt;54,"55-65",B297&gt;44,"45-54",B297&gt;35,"36-44",B297&gt;25,"26-35",B297&gt;=18,"18-25")</f>
        <v>18-25</v>
      </c>
      <c r="D297" s="4" t="s">
        <v>225</v>
      </c>
      <c r="E297" s="4" t="s">
        <v>72</v>
      </c>
      <c r="F297" s="4" t="s">
        <v>52</v>
      </c>
      <c r="G297" s="4" t="s">
        <v>53</v>
      </c>
      <c r="H297" s="4" t="s">
        <v>701</v>
      </c>
      <c r="I297" s="4" t="s">
        <v>133</v>
      </c>
      <c r="J297" s="5">
        <v>395.01</v>
      </c>
      <c r="K297" s="3">
        <v>2</v>
      </c>
      <c r="L297" s="4" t="str">
        <f>IF(AND(J297&gt;350,K297&gt;6), "True","False")</f>
        <v>False</v>
      </c>
      <c r="M297" s="4" t="s">
        <v>83</v>
      </c>
      <c r="N297" s="3">
        <v>1</v>
      </c>
      <c r="O297" s="4" t="str" cm="1">
        <f t="array" ref="O297">_xlfn.IFS(P297&lt;=2,"Poor",P297=3,"Average",P297&gt;=4,"Good")</f>
        <v>Poor</v>
      </c>
      <c r="P297" s="3">
        <v>2</v>
      </c>
      <c r="Q297" s="2">
        <v>2</v>
      </c>
      <c r="R297" s="4" t="s">
        <v>85</v>
      </c>
      <c r="S297" s="4" t="s">
        <v>73</v>
      </c>
      <c r="T297" s="3">
        <v>0</v>
      </c>
      <c r="U297" s="4" t="str" cm="1">
        <f t="array" ref="U297">_xlfn.IFS(V297&lt;=4, "Dissatisfied",V297&lt;=7,"Neutral",V297&gt;=8,"Satisfied")</f>
        <v>Neutral</v>
      </c>
      <c r="V297" s="3">
        <v>6</v>
      </c>
      <c r="W297" s="4" t="s">
        <v>85</v>
      </c>
      <c r="X297" s="4" t="s">
        <v>101</v>
      </c>
      <c r="Y297" s="4" t="s">
        <v>119</v>
      </c>
      <c r="Z297" s="1">
        <v>45400</v>
      </c>
      <c r="AA297" s="4" t="str" cm="1">
        <f t="array" ref="AA297">_xlfn.IFS(OR(AB297="December", AB297="February", AB297="January"), "Winter", OR(AB297="March", AB297="April", AB297="May"), "Spring", OR(AB297="June", AB297="July", AB297="August"), "Summer", TRUE, "Autumn")</f>
        <v>Spring</v>
      </c>
      <c r="AB297" s="7" t="str">
        <f>TEXT(Z297, "mmmm")</f>
        <v>April</v>
      </c>
      <c r="AC297" s="1" t="str">
        <f>TEXT(Z297, "dddd")</f>
        <v>Thursday</v>
      </c>
      <c r="AD297" s="4" t="s">
        <v>62</v>
      </c>
      <c r="AE297" s="4" t="s">
        <v>76</v>
      </c>
      <c r="AF297" s="4" t="s">
        <v>102</v>
      </c>
      <c r="AG297" s="4" t="s">
        <v>64</v>
      </c>
      <c r="AH297" s="3">
        <v>3</v>
      </c>
    </row>
    <row r="298" spans="1:34">
      <c r="A298" s="4" t="s">
        <v>702</v>
      </c>
      <c r="B298" s="3">
        <v>48</v>
      </c>
      <c r="C298" s="9" t="str" cm="1">
        <f t="array" ref="C298">_xlfn.IFS(B298&gt;65,"+65",B298&gt;54,"55-65",B298&gt;44,"45-54",B298&gt;35,"36-44",B298&gt;25,"26-35",B298&gt;=18,"18-25")</f>
        <v>45-54</v>
      </c>
      <c r="D298" s="4" t="s">
        <v>78</v>
      </c>
      <c r="E298" s="4" t="s">
        <v>51</v>
      </c>
      <c r="F298" s="4" t="s">
        <v>52</v>
      </c>
      <c r="G298" s="4" t="s">
        <v>80</v>
      </c>
      <c r="H298" s="4" t="s">
        <v>703</v>
      </c>
      <c r="I298" s="4" t="s">
        <v>55</v>
      </c>
      <c r="J298" s="5">
        <v>59.15</v>
      </c>
      <c r="K298" s="3">
        <v>3</v>
      </c>
      <c r="L298" s="4" t="str">
        <f>IF(AND(J298&gt;350,K298&gt;6), "True","False")</f>
        <v>False</v>
      </c>
      <c r="M298" s="4" t="s">
        <v>71</v>
      </c>
      <c r="N298" s="3">
        <v>4</v>
      </c>
      <c r="O298" s="4" t="str" cm="1">
        <f t="array" ref="O298">_xlfn.IFS(P298&lt;=2,"Poor",P298=3,"Average",P298&gt;=4,"Good")</f>
        <v>Poor</v>
      </c>
      <c r="P298" s="3">
        <v>2</v>
      </c>
      <c r="Q298" s="2">
        <v>1</v>
      </c>
      <c r="R298" s="4" t="s">
        <v>57</v>
      </c>
      <c r="S298" s="4" t="s">
        <v>58</v>
      </c>
      <c r="T298" s="3">
        <v>0</v>
      </c>
      <c r="U298" s="4" t="str" cm="1">
        <f t="array" ref="U298">_xlfn.IFS(V298&lt;=4, "Dissatisfied",V298&lt;=7,"Neutral",V298&gt;=8,"Satisfied")</f>
        <v>Dissatisfied</v>
      </c>
      <c r="V298" s="3">
        <v>1</v>
      </c>
      <c r="W298" s="4" t="s">
        <v>72</v>
      </c>
      <c r="X298" s="4" t="s">
        <v>101</v>
      </c>
      <c r="Y298" s="4" t="s">
        <v>75</v>
      </c>
      <c r="Z298" s="1">
        <v>45401</v>
      </c>
      <c r="AA298" s="4" t="str" cm="1">
        <f t="array" ref="AA298">_xlfn.IFS(OR(AB298="December", AB298="February", AB298="January"), "Winter", OR(AB298="March", AB298="April", AB298="May"), "Spring", OR(AB298="June", AB298="July", AB298="August"), "Summer", TRUE, "Autumn")</f>
        <v>Spring</v>
      </c>
      <c r="AB298" s="7" t="str">
        <f>TEXT(Z298, "mmmm")</f>
        <v>April</v>
      </c>
      <c r="AC298" s="1" t="str">
        <f>TEXT(Z298, "dddd")</f>
        <v>Friday</v>
      </c>
      <c r="AD298" s="4" t="s">
        <v>76</v>
      </c>
      <c r="AE298" s="4" t="s">
        <v>76</v>
      </c>
      <c r="AF298" s="4" t="s">
        <v>63</v>
      </c>
      <c r="AG298" s="4" t="s">
        <v>64</v>
      </c>
      <c r="AH298" s="3">
        <v>8</v>
      </c>
    </row>
    <row r="299" spans="1:34">
      <c r="A299" s="4" t="s">
        <v>704</v>
      </c>
      <c r="B299" s="3">
        <v>39</v>
      </c>
      <c r="C299" s="9" t="str" cm="1">
        <f t="array" ref="C299">_xlfn.IFS(B299&gt;65,"+65",B299&gt;54,"55-65",B299&gt;44,"45-54",B299&gt;35,"36-44",B299&gt;25,"26-35",B299&gt;=18,"18-25")</f>
        <v>36-44</v>
      </c>
      <c r="D299" s="4" t="s">
        <v>78</v>
      </c>
      <c r="E299" s="4" t="s">
        <v>51</v>
      </c>
      <c r="F299" s="4" t="s">
        <v>95</v>
      </c>
      <c r="G299" s="4" t="s">
        <v>80</v>
      </c>
      <c r="H299" s="4" t="s">
        <v>705</v>
      </c>
      <c r="I299" s="4" t="s">
        <v>122</v>
      </c>
      <c r="J299" s="5">
        <v>149.88</v>
      </c>
      <c r="K299" s="3">
        <v>9</v>
      </c>
      <c r="L299" s="4" t="str">
        <f>IF(AND(J299&gt;350,K299&gt;6), "True","False")</f>
        <v>False</v>
      </c>
      <c r="M299" s="4" t="s">
        <v>83</v>
      </c>
      <c r="N299" s="3">
        <v>3</v>
      </c>
      <c r="O299" s="4" t="str" cm="1">
        <f t="array" ref="O299">_xlfn.IFS(P299&lt;=2,"Poor",P299=3,"Average",P299&gt;=4,"Good")</f>
        <v>Poor</v>
      </c>
      <c r="P299" s="3">
        <v>2</v>
      </c>
      <c r="Q299" s="2">
        <v>0</v>
      </c>
      <c r="R299" s="4" t="s">
        <v>59</v>
      </c>
      <c r="S299" s="4" t="s">
        <v>84</v>
      </c>
      <c r="T299" s="3">
        <v>1</v>
      </c>
      <c r="U299" s="4" t="str" cm="1">
        <f t="array" ref="U299">_xlfn.IFS(V299&lt;=4, "Dissatisfied",V299&lt;=7,"Neutral",V299&gt;=8,"Satisfied")</f>
        <v>Satisfied</v>
      </c>
      <c r="V299" s="3">
        <v>10</v>
      </c>
      <c r="W299" s="4" t="s">
        <v>59</v>
      </c>
      <c r="X299" s="4" t="s">
        <v>60</v>
      </c>
      <c r="Y299" s="4" t="s">
        <v>75</v>
      </c>
      <c r="Z299" s="1">
        <v>45401</v>
      </c>
      <c r="AA299" s="4" t="str" cm="1">
        <f t="array" ref="AA299">_xlfn.IFS(OR(AB299="December", AB299="February", AB299="January"), "Winter", OR(AB299="March", AB299="April", AB299="May"), "Spring", OR(AB299="June", AB299="July", AB299="August"), "Summer", TRUE, "Autumn")</f>
        <v>Spring</v>
      </c>
      <c r="AB299" s="7" t="str">
        <f>TEXT(Z299, "mmmm")</f>
        <v>April</v>
      </c>
      <c r="AC299" s="1" t="str">
        <f>TEXT(Z299, "dddd")</f>
        <v>Friday</v>
      </c>
      <c r="AD299" s="4" t="s">
        <v>76</v>
      </c>
      <c r="AE299" s="4" t="s">
        <v>76</v>
      </c>
      <c r="AF299" s="4" t="s">
        <v>92</v>
      </c>
      <c r="AG299" s="4" t="s">
        <v>64</v>
      </c>
      <c r="AH299" s="3">
        <v>4</v>
      </c>
    </row>
    <row r="300" spans="1:34">
      <c r="A300" s="4" t="s">
        <v>706</v>
      </c>
      <c r="B300" s="3">
        <v>27</v>
      </c>
      <c r="C300" s="9" t="str" cm="1">
        <f t="array" ref="C300">_xlfn.IFS(B300&gt;65,"+65",B300&gt;54,"55-65",B300&gt;44,"45-54",B300&gt;35,"36-44",B300&gt;25,"26-35",B300&gt;=18,"18-25")</f>
        <v>26-35</v>
      </c>
      <c r="D300" s="4" t="s">
        <v>78</v>
      </c>
      <c r="E300" s="4" t="s">
        <v>51</v>
      </c>
      <c r="F300" s="4" t="s">
        <v>52</v>
      </c>
      <c r="G300" s="4" t="s">
        <v>53</v>
      </c>
      <c r="H300" s="4" t="s">
        <v>707</v>
      </c>
      <c r="I300" s="4" t="s">
        <v>97</v>
      </c>
      <c r="J300" s="5">
        <v>425.82</v>
      </c>
      <c r="K300" s="3">
        <v>3</v>
      </c>
      <c r="L300" s="4" t="str">
        <f>IF(AND(J300&gt;350,K300&gt;6), "True","False")</f>
        <v>False</v>
      </c>
      <c r="M300" s="4" t="s">
        <v>71</v>
      </c>
      <c r="N300" s="3">
        <v>4</v>
      </c>
      <c r="O300" s="4" t="str" cm="1">
        <f t="array" ref="O300">_xlfn.IFS(P300&lt;=2,"Poor",P300=3,"Average",P300&gt;=4,"Good")</f>
        <v>Good</v>
      </c>
      <c r="P300" s="3">
        <v>5</v>
      </c>
      <c r="Q300" s="2">
        <v>1</v>
      </c>
      <c r="R300" s="4" t="s">
        <v>59</v>
      </c>
      <c r="S300" s="4" t="s">
        <v>58</v>
      </c>
      <c r="T300" s="3">
        <v>1</v>
      </c>
      <c r="U300" s="4" t="str" cm="1">
        <f t="array" ref="U300">_xlfn.IFS(V300&lt;=4, "Dissatisfied",V300&lt;=7,"Neutral",V300&gt;=8,"Satisfied")</f>
        <v>Neutral</v>
      </c>
      <c r="V300" s="3">
        <v>6</v>
      </c>
      <c r="W300" s="4" t="s">
        <v>72</v>
      </c>
      <c r="X300" s="4" t="s">
        <v>60</v>
      </c>
      <c r="Y300" s="4" t="s">
        <v>61</v>
      </c>
      <c r="Z300" s="1">
        <v>45401</v>
      </c>
      <c r="AA300" s="4" t="str" cm="1">
        <f t="array" ref="AA300">_xlfn.IFS(OR(AB300="December", AB300="February", AB300="January"), "Winter", OR(AB300="March", AB300="April", AB300="May"), "Spring", OR(AB300="June", AB300="July", AB300="August"), "Summer", TRUE, "Autumn")</f>
        <v>Spring</v>
      </c>
      <c r="AB300" s="7" t="str">
        <f>TEXT(Z300, "mmmm")</f>
        <v>April</v>
      </c>
      <c r="AC300" s="1" t="str">
        <f>TEXT(Z300, "dddd")</f>
        <v>Friday</v>
      </c>
      <c r="AD300" s="4" t="s">
        <v>62</v>
      </c>
      <c r="AE300" s="4" t="s">
        <v>62</v>
      </c>
      <c r="AF300" s="4" t="s">
        <v>102</v>
      </c>
      <c r="AG300" s="4" t="s">
        <v>64</v>
      </c>
      <c r="AH300" s="3">
        <v>11</v>
      </c>
    </row>
    <row r="301" spans="1:34">
      <c r="A301" s="4" t="s">
        <v>708</v>
      </c>
      <c r="B301" s="3">
        <v>20</v>
      </c>
      <c r="C301" s="9" t="str" cm="1">
        <f t="array" ref="C301">_xlfn.IFS(B301&gt;65,"+65",B301&gt;54,"55-65",B301&gt;44,"45-54",B301&gt;35,"36-44",B301&gt;25,"26-35",B301&gt;=18,"18-25")</f>
        <v>18-25</v>
      </c>
      <c r="D301" s="4" t="s">
        <v>78</v>
      </c>
      <c r="E301" s="4" t="s">
        <v>72</v>
      </c>
      <c r="F301" s="4" t="s">
        <v>79</v>
      </c>
      <c r="G301" s="4" t="s">
        <v>80</v>
      </c>
      <c r="H301" s="4" t="s">
        <v>709</v>
      </c>
      <c r="I301" s="4" t="s">
        <v>110</v>
      </c>
      <c r="J301" s="5">
        <v>479.62</v>
      </c>
      <c r="K301" s="3">
        <v>8</v>
      </c>
      <c r="L301" s="4" t="str">
        <f>IF(AND(J301&gt;350,K301&gt;6), "True","False")</f>
        <v>True</v>
      </c>
      <c r="M301" s="4" t="s">
        <v>71</v>
      </c>
      <c r="N301" s="3">
        <v>3</v>
      </c>
      <c r="O301" s="4" t="str" cm="1">
        <f t="array" ref="O301">_xlfn.IFS(P301&lt;=2,"Poor",P301=3,"Average",P301&gt;=4,"Good")</f>
        <v>Poor</v>
      </c>
      <c r="P301" s="3">
        <v>1</v>
      </c>
      <c r="Q301" s="2">
        <v>2</v>
      </c>
      <c r="R301" s="4" t="s">
        <v>72</v>
      </c>
      <c r="S301" s="4" t="s">
        <v>58</v>
      </c>
      <c r="T301" s="3">
        <v>1</v>
      </c>
      <c r="U301" s="4" t="str" cm="1">
        <f t="array" ref="U301">_xlfn.IFS(V301&lt;=4, "Dissatisfied",V301&lt;=7,"Neutral",V301&gt;=8,"Satisfied")</f>
        <v>Dissatisfied</v>
      </c>
      <c r="V301" s="3">
        <v>3</v>
      </c>
      <c r="W301" s="4" t="s">
        <v>59</v>
      </c>
      <c r="X301" s="4" t="s">
        <v>74</v>
      </c>
      <c r="Y301" s="4" t="s">
        <v>111</v>
      </c>
      <c r="Z301" s="1">
        <v>45401</v>
      </c>
      <c r="AA301" s="4" t="str" cm="1">
        <f t="array" ref="AA301">_xlfn.IFS(OR(AB301="December", AB301="February", AB301="January"), "Winter", OR(AB301="March", AB301="April", AB301="May"), "Spring", OR(AB301="June", AB301="July", AB301="August"), "Summer", TRUE, "Autumn")</f>
        <v>Spring</v>
      </c>
      <c r="AB301" s="7" t="str">
        <f>TEXT(Z301, "mmmm")</f>
        <v>April</v>
      </c>
      <c r="AC301" s="1" t="str">
        <f>TEXT(Z301, "dddd")</f>
        <v>Friday</v>
      </c>
      <c r="AD301" s="4" t="s">
        <v>76</v>
      </c>
      <c r="AE301" s="4" t="s">
        <v>76</v>
      </c>
      <c r="AF301" s="4" t="s">
        <v>87</v>
      </c>
      <c r="AG301" s="4" t="s">
        <v>93</v>
      </c>
      <c r="AH301" s="3">
        <v>10</v>
      </c>
    </row>
    <row r="302" spans="1:34">
      <c r="A302" s="4" t="s">
        <v>710</v>
      </c>
      <c r="B302" s="3">
        <v>46</v>
      </c>
      <c r="C302" s="9" t="str" cm="1">
        <f t="array" ref="C302">_xlfn.IFS(B302&gt;65,"+65",B302&gt;54,"55-65",B302&gt;44,"45-54",B302&gt;35,"36-44",B302&gt;25,"26-35",B302&gt;=18,"18-25")</f>
        <v>45-54</v>
      </c>
      <c r="D302" s="4" t="s">
        <v>66</v>
      </c>
      <c r="E302" s="4" t="s">
        <v>51</v>
      </c>
      <c r="F302" s="4" t="s">
        <v>67</v>
      </c>
      <c r="G302" s="4" t="s">
        <v>68</v>
      </c>
      <c r="H302" s="4" t="s">
        <v>711</v>
      </c>
      <c r="I302" s="4" t="s">
        <v>164</v>
      </c>
      <c r="J302" s="5">
        <v>268.8</v>
      </c>
      <c r="K302" s="3">
        <v>2</v>
      </c>
      <c r="L302" s="4" t="str">
        <f>IF(AND(J302&gt;350,K302&gt;6), "True","False")</f>
        <v>False</v>
      </c>
      <c r="M302" s="4" t="s">
        <v>71</v>
      </c>
      <c r="N302" s="3">
        <v>1</v>
      </c>
      <c r="O302" s="4" t="str" cm="1">
        <f t="array" ref="O302">_xlfn.IFS(P302&lt;=2,"Poor",P302=3,"Average",P302&gt;=4,"Good")</f>
        <v>Average</v>
      </c>
      <c r="P302" s="3">
        <v>3</v>
      </c>
      <c r="Q302" s="2">
        <v>0</v>
      </c>
      <c r="R302" s="4" t="s">
        <v>72</v>
      </c>
      <c r="S302" s="4" t="s">
        <v>73</v>
      </c>
      <c r="T302" s="3">
        <v>1</v>
      </c>
      <c r="U302" s="4" t="str" cm="1">
        <f t="array" ref="U302">_xlfn.IFS(V302&lt;=4, "Dissatisfied",V302&lt;=7,"Neutral",V302&gt;=8,"Satisfied")</f>
        <v>Neutral</v>
      </c>
      <c r="V302" s="3">
        <v>7</v>
      </c>
      <c r="W302" s="4" t="s">
        <v>57</v>
      </c>
      <c r="X302" s="4" t="s">
        <v>101</v>
      </c>
      <c r="Y302" s="4" t="s">
        <v>75</v>
      </c>
      <c r="Z302" s="1">
        <v>45402</v>
      </c>
      <c r="AA302" s="4" t="str" cm="1">
        <f t="array" ref="AA302">_xlfn.IFS(OR(AB302="December", AB302="February", AB302="January"), "Winter", OR(AB302="March", AB302="April", AB302="May"), "Spring", OR(AB302="June", AB302="July", AB302="August"), "Summer", TRUE, "Autumn")</f>
        <v>Spring</v>
      </c>
      <c r="AB302" s="7" t="str">
        <f>TEXT(Z302, "mmmm")</f>
        <v>April</v>
      </c>
      <c r="AC302" s="1" t="str">
        <f>TEXT(Z302, "dddd")</f>
        <v>Saturday</v>
      </c>
      <c r="AD302" s="4" t="s">
        <v>76</v>
      </c>
      <c r="AE302" s="4" t="s">
        <v>76</v>
      </c>
      <c r="AF302" s="4" t="s">
        <v>63</v>
      </c>
      <c r="AG302" s="4" t="s">
        <v>64</v>
      </c>
      <c r="AH302" s="3">
        <v>12</v>
      </c>
    </row>
    <row r="303" spans="1:34">
      <c r="A303" s="4" t="s">
        <v>712</v>
      </c>
      <c r="B303" s="3">
        <v>43</v>
      </c>
      <c r="C303" s="9" t="str" cm="1">
        <f t="array" ref="C303">_xlfn.IFS(B303&gt;65,"+65",B303&gt;54,"55-65",B303&gt;44,"45-54",B303&gt;35,"36-44",B303&gt;25,"26-35",B303&gt;=18,"18-25")</f>
        <v>36-44</v>
      </c>
      <c r="D303" s="4" t="s">
        <v>66</v>
      </c>
      <c r="E303" s="4" t="s">
        <v>51</v>
      </c>
      <c r="F303" s="4" t="s">
        <v>52</v>
      </c>
      <c r="G303" s="4" t="s">
        <v>68</v>
      </c>
      <c r="H303" s="4" t="s">
        <v>713</v>
      </c>
      <c r="I303" s="4" t="s">
        <v>194</v>
      </c>
      <c r="J303" s="5">
        <v>318.83999999999997</v>
      </c>
      <c r="K303" s="3">
        <v>6</v>
      </c>
      <c r="L303" s="4" t="str">
        <f>IF(AND(J303&gt;350,K303&gt;6), "True","False")</f>
        <v>False</v>
      </c>
      <c r="M303" s="4" t="s">
        <v>56</v>
      </c>
      <c r="N303" s="3">
        <v>1</v>
      </c>
      <c r="O303" s="4" t="str" cm="1">
        <f t="array" ref="O303">_xlfn.IFS(P303&lt;=2,"Poor",P303=3,"Average",P303&gt;=4,"Good")</f>
        <v>Poor</v>
      </c>
      <c r="P303" s="3">
        <v>1</v>
      </c>
      <c r="Q303" s="2">
        <v>2</v>
      </c>
      <c r="R303" s="4" t="s">
        <v>59</v>
      </c>
      <c r="S303" s="4" t="s">
        <v>73</v>
      </c>
      <c r="T303" s="3">
        <v>0</v>
      </c>
      <c r="U303" s="4" t="str" cm="1">
        <f t="array" ref="U303">_xlfn.IFS(V303&lt;=4, "Dissatisfied",V303&lt;=7,"Neutral",V303&gt;=8,"Satisfied")</f>
        <v>Dissatisfied</v>
      </c>
      <c r="V303" s="3">
        <v>4</v>
      </c>
      <c r="W303" s="4" t="s">
        <v>72</v>
      </c>
      <c r="X303" s="4" t="s">
        <v>74</v>
      </c>
      <c r="Y303" s="4" t="s">
        <v>111</v>
      </c>
      <c r="Z303" s="1">
        <v>45402</v>
      </c>
      <c r="AA303" s="4" t="str" cm="1">
        <f t="array" ref="AA303">_xlfn.IFS(OR(AB303="December", AB303="February", AB303="January"), "Winter", OR(AB303="March", AB303="April", AB303="May"), "Spring", OR(AB303="June", AB303="July", AB303="August"), "Summer", TRUE, "Autumn")</f>
        <v>Spring</v>
      </c>
      <c r="AB303" s="7" t="str">
        <f>TEXT(Z303, "mmmm")</f>
        <v>April</v>
      </c>
      <c r="AC303" s="1" t="str">
        <f>TEXT(Z303, "dddd")</f>
        <v>Saturday</v>
      </c>
      <c r="AD303" s="4" t="s">
        <v>76</v>
      </c>
      <c r="AE303" s="4" t="s">
        <v>62</v>
      </c>
      <c r="AF303" s="4" t="s">
        <v>102</v>
      </c>
      <c r="AG303" s="4" t="s">
        <v>64</v>
      </c>
      <c r="AH303" s="3">
        <v>10</v>
      </c>
    </row>
    <row r="304" spans="1:34">
      <c r="A304" s="4" t="s">
        <v>714</v>
      </c>
      <c r="B304" s="3">
        <v>34</v>
      </c>
      <c r="C304" s="9" t="str" cm="1">
        <f t="array" ref="C304">_xlfn.IFS(B304&gt;65,"+65",B304&gt;54,"55-65",B304&gt;44,"45-54",B304&gt;35,"36-44",B304&gt;25,"26-35",B304&gt;=18,"18-25")</f>
        <v>26-35</v>
      </c>
      <c r="D304" s="4" t="s">
        <v>78</v>
      </c>
      <c r="E304" s="4" t="s">
        <v>72</v>
      </c>
      <c r="F304" s="4" t="s">
        <v>52</v>
      </c>
      <c r="G304" s="4" t="s">
        <v>68</v>
      </c>
      <c r="H304" s="4" t="s">
        <v>715</v>
      </c>
      <c r="I304" s="4" t="s">
        <v>164</v>
      </c>
      <c r="J304" s="5">
        <v>151.25</v>
      </c>
      <c r="K304" s="3">
        <v>2</v>
      </c>
      <c r="L304" s="4" t="str">
        <f>IF(AND(J304&gt;350,K304&gt;6), "True","False")</f>
        <v>False</v>
      </c>
      <c r="M304" s="4" t="s">
        <v>71</v>
      </c>
      <c r="N304" s="3">
        <v>2</v>
      </c>
      <c r="O304" s="4" t="str" cm="1">
        <f t="array" ref="O304">_xlfn.IFS(P304&lt;=2,"Poor",P304=3,"Average",P304&gt;=4,"Good")</f>
        <v>Good</v>
      </c>
      <c r="P304" s="3">
        <v>5</v>
      </c>
      <c r="Q304" s="2">
        <v>0</v>
      </c>
      <c r="R304" s="4" t="s">
        <v>85</v>
      </c>
      <c r="S304" s="4" t="s">
        <v>84</v>
      </c>
      <c r="T304" s="3">
        <v>1</v>
      </c>
      <c r="U304" s="4" t="str" cm="1">
        <f t="array" ref="U304">_xlfn.IFS(V304&lt;=4, "Dissatisfied",V304&lt;=7,"Neutral",V304&gt;=8,"Satisfied")</f>
        <v>Satisfied</v>
      </c>
      <c r="V304" s="3">
        <v>8</v>
      </c>
      <c r="W304" s="4" t="s">
        <v>85</v>
      </c>
      <c r="X304" s="4" t="s">
        <v>74</v>
      </c>
      <c r="Y304" s="4" t="s">
        <v>75</v>
      </c>
      <c r="Z304" s="1">
        <v>45402</v>
      </c>
      <c r="AA304" s="4" t="str" cm="1">
        <f t="array" ref="AA304">_xlfn.IFS(OR(AB304="December", AB304="February", AB304="January"), "Winter", OR(AB304="March", AB304="April", AB304="May"), "Spring", OR(AB304="June", AB304="July", AB304="August"), "Summer", TRUE, "Autumn")</f>
        <v>Spring</v>
      </c>
      <c r="AB304" s="7" t="str">
        <f>TEXT(Z304, "mmmm")</f>
        <v>April</v>
      </c>
      <c r="AC304" s="1" t="str">
        <f>TEXT(Z304, "dddd")</f>
        <v>Saturday</v>
      </c>
      <c r="AD304" s="4" t="s">
        <v>62</v>
      </c>
      <c r="AE304" s="4" t="s">
        <v>76</v>
      </c>
      <c r="AF304" s="4" t="s">
        <v>87</v>
      </c>
      <c r="AG304" s="4" t="s">
        <v>88</v>
      </c>
      <c r="AH304" s="3">
        <v>10</v>
      </c>
    </row>
    <row r="305" spans="1:34">
      <c r="A305" s="4" t="s">
        <v>716</v>
      </c>
      <c r="B305" s="3">
        <v>50</v>
      </c>
      <c r="C305" s="9" t="str" cm="1">
        <f t="array" ref="C305">_xlfn.IFS(B305&gt;65,"+65",B305&gt;54,"55-65",B305&gt;44,"45-54",B305&gt;35,"36-44",B305&gt;25,"26-35",B305&gt;=18,"18-25")</f>
        <v>45-54</v>
      </c>
      <c r="D305" s="4" t="s">
        <v>78</v>
      </c>
      <c r="E305" s="4" t="s">
        <v>51</v>
      </c>
      <c r="F305" s="4" t="s">
        <v>79</v>
      </c>
      <c r="G305" s="4" t="s">
        <v>80</v>
      </c>
      <c r="H305" s="4" t="s">
        <v>717</v>
      </c>
      <c r="I305" s="4" t="s">
        <v>194</v>
      </c>
      <c r="J305" s="5">
        <v>432.42</v>
      </c>
      <c r="K305" s="3">
        <v>2</v>
      </c>
      <c r="L305" s="4" t="str">
        <f>IF(AND(J305&gt;350,K305&gt;6), "True","False")</f>
        <v>False</v>
      </c>
      <c r="M305" s="4" t="s">
        <v>71</v>
      </c>
      <c r="N305" s="3">
        <v>4</v>
      </c>
      <c r="O305" s="4" t="str" cm="1">
        <f t="array" ref="O305">_xlfn.IFS(P305&lt;=2,"Poor",P305=3,"Average",P305&gt;=4,"Good")</f>
        <v>Good</v>
      </c>
      <c r="P305" s="3">
        <v>4</v>
      </c>
      <c r="Q305" s="2">
        <v>0</v>
      </c>
      <c r="R305" s="4" t="s">
        <v>85</v>
      </c>
      <c r="S305" s="4" t="s">
        <v>58</v>
      </c>
      <c r="T305" s="3">
        <v>0</v>
      </c>
      <c r="U305" s="4" t="str" cm="1">
        <f t="array" ref="U305">_xlfn.IFS(V305&lt;=4, "Dissatisfied",V305&lt;=7,"Neutral",V305&gt;=8,"Satisfied")</f>
        <v>Satisfied</v>
      </c>
      <c r="V305" s="3">
        <v>8</v>
      </c>
      <c r="W305" s="4" t="s">
        <v>57</v>
      </c>
      <c r="X305" s="4" t="s">
        <v>74</v>
      </c>
      <c r="Y305" s="4" t="s">
        <v>86</v>
      </c>
      <c r="Z305" s="1">
        <v>45403</v>
      </c>
      <c r="AA305" s="4" t="str" cm="1">
        <f t="array" ref="AA305">_xlfn.IFS(OR(AB305="December", AB305="February", AB305="January"), "Winter", OR(AB305="March", AB305="April", AB305="May"), "Spring", OR(AB305="June", AB305="July", AB305="August"), "Summer", TRUE, "Autumn")</f>
        <v>Spring</v>
      </c>
      <c r="AB305" s="7" t="str">
        <f>TEXT(Z305, "mmmm")</f>
        <v>April</v>
      </c>
      <c r="AC305" s="1" t="str">
        <f>TEXT(Z305, "dddd")</f>
        <v>Sunday</v>
      </c>
      <c r="AD305" s="4" t="s">
        <v>76</v>
      </c>
      <c r="AE305" s="4" t="s">
        <v>62</v>
      </c>
      <c r="AF305" s="4" t="s">
        <v>63</v>
      </c>
      <c r="AG305" s="4" t="s">
        <v>93</v>
      </c>
      <c r="AH305" s="3">
        <v>13</v>
      </c>
    </row>
    <row r="306" spans="1:34">
      <c r="A306" s="4" t="s">
        <v>718</v>
      </c>
      <c r="B306" s="3">
        <v>31</v>
      </c>
      <c r="C306" s="9" t="str" cm="1">
        <f t="array" ref="C306">_xlfn.IFS(B306&gt;65,"+65",B306&gt;54,"55-65",B306&gt;44,"45-54",B306&gt;35,"36-44",B306&gt;25,"26-35",B306&gt;=18,"18-25")</f>
        <v>26-35</v>
      </c>
      <c r="D306" s="4" t="s">
        <v>78</v>
      </c>
      <c r="E306" s="4" t="s">
        <v>51</v>
      </c>
      <c r="F306" s="4" t="s">
        <v>95</v>
      </c>
      <c r="G306" s="4" t="s">
        <v>68</v>
      </c>
      <c r="H306" s="4" t="s">
        <v>719</v>
      </c>
      <c r="I306" s="4" t="s">
        <v>133</v>
      </c>
      <c r="J306" s="5">
        <v>301.39</v>
      </c>
      <c r="K306" s="3">
        <v>6</v>
      </c>
      <c r="L306" s="4" t="str">
        <f>IF(AND(J306&gt;350,K306&gt;6), "True","False")</f>
        <v>False</v>
      </c>
      <c r="M306" s="4" t="s">
        <v>56</v>
      </c>
      <c r="N306" s="3">
        <v>2</v>
      </c>
      <c r="O306" s="4" t="str" cm="1">
        <f t="array" ref="O306">_xlfn.IFS(P306&lt;=2,"Poor",P306=3,"Average",P306&gt;=4,"Good")</f>
        <v>Poor</v>
      </c>
      <c r="P306" s="3">
        <v>1</v>
      </c>
      <c r="Q306" s="2">
        <v>0</v>
      </c>
      <c r="R306" s="4" t="s">
        <v>57</v>
      </c>
      <c r="S306" s="4" t="s">
        <v>73</v>
      </c>
      <c r="T306" s="3">
        <v>1</v>
      </c>
      <c r="U306" s="4" t="str" cm="1">
        <f t="array" ref="U306">_xlfn.IFS(V306&lt;=4, "Dissatisfied",V306&lt;=7,"Neutral",V306&gt;=8,"Satisfied")</f>
        <v>Dissatisfied</v>
      </c>
      <c r="V306" s="3">
        <v>4</v>
      </c>
      <c r="W306" s="4" t="s">
        <v>59</v>
      </c>
      <c r="X306" s="4" t="s">
        <v>101</v>
      </c>
      <c r="Y306" s="4" t="s">
        <v>75</v>
      </c>
      <c r="Z306" s="1">
        <v>45403</v>
      </c>
      <c r="AA306" s="4" t="str" cm="1">
        <f t="array" ref="AA306">_xlfn.IFS(OR(AB306="December", AB306="February", AB306="January"), "Winter", OR(AB306="March", AB306="April", AB306="May"), "Spring", OR(AB306="June", AB306="July", AB306="August"), "Summer", TRUE, "Autumn")</f>
        <v>Spring</v>
      </c>
      <c r="AB306" s="7" t="str">
        <f>TEXT(Z306, "mmmm")</f>
        <v>April</v>
      </c>
      <c r="AC306" s="1" t="str">
        <f>TEXT(Z306, "dddd")</f>
        <v>Sunday</v>
      </c>
      <c r="AD306" s="4" t="s">
        <v>76</v>
      </c>
      <c r="AE306" s="4" t="s">
        <v>76</v>
      </c>
      <c r="AF306" s="4" t="s">
        <v>63</v>
      </c>
      <c r="AG306" s="4" t="s">
        <v>88</v>
      </c>
      <c r="AH306" s="3">
        <v>11</v>
      </c>
    </row>
    <row r="307" spans="1:34">
      <c r="A307" s="4" t="s">
        <v>720</v>
      </c>
      <c r="B307" s="3">
        <v>26</v>
      </c>
      <c r="C307" s="9" t="str" cm="1">
        <f t="array" ref="C307">_xlfn.IFS(B307&gt;65,"+65",B307&gt;54,"55-65",B307&gt;44,"45-54",B307&gt;35,"36-44",B307&gt;25,"26-35",B307&gt;=18,"18-25")</f>
        <v>26-35</v>
      </c>
      <c r="D307" s="4" t="s">
        <v>78</v>
      </c>
      <c r="E307" s="4" t="s">
        <v>72</v>
      </c>
      <c r="F307" s="4" t="s">
        <v>52</v>
      </c>
      <c r="G307" s="4" t="s">
        <v>80</v>
      </c>
      <c r="H307" s="4" t="s">
        <v>721</v>
      </c>
      <c r="I307" s="4" t="s">
        <v>133</v>
      </c>
      <c r="J307" s="5">
        <v>454.93</v>
      </c>
      <c r="K307" s="3">
        <v>8</v>
      </c>
      <c r="L307" s="4" t="str">
        <f>IF(AND(J307&gt;350,K307&gt;6), "True","False")</f>
        <v>True</v>
      </c>
      <c r="M307" s="4" t="s">
        <v>56</v>
      </c>
      <c r="N307" s="3">
        <v>3</v>
      </c>
      <c r="O307" s="4" t="str" cm="1">
        <f t="array" ref="O307">_xlfn.IFS(P307&lt;=2,"Poor",P307=3,"Average",P307&gt;=4,"Good")</f>
        <v>Good</v>
      </c>
      <c r="P307" s="3">
        <v>5</v>
      </c>
      <c r="Q307" s="2">
        <v>0</v>
      </c>
      <c r="R307" s="4" t="s">
        <v>59</v>
      </c>
      <c r="S307" s="4" t="s">
        <v>84</v>
      </c>
      <c r="T307" s="3">
        <v>2</v>
      </c>
      <c r="U307" s="4" t="str" cm="1">
        <f t="array" ref="U307">_xlfn.IFS(V307&lt;=4, "Dissatisfied",V307&lt;=7,"Neutral",V307&gt;=8,"Satisfied")</f>
        <v>Neutral</v>
      </c>
      <c r="V307" s="3">
        <v>7</v>
      </c>
      <c r="W307" s="4" t="s">
        <v>85</v>
      </c>
      <c r="X307" s="4" t="s">
        <v>101</v>
      </c>
      <c r="Y307" s="4" t="s">
        <v>75</v>
      </c>
      <c r="Z307" s="1">
        <v>45403</v>
      </c>
      <c r="AA307" s="4" t="str" cm="1">
        <f t="array" ref="AA307">_xlfn.IFS(OR(AB307="December", AB307="February", AB307="January"), "Winter", OR(AB307="March", AB307="April", AB307="May"), "Spring", OR(AB307="June", AB307="July", AB307="August"), "Summer", TRUE, "Autumn")</f>
        <v>Spring</v>
      </c>
      <c r="AB307" s="7" t="str">
        <f>TEXT(Z307, "mmmm")</f>
        <v>April</v>
      </c>
      <c r="AC307" s="1" t="str">
        <f>TEXT(Z307, "dddd")</f>
        <v>Sunday</v>
      </c>
      <c r="AD307" s="4" t="s">
        <v>76</v>
      </c>
      <c r="AE307" s="4" t="s">
        <v>76</v>
      </c>
      <c r="AF307" s="4" t="s">
        <v>102</v>
      </c>
      <c r="AG307" s="4" t="s">
        <v>88</v>
      </c>
      <c r="AH307" s="3">
        <v>11</v>
      </c>
    </row>
    <row r="308" spans="1:34">
      <c r="A308" s="4" t="s">
        <v>722</v>
      </c>
      <c r="B308" s="3">
        <v>24</v>
      </c>
      <c r="C308" s="9" t="str" cm="1">
        <f t="array" ref="C308">_xlfn.IFS(B308&gt;65,"+65",B308&gt;54,"55-65",B308&gt;44,"45-54",B308&gt;35,"36-44",B308&gt;25,"26-35",B308&gt;=18,"18-25")</f>
        <v>18-25</v>
      </c>
      <c r="D308" s="4" t="s">
        <v>66</v>
      </c>
      <c r="E308" s="4" t="s">
        <v>72</v>
      </c>
      <c r="F308" s="4" t="s">
        <v>67</v>
      </c>
      <c r="G308" s="4" t="s">
        <v>53</v>
      </c>
      <c r="H308" s="4" t="s">
        <v>723</v>
      </c>
      <c r="I308" s="4" t="s">
        <v>70</v>
      </c>
      <c r="J308" s="5">
        <v>455.81</v>
      </c>
      <c r="K308" s="3">
        <v>3</v>
      </c>
      <c r="L308" s="4" t="str">
        <f>IF(AND(J308&gt;350,K308&gt;6), "True","False")</f>
        <v>False</v>
      </c>
      <c r="M308" s="4" t="s">
        <v>56</v>
      </c>
      <c r="N308" s="3">
        <v>2</v>
      </c>
      <c r="O308" s="4" t="str" cm="1">
        <f t="array" ref="O308">_xlfn.IFS(P308&lt;=2,"Poor",P308=3,"Average",P308&gt;=4,"Good")</f>
        <v>Average</v>
      </c>
      <c r="P308" s="3">
        <v>3</v>
      </c>
      <c r="Q308" s="2">
        <v>1</v>
      </c>
      <c r="R308" s="4" t="s">
        <v>59</v>
      </c>
      <c r="S308" s="4" t="s">
        <v>84</v>
      </c>
      <c r="T308" s="3">
        <v>1</v>
      </c>
      <c r="U308" s="4" t="str" cm="1">
        <f t="array" ref="U308">_xlfn.IFS(V308&lt;=4, "Dissatisfied",V308&lt;=7,"Neutral",V308&gt;=8,"Satisfied")</f>
        <v>Neutral</v>
      </c>
      <c r="V308" s="3">
        <v>6</v>
      </c>
      <c r="W308" s="4" t="s">
        <v>85</v>
      </c>
      <c r="X308" s="4" t="s">
        <v>60</v>
      </c>
      <c r="Y308" s="4" t="s">
        <v>75</v>
      </c>
      <c r="Z308" s="1">
        <v>45403</v>
      </c>
      <c r="AA308" s="4" t="str" cm="1">
        <f t="array" ref="AA308">_xlfn.IFS(OR(AB308="December", AB308="February", AB308="January"), "Winter", OR(AB308="March", AB308="April", AB308="May"), "Spring", OR(AB308="June", AB308="July", AB308="August"), "Summer", TRUE, "Autumn")</f>
        <v>Spring</v>
      </c>
      <c r="AB308" s="7" t="str">
        <f>TEXT(Z308, "mmmm")</f>
        <v>April</v>
      </c>
      <c r="AC308" s="1" t="str">
        <f>TEXT(Z308, "dddd")</f>
        <v>Sunday</v>
      </c>
      <c r="AD308" s="4" t="s">
        <v>76</v>
      </c>
      <c r="AE308" s="4" t="s">
        <v>76</v>
      </c>
      <c r="AF308" s="4" t="s">
        <v>102</v>
      </c>
      <c r="AG308" s="4" t="s">
        <v>93</v>
      </c>
      <c r="AH308" s="3">
        <v>6</v>
      </c>
    </row>
    <row r="309" spans="1:34">
      <c r="A309" s="4" t="s">
        <v>724</v>
      </c>
      <c r="B309" s="3">
        <v>18</v>
      </c>
      <c r="C309" s="9" t="str" cm="1">
        <f t="array" ref="C309">_xlfn.IFS(B309&gt;65,"+65",B309&gt;54,"55-65",B309&gt;44,"45-54",B309&gt;35,"36-44",B309&gt;25,"26-35",B309&gt;=18,"18-25")</f>
        <v>18-25</v>
      </c>
      <c r="D309" s="4" t="s">
        <v>78</v>
      </c>
      <c r="E309" s="4" t="s">
        <v>51</v>
      </c>
      <c r="F309" s="4" t="s">
        <v>79</v>
      </c>
      <c r="G309" s="4" t="s">
        <v>53</v>
      </c>
      <c r="H309" s="4" t="s">
        <v>725</v>
      </c>
      <c r="I309" s="4" t="s">
        <v>234</v>
      </c>
      <c r="J309" s="5">
        <v>214.48</v>
      </c>
      <c r="K309" s="3">
        <v>2</v>
      </c>
      <c r="L309" s="4" t="str">
        <f>IF(AND(J309&gt;350,K309&gt;6), "True","False")</f>
        <v>False</v>
      </c>
      <c r="M309" s="4" t="s">
        <v>56</v>
      </c>
      <c r="N309" s="3">
        <v>4</v>
      </c>
      <c r="O309" s="4" t="str" cm="1">
        <f t="array" ref="O309">_xlfn.IFS(P309&lt;=2,"Poor",P309=3,"Average",P309&gt;=4,"Good")</f>
        <v>Poor</v>
      </c>
      <c r="P309" s="3">
        <v>2</v>
      </c>
      <c r="Q309" s="2">
        <v>2</v>
      </c>
      <c r="R309" s="4" t="s">
        <v>57</v>
      </c>
      <c r="S309" s="4" t="s">
        <v>73</v>
      </c>
      <c r="T309" s="3">
        <v>1</v>
      </c>
      <c r="U309" s="4" t="str" cm="1">
        <f t="array" ref="U309">_xlfn.IFS(V309&lt;=4, "Dissatisfied",V309&lt;=7,"Neutral",V309&gt;=8,"Satisfied")</f>
        <v>Dissatisfied</v>
      </c>
      <c r="V309" s="3">
        <v>3</v>
      </c>
      <c r="W309" s="4" t="s">
        <v>57</v>
      </c>
      <c r="X309" s="4" t="s">
        <v>74</v>
      </c>
      <c r="Y309" s="4" t="s">
        <v>61</v>
      </c>
      <c r="Z309" s="1">
        <v>45403</v>
      </c>
      <c r="AA309" s="4" t="str" cm="1">
        <f t="array" ref="AA309">_xlfn.IFS(OR(AB309="December", AB309="February", AB309="January"), "Winter", OR(AB309="March", AB309="April", AB309="May"), "Spring", OR(AB309="June", AB309="July", AB309="August"), "Summer", TRUE, "Autumn")</f>
        <v>Spring</v>
      </c>
      <c r="AB309" s="7" t="str">
        <f>TEXT(Z309, "mmmm")</f>
        <v>April</v>
      </c>
      <c r="AC309" s="1" t="str">
        <f>TEXT(Z309, "dddd")</f>
        <v>Sunday</v>
      </c>
      <c r="AD309" s="4" t="s">
        <v>62</v>
      </c>
      <c r="AE309" s="4" t="s">
        <v>62</v>
      </c>
      <c r="AF309" s="4" t="s">
        <v>102</v>
      </c>
      <c r="AG309" s="4" t="s">
        <v>93</v>
      </c>
      <c r="AH309" s="3">
        <v>2</v>
      </c>
    </row>
    <row r="310" spans="1:34">
      <c r="A310" s="4" t="s">
        <v>726</v>
      </c>
      <c r="B310" s="3">
        <v>41</v>
      </c>
      <c r="C310" s="9" t="str" cm="1">
        <f t="array" ref="C310">_xlfn.IFS(B310&gt;65,"+65",B310&gt;54,"55-65",B310&gt;44,"45-54",B310&gt;35,"36-44",B310&gt;25,"26-35",B310&gt;=18,"18-25")</f>
        <v>36-44</v>
      </c>
      <c r="D310" s="4" t="s">
        <v>78</v>
      </c>
      <c r="E310" s="4" t="s">
        <v>72</v>
      </c>
      <c r="F310" s="4" t="s">
        <v>79</v>
      </c>
      <c r="G310" s="4" t="s">
        <v>68</v>
      </c>
      <c r="H310" s="4" t="s">
        <v>727</v>
      </c>
      <c r="I310" s="4" t="s">
        <v>97</v>
      </c>
      <c r="J310" s="5">
        <v>204.83</v>
      </c>
      <c r="K310" s="3">
        <v>6</v>
      </c>
      <c r="L310" s="4" t="str">
        <f>IF(AND(J310&gt;350,K310&gt;6), "True","False")</f>
        <v>False</v>
      </c>
      <c r="M310" s="4" t="s">
        <v>71</v>
      </c>
      <c r="N310" s="3">
        <v>5</v>
      </c>
      <c r="O310" s="4" t="str" cm="1">
        <f t="array" ref="O310">_xlfn.IFS(P310&lt;=2,"Poor",P310=3,"Average",P310&gt;=4,"Good")</f>
        <v>Poor</v>
      </c>
      <c r="P310" s="3">
        <v>1</v>
      </c>
      <c r="Q310" s="2">
        <v>0</v>
      </c>
      <c r="R310" s="4" t="s">
        <v>72</v>
      </c>
      <c r="S310" s="4" t="s">
        <v>73</v>
      </c>
      <c r="T310" s="3">
        <v>1</v>
      </c>
      <c r="U310" s="4" t="str" cm="1">
        <f t="array" ref="U310">_xlfn.IFS(V310&lt;=4, "Dissatisfied",V310&lt;=7,"Neutral",V310&gt;=8,"Satisfied")</f>
        <v>Neutral</v>
      </c>
      <c r="V310" s="3">
        <v>5</v>
      </c>
      <c r="W310" s="4" t="s">
        <v>85</v>
      </c>
      <c r="X310" s="4" t="s">
        <v>60</v>
      </c>
      <c r="Y310" s="4" t="s">
        <v>75</v>
      </c>
      <c r="Z310" s="1">
        <v>45404</v>
      </c>
      <c r="AA310" s="4" t="str" cm="1">
        <f t="array" ref="AA310">_xlfn.IFS(OR(AB310="December", AB310="February", AB310="January"), "Winter", OR(AB310="March", AB310="April", AB310="May"), "Spring", OR(AB310="June", AB310="July", AB310="August"), "Summer", TRUE, "Autumn")</f>
        <v>Spring</v>
      </c>
      <c r="AB310" s="7" t="str">
        <f>TEXT(Z310, "mmmm")</f>
        <v>April</v>
      </c>
      <c r="AC310" s="1" t="str">
        <f>TEXT(Z310, "dddd")</f>
        <v>Monday</v>
      </c>
      <c r="AD310" s="4" t="s">
        <v>62</v>
      </c>
      <c r="AE310" s="4" t="s">
        <v>76</v>
      </c>
      <c r="AF310" s="4" t="s">
        <v>102</v>
      </c>
      <c r="AG310" s="4" t="s">
        <v>64</v>
      </c>
      <c r="AH310" s="3">
        <v>5</v>
      </c>
    </row>
    <row r="311" spans="1:34">
      <c r="A311" s="4" t="s">
        <v>728</v>
      </c>
      <c r="B311" s="3">
        <v>34</v>
      </c>
      <c r="C311" s="9" t="str" cm="1">
        <f t="array" ref="C311">_xlfn.IFS(B311&gt;65,"+65",B311&gt;54,"55-65",B311&gt;44,"45-54",B311&gt;35,"36-44",B311&gt;25,"26-35",B311&gt;=18,"18-25")</f>
        <v>26-35</v>
      </c>
      <c r="D311" s="4" t="s">
        <v>66</v>
      </c>
      <c r="E311" s="4" t="s">
        <v>72</v>
      </c>
      <c r="F311" s="4" t="s">
        <v>79</v>
      </c>
      <c r="G311" s="4" t="s">
        <v>80</v>
      </c>
      <c r="H311" s="4" t="s">
        <v>729</v>
      </c>
      <c r="I311" s="4" t="s">
        <v>118</v>
      </c>
      <c r="J311" s="5">
        <v>326.82</v>
      </c>
      <c r="K311" s="3">
        <v>4</v>
      </c>
      <c r="L311" s="4" t="str">
        <f>IF(AND(J311&gt;350,K311&gt;6), "True","False")</f>
        <v>False</v>
      </c>
      <c r="M311" s="4" t="s">
        <v>83</v>
      </c>
      <c r="N311" s="3">
        <v>3</v>
      </c>
      <c r="O311" s="4" t="str" cm="1">
        <f t="array" ref="O311">_xlfn.IFS(P311&lt;=2,"Poor",P311=3,"Average",P311&gt;=4,"Good")</f>
        <v>Poor</v>
      </c>
      <c r="P311" s="3">
        <v>2</v>
      </c>
      <c r="Q311" s="2">
        <v>1</v>
      </c>
      <c r="R311" s="4" t="s">
        <v>72</v>
      </c>
      <c r="S311" s="4" t="s">
        <v>84</v>
      </c>
      <c r="T311" s="3">
        <v>2</v>
      </c>
      <c r="U311" s="4" t="str" cm="1">
        <f t="array" ref="U311">_xlfn.IFS(V311&lt;=4, "Dissatisfied",V311&lt;=7,"Neutral",V311&gt;=8,"Satisfied")</f>
        <v>Neutral</v>
      </c>
      <c r="V311" s="3">
        <v>5</v>
      </c>
      <c r="W311" s="4" t="s">
        <v>85</v>
      </c>
      <c r="X311" s="4" t="s">
        <v>74</v>
      </c>
      <c r="Y311" s="4" t="s">
        <v>119</v>
      </c>
      <c r="Z311" s="1">
        <v>45404</v>
      </c>
      <c r="AA311" s="4" t="str" cm="1">
        <f t="array" ref="AA311">_xlfn.IFS(OR(AB311="December", AB311="February", AB311="January"), "Winter", OR(AB311="March", AB311="April", AB311="May"), "Spring", OR(AB311="June", AB311="July", AB311="August"), "Summer", TRUE, "Autumn")</f>
        <v>Spring</v>
      </c>
      <c r="AB311" s="7" t="str">
        <f>TEXT(Z311, "mmmm")</f>
        <v>April</v>
      </c>
      <c r="AC311" s="1" t="str">
        <f>TEXT(Z311, "dddd")</f>
        <v>Monday</v>
      </c>
      <c r="AD311" s="4" t="s">
        <v>62</v>
      </c>
      <c r="AE311" s="4" t="s">
        <v>76</v>
      </c>
      <c r="AF311" s="4" t="s">
        <v>87</v>
      </c>
      <c r="AG311" s="4" t="s">
        <v>64</v>
      </c>
      <c r="AH311" s="3">
        <v>4</v>
      </c>
    </row>
    <row r="312" spans="1:34">
      <c r="A312" s="4" t="s">
        <v>730</v>
      </c>
      <c r="B312" s="3">
        <v>26</v>
      </c>
      <c r="C312" s="9" t="str" cm="1">
        <f t="array" ref="C312">_xlfn.IFS(B312&gt;65,"+65",B312&gt;54,"55-65",B312&gt;44,"45-54",B312&gt;35,"36-44",B312&gt;25,"26-35",B312&gt;=18,"18-25")</f>
        <v>26-35</v>
      </c>
      <c r="D312" s="4" t="s">
        <v>78</v>
      </c>
      <c r="E312" s="4" t="s">
        <v>51</v>
      </c>
      <c r="F312" s="4" t="s">
        <v>67</v>
      </c>
      <c r="G312" s="4" t="s">
        <v>80</v>
      </c>
      <c r="H312" s="4" t="s">
        <v>731</v>
      </c>
      <c r="I312" s="4" t="s">
        <v>110</v>
      </c>
      <c r="J312" s="5">
        <v>265.72000000000003</v>
      </c>
      <c r="K312" s="3">
        <v>5</v>
      </c>
      <c r="L312" s="4" t="str">
        <f>IF(AND(J312&gt;350,K312&gt;6), "True","False")</f>
        <v>False</v>
      </c>
      <c r="M312" s="4" t="s">
        <v>83</v>
      </c>
      <c r="N312" s="3">
        <v>5</v>
      </c>
      <c r="O312" s="4" t="str" cm="1">
        <f t="array" ref="O312">_xlfn.IFS(P312&lt;=2,"Poor",P312=3,"Average",P312&gt;=4,"Good")</f>
        <v>Good</v>
      </c>
      <c r="P312" s="3">
        <v>4</v>
      </c>
      <c r="Q312" s="2">
        <v>0</v>
      </c>
      <c r="R312" s="4" t="s">
        <v>57</v>
      </c>
      <c r="S312" s="4" t="s">
        <v>73</v>
      </c>
      <c r="T312" s="3">
        <v>0</v>
      </c>
      <c r="U312" s="4" t="str" cm="1">
        <f t="array" ref="U312">_xlfn.IFS(V312&lt;=4, "Dissatisfied",V312&lt;=7,"Neutral",V312&gt;=8,"Satisfied")</f>
        <v>Satisfied</v>
      </c>
      <c r="V312" s="3">
        <v>9</v>
      </c>
      <c r="W312" s="4" t="s">
        <v>57</v>
      </c>
      <c r="X312" s="4" t="s">
        <v>74</v>
      </c>
      <c r="Y312" s="4" t="s">
        <v>75</v>
      </c>
      <c r="Z312" s="1">
        <v>45404</v>
      </c>
      <c r="AA312" s="4" t="str" cm="1">
        <f t="array" ref="AA312">_xlfn.IFS(OR(AB312="December", AB312="February", AB312="January"), "Winter", OR(AB312="March", AB312="April", AB312="May"), "Spring", OR(AB312="June", AB312="July", AB312="August"), "Summer", TRUE, "Autumn")</f>
        <v>Spring</v>
      </c>
      <c r="AB312" s="7" t="str">
        <f>TEXT(Z312, "mmmm")</f>
        <v>April</v>
      </c>
      <c r="AC312" s="1" t="str">
        <f>TEXT(Z312, "dddd")</f>
        <v>Monday</v>
      </c>
      <c r="AD312" s="4" t="s">
        <v>62</v>
      </c>
      <c r="AE312" s="4" t="s">
        <v>62</v>
      </c>
      <c r="AF312" s="4" t="s">
        <v>87</v>
      </c>
      <c r="AG312" s="4" t="s">
        <v>93</v>
      </c>
      <c r="AH312" s="3">
        <v>13</v>
      </c>
    </row>
    <row r="313" spans="1:34">
      <c r="A313" s="4" t="s">
        <v>732</v>
      </c>
      <c r="B313" s="3">
        <v>44</v>
      </c>
      <c r="C313" s="9" t="str" cm="1">
        <f t="array" ref="C313">_xlfn.IFS(B313&gt;65,"+65",B313&gt;54,"55-65",B313&gt;44,"45-54",B313&gt;35,"36-44",B313&gt;25,"26-35",B313&gt;=18,"18-25")</f>
        <v>36-44</v>
      </c>
      <c r="D313" s="4" t="s">
        <v>78</v>
      </c>
      <c r="E313" s="4" t="s">
        <v>51</v>
      </c>
      <c r="F313" s="4" t="s">
        <v>79</v>
      </c>
      <c r="G313" s="4" t="s">
        <v>53</v>
      </c>
      <c r="H313" s="4" t="s">
        <v>733</v>
      </c>
      <c r="I313" s="4" t="s">
        <v>146</v>
      </c>
      <c r="J313" s="5">
        <v>373.49</v>
      </c>
      <c r="K313" s="3">
        <v>6</v>
      </c>
      <c r="L313" s="4" t="str">
        <f>IF(AND(J313&gt;350,K313&gt;6), "True","False")</f>
        <v>False</v>
      </c>
      <c r="M313" s="4" t="s">
        <v>56</v>
      </c>
      <c r="N313" s="3">
        <v>4</v>
      </c>
      <c r="O313" s="4" t="str" cm="1">
        <f t="array" ref="O313">_xlfn.IFS(P313&lt;=2,"Poor",P313=3,"Average",P313&gt;=4,"Good")</f>
        <v>Poor</v>
      </c>
      <c r="P313" s="3">
        <v>1</v>
      </c>
      <c r="Q313" s="2">
        <v>0</v>
      </c>
      <c r="R313" s="4" t="s">
        <v>85</v>
      </c>
      <c r="S313" s="4" t="s">
        <v>73</v>
      </c>
      <c r="T313" s="3">
        <v>0</v>
      </c>
      <c r="U313" s="4" t="str" cm="1">
        <f t="array" ref="U313">_xlfn.IFS(V313&lt;=4, "Dissatisfied",V313&lt;=7,"Neutral",V313&gt;=8,"Satisfied")</f>
        <v>Satisfied</v>
      </c>
      <c r="V313" s="3">
        <v>10</v>
      </c>
      <c r="W313" s="4" t="s">
        <v>59</v>
      </c>
      <c r="X313" s="4" t="s">
        <v>74</v>
      </c>
      <c r="Y313" s="4" t="s">
        <v>61</v>
      </c>
      <c r="Z313" s="1">
        <v>45405</v>
      </c>
      <c r="AA313" s="4" t="str" cm="1">
        <f t="array" ref="AA313">_xlfn.IFS(OR(AB313="December", AB313="February", AB313="January"), "Winter", OR(AB313="March", AB313="April", AB313="May"), "Spring", OR(AB313="June", AB313="July", AB313="August"), "Summer", TRUE, "Autumn")</f>
        <v>Spring</v>
      </c>
      <c r="AB313" s="7" t="str">
        <f>TEXT(Z313, "mmmm")</f>
        <v>April</v>
      </c>
      <c r="AC313" s="1" t="str">
        <f>TEXT(Z313, "dddd")</f>
        <v>Tuesday</v>
      </c>
      <c r="AD313" s="4" t="s">
        <v>62</v>
      </c>
      <c r="AE313" s="4" t="s">
        <v>62</v>
      </c>
      <c r="AF313" s="4" t="s">
        <v>92</v>
      </c>
      <c r="AG313" s="4" t="s">
        <v>64</v>
      </c>
      <c r="AH313" s="3">
        <v>1</v>
      </c>
    </row>
    <row r="314" spans="1:34">
      <c r="A314" s="4" t="s">
        <v>734</v>
      </c>
      <c r="B314" s="3">
        <v>38</v>
      </c>
      <c r="C314" s="9" t="str" cm="1">
        <f t="array" ref="C314">_xlfn.IFS(B314&gt;65,"+65",B314&gt;54,"55-65",B314&gt;44,"45-54",B314&gt;35,"36-44",B314&gt;25,"26-35",B314&gt;=18,"18-25")</f>
        <v>36-44</v>
      </c>
      <c r="D314" s="4" t="s">
        <v>78</v>
      </c>
      <c r="E314" s="4" t="s">
        <v>72</v>
      </c>
      <c r="F314" s="4" t="s">
        <v>79</v>
      </c>
      <c r="G314" s="4" t="s">
        <v>53</v>
      </c>
      <c r="H314" s="4" t="s">
        <v>735</v>
      </c>
      <c r="I314" s="4" t="s">
        <v>146</v>
      </c>
      <c r="J314" s="5">
        <v>89.32</v>
      </c>
      <c r="K314" s="3">
        <v>11</v>
      </c>
      <c r="L314" s="4" t="str">
        <f>IF(AND(J314&gt;350,K314&gt;6), "True","False")</f>
        <v>False</v>
      </c>
      <c r="M314" s="4" t="s">
        <v>56</v>
      </c>
      <c r="N314" s="3">
        <v>1</v>
      </c>
      <c r="O314" s="4" t="str" cm="1">
        <f t="array" ref="O314">_xlfn.IFS(P314&lt;=2,"Poor",P314=3,"Average",P314&gt;=4,"Good")</f>
        <v>Poor</v>
      </c>
      <c r="P314" s="3">
        <v>1</v>
      </c>
      <c r="Q314" s="2">
        <v>0.3</v>
      </c>
      <c r="R314" s="4" t="s">
        <v>59</v>
      </c>
      <c r="S314" s="4" t="s">
        <v>84</v>
      </c>
      <c r="T314" s="3">
        <v>1</v>
      </c>
      <c r="U314" s="4" t="str" cm="1">
        <f t="array" ref="U314">_xlfn.IFS(V314&lt;=4, "Dissatisfied",V314&lt;=7,"Neutral",V314&gt;=8,"Satisfied")</f>
        <v>Dissatisfied</v>
      </c>
      <c r="V314" s="3">
        <v>3</v>
      </c>
      <c r="W314" s="4" t="s">
        <v>72</v>
      </c>
      <c r="X314" s="4" t="s">
        <v>101</v>
      </c>
      <c r="Y314" s="4" t="s">
        <v>111</v>
      </c>
      <c r="Z314" s="1">
        <v>45405</v>
      </c>
      <c r="AA314" s="4" t="str" cm="1">
        <f t="array" ref="AA314">_xlfn.IFS(OR(AB314="December", AB314="February", AB314="January"), "Winter", OR(AB314="March", AB314="April", AB314="May"), "Spring", OR(AB314="June", AB314="July", AB314="August"), "Summer", TRUE, "Autumn")</f>
        <v>Spring</v>
      </c>
      <c r="AB314" s="7" t="str">
        <f>TEXT(Z314, "mmmm")</f>
        <v>April</v>
      </c>
      <c r="AC314" s="1" t="str">
        <f>TEXT(Z314, "dddd")</f>
        <v>Tuesday</v>
      </c>
      <c r="AD314" s="4" t="s">
        <v>62</v>
      </c>
      <c r="AE314" s="4" t="s">
        <v>76</v>
      </c>
      <c r="AF314" s="4" t="s">
        <v>102</v>
      </c>
      <c r="AG314" s="4" t="s">
        <v>88</v>
      </c>
      <c r="AH314" s="3">
        <v>12</v>
      </c>
    </row>
    <row r="315" spans="1:34">
      <c r="A315" s="4" t="s">
        <v>736</v>
      </c>
      <c r="B315" s="3">
        <v>32</v>
      </c>
      <c r="C315" s="9" t="str" cm="1">
        <f t="array" ref="C315">_xlfn.IFS(B315&gt;65,"+65",B315&gt;54,"55-65",B315&gt;44,"45-54",B315&gt;35,"36-44",B315&gt;25,"26-35",B315&gt;=18,"18-25")</f>
        <v>26-35</v>
      </c>
      <c r="D315" s="4" t="s">
        <v>66</v>
      </c>
      <c r="E315" s="4" t="s">
        <v>72</v>
      </c>
      <c r="F315" s="4" t="s">
        <v>67</v>
      </c>
      <c r="G315" s="4" t="s">
        <v>68</v>
      </c>
      <c r="H315" s="4" t="s">
        <v>737</v>
      </c>
      <c r="I315" s="4" t="s">
        <v>82</v>
      </c>
      <c r="J315" s="5">
        <v>234.58</v>
      </c>
      <c r="K315" s="3">
        <v>3</v>
      </c>
      <c r="L315" s="4" t="str">
        <f>IF(AND(J315&gt;350,K315&gt;6), "True","False")</f>
        <v>False</v>
      </c>
      <c r="M315" s="4" t="s">
        <v>83</v>
      </c>
      <c r="N315" s="3">
        <v>5</v>
      </c>
      <c r="O315" s="4" t="str" cm="1">
        <f t="array" ref="O315">_xlfn.IFS(P315&lt;=2,"Poor",P315=3,"Average",P315&gt;=4,"Good")</f>
        <v>Good</v>
      </c>
      <c r="P315" s="3">
        <v>5</v>
      </c>
      <c r="Q315" s="2">
        <v>2</v>
      </c>
      <c r="R315" s="4" t="s">
        <v>59</v>
      </c>
      <c r="S315" s="4" t="s">
        <v>73</v>
      </c>
      <c r="T315" s="3">
        <v>2</v>
      </c>
      <c r="U315" s="4" t="str" cm="1">
        <f t="array" ref="U315">_xlfn.IFS(V315&lt;=4, "Dissatisfied",V315&lt;=7,"Neutral",V315&gt;=8,"Satisfied")</f>
        <v>Neutral</v>
      </c>
      <c r="V315" s="3">
        <v>6</v>
      </c>
      <c r="W315" s="4" t="s">
        <v>57</v>
      </c>
      <c r="X315" s="4" t="s">
        <v>101</v>
      </c>
      <c r="Y315" s="4" t="s">
        <v>86</v>
      </c>
      <c r="Z315" s="1">
        <v>45405</v>
      </c>
      <c r="AA315" s="4" t="str" cm="1">
        <f t="array" ref="AA315">_xlfn.IFS(OR(AB315="December", AB315="February", AB315="January"), "Winter", OR(AB315="March", AB315="April", AB315="May"), "Spring", OR(AB315="June", AB315="July", AB315="August"), "Summer", TRUE, "Autumn")</f>
        <v>Spring</v>
      </c>
      <c r="AB315" s="7" t="str">
        <f>TEXT(Z315, "mmmm")</f>
        <v>April</v>
      </c>
      <c r="AC315" s="1" t="str">
        <f>TEXT(Z315, "dddd")</f>
        <v>Tuesday</v>
      </c>
      <c r="AD315" s="4" t="s">
        <v>62</v>
      </c>
      <c r="AE315" s="4" t="s">
        <v>76</v>
      </c>
      <c r="AF315" s="4" t="s">
        <v>92</v>
      </c>
      <c r="AG315" s="4" t="s">
        <v>64</v>
      </c>
      <c r="AH315" s="3">
        <v>1</v>
      </c>
    </row>
    <row r="316" spans="1:34">
      <c r="A316" s="4" t="s">
        <v>738</v>
      </c>
      <c r="B316" s="3">
        <v>47</v>
      </c>
      <c r="C316" s="9" t="str" cm="1">
        <f t="array" ref="C316">_xlfn.IFS(B316&gt;65,"+65",B316&gt;54,"55-65",B316&gt;44,"45-54",B316&gt;35,"36-44",B316&gt;25,"26-35",B316&gt;=18,"18-25")</f>
        <v>45-54</v>
      </c>
      <c r="D316" s="4" t="s">
        <v>66</v>
      </c>
      <c r="E316" s="4" t="s">
        <v>72</v>
      </c>
      <c r="F316" s="4" t="s">
        <v>95</v>
      </c>
      <c r="G316" s="4" t="s">
        <v>80</v>
      </c>
      <c r="H316" s="4" t="s">
        <v>54</v>
      </c>
      <c r="I316" s="4" t="s">
        <v>70</v>
      </c>
      <c r="J316" s="5">
        <v>250.73</v>
      </c>
      <c r="K316" s="3">
        <v>4</v>
      </c>
      <c r="L316" s="4" t="str">
        <f>IF(AND(J316&gt;350,K316&gt;6), "True","False")</f>
        <v>False</v>
      </c>
      <c r="M316" s="4" t="s">
        <v>56</v>
      </c>
      <c r="N316" s="3">
        <v>3</v>
      </c>
      <c r="O316" s="4" t="str" cm="1">
        <f t="array" ref="O316">_xlfn.IFS(P316&lt;=2,"Poor",P316=3,"Average",P316&gt;=4,"Good")</f>
        <v>Poor</v>
      </c>
      <c r="P316" s="3">
        <v>2</v>
      </c>
      <c r="Q316" s="2">
        <v>1</v>
      </c>
      <c r="R316" s="4" t="s">
        <v>59</v>
      </c>
      <c r="S316" s="4" t="s">
        <v>84</v>
      </c>
      <c r="T316" s="3">
        <v>1</v>
      </c>
      <c r="U316" s="4" t="str" cm="1">
        <f t="array" ref="U316">_xlfn.IFS(V316&lt;=4, "Dissatisfied",V316&lt;=7,"Neutral",V316&gt;=8,"Satisfied")</f>
        <v>Satisfied</v>
      </c>
      <c r="V316" s="3">
        <v>10</v>
      </c>
      <c r="W316" s="4" t="s">
        <v>57</v>
      </c>
      <c r="X316" s="4" t="s">
        <v>101</v>
      </c>
      <c r="Y316" s="4" t="s">
        <v>61</v>
      </c>
      <c r="Z316" s="1">
        <v>45406</v>
      </c>
      <c r="AA316" s="4" t="str" cm="1">
        <f t="array" ref="AA316">_xlfn.IFS(OR(AB316="December", AB316="February", AB316="January"), "Winter", OR(AB316="March", AB316="April", AB316="May"), "Spring", OR(AB316="June", AB316="July", AB316="August"), "Summer", TRUE, "Autumn")</f>
        <v>Spring</v>
      </c>
      <c r="AB316" s="7" t="str">
        <f>TEXT(Z316, "mmmm")</f>
        <v>April</v>
      </c>
      <c r="AC316" s="1" t="str">
        <f>TEXT(Z316, "dddd")</f>
        <v>Wednesday</v>
      </c>
      <c r="AD316" s="4" t="s">
        <v>76</v>
      </c>
      <c r="AE316" s="4" t="s">
        <v>62</v>
      </c>
      <c r="AF316" s="4" t="s">
        <v>87</v>
      </c>
      <c r="AG316" s="4" t="s">
        <v>88</v>
      </c>
      <c r="AH316" s="3">
        <v>10</v>
      </c>
    </row>
    <row r="317" spans="1:34">
      <c r="A317" s="4" t="s">
        <v>739</v>
      </c>
      <c r="B317" s="3">
        <v>37</v>
      </c>
      <c r="C317" s="9" t="str" cm="1">
        <f t="array" ref="C317">_xlfn.IFS(B317&gt;65,"+65",B317&gt;54,"55-65",B317&gt;44,"45-54",B317&gt;35,"36-44",B317&gt;25,"26-35",B317&gt;=18,"18-25")</f>
        <v>36-44</v>
      </c>
      <c r="D317" s="4" t="s">
        <v>78</v>
      </c>
      <c r="E317" s="4" t="s">
        <v>72</v>
      </c>
      <c r="F317" s="4" t="s">
        <v>79</v>
      </c>
      <c r="G317" s="4" t="s">
        <v>53</v>
      </c>
      <c r="H317" s="4" t="s">
        <v>740</v>
      </c>
      <c r="I317" s="4" t="s">
        <v>146</v>
      </c>
      <c r="J317" s="5">
        <v>481.78</v>
      </c>
      <c r="K317" s="3">
        <v>8</v>
      </c>
      <c r="L317" s="4" t="str">
        <f>IF(AND(J317&gt;350,K317&gt;6), "True","False")</f>
        <v>True</v>
      </c>
      <c r="M317" s="4" t="s">
        <v>71</v>
      </c>
      <c r="N317" s="3">
        <v>5</v>
      </c>
      <c r="O317" s="4" t="str" cm="1">
        <f t="array" ref="O317">_xlfn.IFS(P317&lt;=2,"Poor",P317=3,"Average",P317&gt;=4,"Good")</f>
        <v>Poor</v>
      </c>
      <c r="P317" s="3">
        <v>2</v>
      </c>
      <c r="Q317" s="2">
        <v>0</v>
      </c>
      <c r="R317" s="4" t="s">
        <v>85</v>
      </c>
      <c r="S317" s="4" t="s">
        <v>73</v>
      </c>
      <c r="T317" s="3">
        <v>2</v>
      </c>
      <c r="U317" s="4" t="str" cm="1">
        <f t="array" ref="U317">_xlfn.IFS(V317&lt;=4, "Dissatisfied",V317&lt;=7,"Neutral",V317&gt;=8,"Satisfied")</f>
        <v>Dissatisfied</v>
      </c>
      <c r="V317" s="3">
        <v>4</v>
      </c>
      <c r="W317" s="4" t="s">
        <v>59</v>
      </c>
      <c r="X317" s="4" t="s">
        <v>74</v>
      </c>
      <c r="Y317" s="4" t="s">
        <v>75</v>
      </c>
      <c r="Z317" s="1">
        <v>45406</v>
      </c>
      <c r="AA317" s="4" t="str" cm="1">
        <f t="array" ref="AA317">_xlfn.IFS(OR(AB317="December", AB317="February", AB317="January"), "Winter", OR(AB317="March", AB317="April", AB317="May"), "Spring", OR(AB317="June", AB317="July", AB317="August"), "Summer", TRUE, "Autumn")</f>
        <v>Spring</v>
      </c>
      <c r="AB317" s="7" t="str">
        <f>TEXT(Z317, "mmmm")</f>
        <v>April</v>
      </c>
      <c r="AC317" s="1" t="str">
        <f>TEXT(Z317, "dddd")</f>
        <v>Wednesday</v>
      </c>
      <c r="AD317" s="4" t="s">
        <v>62</v>
      </c>
      <c r="AE317" s="4" t="s">
        <v>62</v>
      </c>
      <c r="AF317" s="4" t="s">
        <v>102</v>
      </c>
      <c r="AG317" s="4" t="s">
        <v>93</v>
      </c>
      <c r="AH317" s="3">
        <v>1</v>
      </c>
    </row>
    <row r="318" spans="1:34">
      <c r="A318" s="4" t="s">
        <v>741</v>
      </c>
      <c r="B318" s="3">
        <v>24</v>
      </c>
      <c r="C318" s="9" t="str" cm="1">
        <f t="array" ref="C318">_xlfn.IFS(B318&gt;65,"+65",B318&gt;54,"55-65",B318&gt;44,"45-54",B318&gt;35,"36-44",B318&gt;25,"26-35",B318&gt;=18,"18-25")</f>
        <v>18-25</v>
      </c>
      <c r="D318" s="4" t="s">
        <v>78</v>
      </c>
      <c r="E318" s="4" t="s">
        <v>51</v>
      </c>
      <c r="F318" s="4" t="s">
        <v>95</v>
      </c>
      <c r="G318" s="4" t="s">
        <v>53</v>
      </c>
      <c r="H318" s="4" t="s">
        <v>742</v>
      </c>
      <c r="I318" s="4" t="s">
        <v>234</v>
      </c>
      <c r="J318" s="5">
        <v>159.30000000000001</v>
      </c>
      <c r="K318" s="3">
        <v>11</v>
      </c>
      <c r="L318" s="4" t="str">
        <f>IF(AND(J318&gt;350,K318&gt;6), "True","False")</f>
        <v>False</v>
      </c>
      <c r="M318" s="4" t="s">
        <v>83</v>
      </c>
      <c r="N318" s="3">
        <v>5</v>
      </c>
      <c r="O318" s="4" t="str" cm="1">
        <f t="array" ref="O318">_xlfn.IFS(P318&lt;=2,"Poor",P318=3,"Average",P318&gt;=4,"Good")</f>
        <v>Good</v>
      </c>
      <c r="P318" s="3">
        <v>4</v>
      </c>
      <c r="Q318" s="2">
        <v>0</v>
      </c>
      <c r="R318" s="4" t="s">
        <v>85</v>
      </c>
      <c r="S318" s="4" t="s">
        <v>84</v>
      </c>
      <c r="T318" s="3">
        <v>0</v>
      </c>
      <c r="U318" s="4" t="str" cm="1">
        <f t="array" ref="U318">_xlfn.IFS(V318&lt;=4, "Dissatisfied",V318&lt;=7,"Neutral",V318&gt;=8,"Satisfied")</f>
        <v>Neutral</v>
      </c>
      <c r="V318" s="3">
        <v>6</v>
      </c>
      <c r="W318" s="4" t="s">
        <v>72</v>
      </c>
      <c r="X318" s="4" t="s">
        <v>74</v>
      </c>
      <c r="Y318" s="4" t="s">
        <v>86</v>
      </c>
      <c r="Z318" s="1">
        <v>45406</v>
      </c>
      <c r="AA318" s="4" t="str" cm="1">
        <f t="array" ref="AA318">_xlfn.IFS(OR(AB318="December", AB318="February", AB318="January"), "Winter", OR(AB318="March", AB318="April", AB318="May"), "Spring", OR(AB318="June", AB318="July", AB318="August"), "Summer", TRUE, "Autumn")</f>
        <v>Spring</v>
      </c>
      <c r="AB318" s="7" t="str">
        <f>TEXT(Z318, "mmmm")</f>
        <v>April</v>
      </c>
      <c r="AC318" s="1" t="str">
        <f>TEXT(Z318, "dddd")</f>
        <v>Wednesday</v>
      </c>
      <c r="AD318" s="4" t="s">
        <v>76</v>
      </c>
      <c r="AE318" s="4" t="s">
        <v>62</v>
      </c>
      <c r="AF318" s="4" t="s">
        <v>92</v>
      </c>
      <c r="AG318" s="4" t="s">
        <v>93</v>
      </c>
      <c r="AH318" s="3">
        <v>2</v>
      </c>
    </row>
    <row r="319" spans="1:34">
      <c r="A319" s="4" t="s">
        <v>743</v>
      </c>
      <c r="B319" s="3">
        <v>23</v>
      </c>
      <c r="C319" s="9" t="str" cm="1">
        <f t="array" ref="C319">_xlfn.IFS(B319&gt;65,"+65",B319&gt;54,"55-65",B319&gt;44,"45-54",B319&gt;35,"36-44",B319&gt;25,"26-35",B319&gt;=18,"18-25")</f>
        <v>18-25</v>
      </c>
      <c r="D319" s="4" t="s">
        <v>66</v>
      </c>
      <c r="E319" s="4" t="s">
        <v>51</v>
      </c>
      <c r="F319" s="4" t="s">
        <v>52</v>
      </c>
      <c r="G319" s="4" t="s">
        <v>80</v>
      </c>
      <c r="H319" s="4" t="s">
        <v>744</v>
      </c>
      <c r="I319" s="4" t="s">
        <v>105</v>
      </c>
      <c r="J319" s="5">
        <v>150.33000000000001</v>
      </c>
      <c r="K319" s="3">
        <v>9</v>
      </c>
      <c r="L319" s="4" t="str">
        <f>IF(AND(J319&gt;350,K319&gt;6), "True","False")</f>
        <v>False</v>
      </c>
      <c r="M319" s="4" t="s">
        <v>71</v>
      </c>
      <c r="N319" s="3">
        <v>4</v>
      </c>
      <c r="O319" s="4" t="str" cm="1">
        <f t="array" ref="O319">_xlfn.IFS(P319&lt;=2,"Poor",P319=3,"Average",P319&gt;=4,"Good")</f>
        <v>Good</v>
      </c>
      <c r="P319" s="3">
        <v>4</v>
      </c>
      <c r="Q319" s="2">
        <v>2</v>
      </c>
      <c r="R319" s="4" t="s">
        <v>57</v>
      </c>
      <c r="S319" s="4" t="s">
        <v>84</v>
      </c>
      <c r="T319" s="3">
        <v>2</v>
      </c>
      <c r="U319" s="4" t="str" cm="1">
        <f t="array" ref="U319">_xlfn.IFS(V319&lt;=4, "Dissatisfied",V319&lt;=7,"Neutral",V319&gt;=8,"Satisfied")</f>
        <v>Satisfied</v>
      </c>
      <c r="V319" s="3">
        <v>9</v>
      </c>
      <c r="W319" s="4" t="s">
        <v>85</v>
      </c>
      <c r="X319" s="4" t="s">
        <v>101</v>
      </c>
      <c r="Y319" s="4" t="s">
        <v>75</v>
      </c>
      <c r="Z319" s="1">
        <v>45406</v>
      </c>
      <c r="AA319" s="4" t="str" cm="1">
        <f t="array" ref="AA319">_xlfn.IFS(OR(AB319="December", AB319="February", AB319="January"), "Winter", OR(AB319="March", AB319="April", AB319="May"), "Spring", OR(AB319="June", AB319="July", AB319="August"), "Summer", TRUE, "Autumn")</f>
        <v>Spring</v>
      </c>
      <c r="AB319" s="7" t="str">
        <f>TEXT(Z319, "mmmm")</f>
        <v>April</v>
      </c>
      <c r="AC319" s="1" t="str">
        <f>TEXT(Z319, "dddd")</f>
        <v>Wednesday</v>
      </c>
      <c r="AD319" s="4" t="s">
        <v>62</v>
      </c>
      <c r="AE319" s="4" t="s">
        <v>76</v>
      </c>
      <c r="AF319" s="4" t="s">
        <v>102</v>
      </c>
      <c r="AG319" s="4" t="s">
        <v>93</v>
      </c>
      <c r="AH319" s="3">
        <v>6</v>
      </c>
    </row>
    <row r="320" spans="1:34">
      <c r="A320" s="4" t="s">
        <v>745</v>
      </c>
      <c r="B320" s="3">
        <v>49</v>
      </c>
      <c r="C320" s="9" t="str" cm="1">
        <f t="array" ref="C320">_xlfn.IFS(B320&gt;65,"+65",B320&gt;54,"55-65",B320&gt;44,"45-54",B320&gt;35,"36-44",B320&gt;25,"26-35",B320&gt;=18,"18-25")</f>
        <v>45-54</v>
      </c>
      <c r="D320" s="4" t="s">
        <v>66</v>
      </c>
      <c r="E320" s="4" t="s">
        <v>72</v>
      </c>
      <c r="F320" s="4" t="s">
        <v>95</v>
      </c>
      <c r="G320" s="4" t="s">
        <v>68</v>
      </c>
      <c r="H320" s="4" t="s">
        <v>746</v>
      </c>
      <c r="I320" s="4" t="s">
        <v>156</v>
      </c>
      <c r="J320" s="5">
        <v>463.15</v>
      </c>
      <c r="K320" s="3">
        <v>3</v>
      </c>
      <c r="L320" s="4" t="str">
        <f>IF(AND(J320&gt;350,K320&gt;6), "True","False")</f>
        <v>False</v>
      </c>
      <c r="M320" s="4" t="s">
        <v>83</v>
      </c>
      <c r="N320" s="3">
        <v>1</v>
      </c>
      <c r="O320" s="4" t="str" cm="1">
        <f t="array" ref="O320">_xlfn.IFS(P320&lt;=2,"Poor",P320=3,"Average",P320&gt;=4,"Good")</f>
        <v>Poor</v>
      </c>
      <c r="P320" s="3">
        <v>1</v>
      </c>
      <c r="Q320" s="2">
        <v>1</v>
      </c>
      <c r="R320" s="4" t="s">
        <v>57</v>
      </c>
      <c r="S320" s="4" t="s">
        <v>84</v>
      </c>
      <c r="T320" s="3">
        <v>1</v>
      </c>
      <c r="U320" s="4" t="str" cm="1">
        <f t="array" ref="U320">_xlfn.IFS(V320&lt;=4, "Dissatisfied",V320&lt;=7,"Neutral",V320&gt;=8,"Satisfied")</f>
        <v>Satisfied</v>
      </c>
      <c r="V320" s="3">
        <v>9</v>
      </c>
      <c r="W320" s="4" t="s">
        <v>72</v>
      </c>
      <c r="X320" s="4" t="s">
        <v>60</v>
      </c>
      <c r="Y320" s="4" t="s">
        <v>75</v>
      </c>
      <c r="Z320" s="1">
        <v>45407</v>
      </c>
      <c r="AA320" s="4" t="str" cm="1">
        <f t="array" ref="AA320">_xlfn.IFS(OR(AB320="December", AB320="February", AB320="January"), "Winter", OR(AB320="March", AB320="April", AB320="May"), "Spring", OR(AB320="June", AB320="July", AB320="August"), "Summer", TRUE, "Autumn")</f>
        <v>Spring</v>
      </c>
      <c r="AB320" s="7" t="str">
        <f>TEXT(Z320, "mmmm")</f>
        <v>April</v>
      </c>
      <c r="AC320" s="1" t="str">
        <f>TEXT(Z320, "dddd")</f>
        <v>Thursday</v>
      </c>
      <c r="AD320" s="4" t="s">
        <v>62</v>
      </c>
      <c r="AE320" s="4" t="s">
        <v>62</v>
      </c>
      <c r="AF320" s="4" t="s">
        <v>63</v>
      </c>
      <c r="AG320" s="4" t="s">
        <v>64</v>
      </c>
      <c r="AH320" s="3">
        <v>9</v>
      </c>
    </row>
    <row r="321" spans="1:34">
      <c r="A321" s="4" t="s">
        <v>747</v>
      </c>
      <c r="B321" s="3">
        <v>47</v>
      </c>
      <c r="C321" s="9" t="str" cm="1">
        <f t="array" ref="C321">_xlfn.IFS(B321&gt;65,"+65",B321&gt;54,"55-65",B321&gt;44,"45-54",B321&gt;35,"36-44",B321&gt;25,"26-35",B321&gt;=18,"18-25")</f>
        <v>45-54</v>
      </c>
      <c r="D321" s="4" t="s">
        <v>66</v>
      </c>
      <c r="E321" s="4" t="s">
        <v>72</v>
      </c>
      <c r="F321" s="4" t="s">
        <v>95</v>
      </c>
      <c r="G321" s="4" t="s">
        <v>53</v>
      </c>
      <c r="H321" s="4" t="s">
        <v>748</v>
      </c>
      <c r="I321" s="4" t="s">
        <v>194</v>
      </c>
      <c r="J321" s="5">
        <v>237.57</v>
      </c>
      <c r="K321" s="3">
        <v>5</v>
      </c>
      <c r="L321" s="4" t="str">
        <f>IF(AND(J321&gt;350,K321&gt;6), "True","False")</f>
        <v>False</v>
      </c>
      <c r="M321" s="4" t="s">
        <v>56</v>
      </c>
      <c r="N321" s="3">
        <v>3</v>
      </c>
      <c r="O321" s="4" t="str" cm="1">
        <f t="array" ref="O321">_xlfn.IFS(P321&lt;=2,"Poor",P321=3,"Average",P321&gt;=4,"Good")</f>
        <v>Average</v>
      </c>
      <c r="P321" s="3">
        <v>3</v>
      </c>
      <c r="Q321" s="2">
        <v>0</v>
      </c>
      <c r="R321" s="4" t="s">
        <v>85</v>
      </c>
      <c r="S321" s="4" t="s">
        <v>84</v>
      </c>
      <c r="T321" s="3">
        <v>0</v>
      </c>
      <c r="U321" s="4" t="str" cm="1">
        <f t="array" ref="U321">_xlfn.IFS(V321&lt;=4, "Dissatisfied",V321&lt;=7,"Neutral",V321&gt;=8,"Satisfied")</f>
        <v>Dissatisfied</v>
      </c>
      <c r="V321" s="3">
        <v>3</v>
      </c>
      <c r="W321" s="4" t="s">
        <v>85</v>
      </c>
      <c r="X321" s="4" t="s">
        <v>60</v>
      </c>
      <c r="Y321" s="4" t="s">
        <v>61</v>
      </c>
      <c r="Z321" s="1">
        <v>45407</v>
      </c>
      <c r="AA321" s="4" t="str" cm="1">
        <f t="array" ref="AA321">_xlfn.IFS(OR(AB321="December", AB321="February", AB321="January"), "Winter", OR(AB321="March", AB321="April", AB321="May"), "Spring", OR(AB321="June", AB321="July", AB321="August"), "Summer", TRUE, "Autumn")</f>
        <v>Spring</v>
      </c>
      <c r="AB321" s="7" t="str">
        <f>TEXT(Z321, "mmmm")</f>
        <v>April</v>
      </c>
      <c r="AC321" s="1" t="str">
        <f>TEXT(Z321, "dddd")</f>
        <v>Thursday</v>
      </c>
      <c r="AD321" s="4" t="s">
        <v>62</v>
      </c>
      <c r="AE321" s="4" t="s">
        <v>62</v>
      </c>
      <c r="AF321" s="4" t="s">
        <v>63</v>
      </c>
      <c r="AG321" s="4" t="s">
        <v>88</v>
      </c>
      <c r="AH321" s="3">
        <v>11</v>
      </c>
    </row>
    <row r="322" spans="1:34">
      <c r="A322" s="4" t="s">
        <v>749</v>
      </c>
      <c r="B322" s="3">
        <v>41</v>
      </c>
      <c r="C322" s="9" t="str" cm="1">
        <f t="array" ref="C322">_xlfn.IFS(B322&gt;65,"+65",B322&gt;54,"55-65",B322&gt;44,"45-54",B322&gt;35,"36-44",B322&gt;25,"26-35",B322&gt;=18,"18-25")</f>
        <v>36-44</v>
      </c>
      <c r="D322" s="4" t="s">
        <v>78</v>
      </c>
      <c r="E322" s="4" t="s">
        <v>51</v>
      </c>
      <c r="F322" s="4" t="s">
        <v>67</v>
      </c>
      <c r="G322" s="4" t="s">
        <v>68</v>
      </c>
      <c r="H322" s="4" t="s">
        <v>331</v>
      </c>
      <c r="I322" s="4" t="s">
        <v>194</v>
      </c>
      <c r="J322" s="5">
        <v>279.08</v>
      </c>
      <c r="K322" s="3">
        <v>10</v>
      </c>
      <c r="L322" s="4" t="str">
        <f>IF(AND(J322&gt;350,K322&gt;6), "True","False")</f>
        <v>False</v>
      </c>
      <c r="M322" s="4" t="s">
        <v>56</v>
      </c>
      <c r="N322" s="3">
        <v>4</v>
      </c>
      <c r="O322" s="4" t="str" cm="1">
        <f t="array" ref="O322">_xlfn.IFS(P322&lt;=2,"Poor",P322=3,"Average",P322&gt;=4,"Good")</f>
        <v>Poor</v>
      </c>
      <c r="P322" s="3">
        <v>2</v>
      </c>
      <c r="Q322" s="2">
        <v>1</v>
      </c>
      <c r="R322" s="4" t="s">
        <v>72</v>
      </c>
      <c r="S322" s="4" t="s">
        <v>58</v>
      </c>
      <c r="T322" s="3">
        <v>2</v>
      </c>
      <c r="U322" s="4" t="str" cm="1">
        <f t="array" ref="U322">_xlfn.IFS(V322&lt;=4, "Dissatisfied",V322&lt;=7,"Neutral",V322&gt;=8,"Satisfied")</f>
        <v>Neutral</v>
      </c>
      <c r="V322" s="3">
        <v>7</v>
      </c>
      <c r="W322" s="4" t="s">
        <v>85</v>
      </c>
      <c r="X322" s="4" t="s">
        <v>60</v>
      </c>
      <c r="Y322" s="4" t="s">
        <v>119</v>
      </c>
      <c r="Z322" s="1">
        <v>45407</v>
      </c>
      <c r="AA322" s="4" t="str" cm="1">
        <f t="array" ref="AA322">_xlfn.IFS(OR(AB322="December", AB322="February", AB322="January"), "Winter", OR(AB322="March", AB322="April", AB322="May"), "Spring", OR(AB322="June", AB322="July", AB322="August"), "Summer", TRUE, "Autumn")</f>
        <v>Spring</v>
      </c>
      <c r="AB322" s="7" t="str">
        <f>TEXT(Z322, "mmmm")</f>
        <v>April</v>
      </c>
      <c r="AC322" s="1" t="str">
        <f>TEXT(Z322, "dddd")</f>
        <v>Thursday</v>
      </c>
      <c r="AD322" s="4" t="s">
        <v>76</v>
      </c>
      <c r="AE322" s="4" t="s">
        <v>62</v>
      </c>
      <c r="AF322" s="4" t="s">
        <v>102</v>
      </c>
      <c r="AG322" s="4" t="s">
        <v>88</v>
      </c>
      <c r="AH322" s="3">
        <v>3</v>
      </c>
    </row>
    <row r="323" spans="1:34">
      <c r="A323" s="4" t="s">
        <v>750</v>
      </c>
      <c r="B323" s="3">
        <v>39</v>
      </c>
      <c r="C323" s="9" t="str" cm="1">
        <f t="array" ref="C323">_xlfn.IFS(B323&gt;65,"+65",B323&gt;54,"55-65",B323&gt;44,"45-54",B323&gt;35,"36-44",B323&gt;25,"26-35",B323&gt;=18,"18-25")</f>
        <v>36-44</v>
      </c>
      <c r="D323" s="4" t="s">
        <v>160</v>
      </c>
      <c r="E323" s="4" t="s">
        <v>72</v>
      </c>
      <c r="F323" s="4" t="s">
        <v>95</v>
      </c>
      <c r="G323" s="4" t="s">
        <v>68</v>
      </c>
      <c r="H323" s="4" t="s">
        <v>751</v>
      </c>
      <c r="I323" s="4" t="s">
        <v>169</v>
      </c>
      <c r="J323" s="5">
        <v>161.85</v>
      </c>
      <c r="K323" s="3">
        <v>9</v>
      </c>
      <c r="L323" s="4" t="str">
        <f>IF(AND(J323&gt;350,K323&gt;6), "True","False")</f>
        <v>False</v>
      </c>
      <c r="M323" s="4" t="s">
        <v>71</v>
      </c>
      <c r="N323" s="3">
        <v>5</v>
      </c>
      <c r="O323" s="4" t="str" cm="1">
        <f t="array" ref="O323">_xlfn.IFS(P323&lt;=2,"Poor",P323=3,"Average",P323&gt;=4,"Good")</f>
        <v>Average</v>
      </c>
      <c r="P323" s="3">
        <v>3</v>
      </c>
      <c r="Q323" s="2">
        <v>0</v>
      </c>
      <c r="R323" s="4" t="s">
        <v>72</v>
      </c>
      <c r="S323" s="4" t="s">
        <v>73</v>
      </c>
      <c r="T323" s="3">
        <v>0</v>
      </c>
      <c r="U323" s="4" t="str" cm="1">
        <f t="array" ref="U323">_xlfn.IFS(V323&lt;=4, "Dissatisfied",V323&lt;=7,"Neutral",V323&gt;=8,"Satisfied")</f>
        <v>Dissatisfied</v>
      </c>
      <c r="V323" s="3">
        <v>4</v>
      </c>
      <c r="W323" s="4" t="s">
        <v>85</v>
      </c>
      <c r="X323" s="4" t="s">
        <v>60</v>
      </c>
      <c r="Y323" s="4" t="s">
        <v>111</v>
      </c>
      <c r="Z323" s="1">
        <v>45407</v>
      </c>
      <c r="AA323" s="4" t="str" cm="1">
        <f t="array" ref="AA323">_xlfn.IFS(OR(AB323="December", AB323="February", AB323="January"), "Winter", OR(AB323="March", AB323="April", AB323="May"), "Spring", OR(AB323="June", AB323="July", AB323="August"), "Summer", TRUE, "Autumn")</f>
        <v>Spring</v>
      </c>
      <c r="AB323" s="7" t="str">
        <f>TEXT(Z323, "mmmm")</f>
        <v>April</v>
      </c>
      <c r="AC323" s="1" t="str">
        <f>TEXT(Z323, "dddd")</f>
        <v>Thursday</v>
      </c>
      <c r="AD323" s="4" t="s">
        <v>62</v>
      </c>
      <c r="AE323" s="4" t="s">
        <v>76</v>
      </c>
      <c r="AF323" s="4" t="s">
        <v>63</v>
      </c>
      <c r="AG323" s="4" t="s">
        <v>88</v>
      </c>
      <c r="AH323" s="3">
        <v>10</v>
      </c>
    </row>
    <row r="324" spans="1:34">
      <c r="A324" s="4" t="s">
        <v>752</v>
      </c>
      <c r="B324" s="3">
        <v>37</v>
      </c>
      <c r="C324" s="9" t="str" cm="1">
        <f t="array" ref="C324">_xlfn.IFS(B324&gt;65,"+65",B324&gt;54,"55-65",B324&gt;44,"45-54",B324&gt;35,"36-44",B324&gt;25,"26-35",B324&gt;=18,"18-25")</f>
        <v>36-44</v>
      </c>
      <c r="D324" s="4" t="s">
        <v>66</v>
      </c>
      <c r="E324" s="4" t="s">
        <v>51</v>
      </c>
      <c r="F324" s="4" t="s">
        <v>95</v>
      </c>
      <c r="G324" s="4" t="s">
        <v>80</v>
      </c>
      <c r="H324" s="4" t="s">
        <v>753</v>
      </c>
      <c r="I324" s="4" t="s">
        <v>156</v>
      </c>
      <c r="J324" s="5">
        <v>298.38</v>
      </c>
      <c r="K324" s="3">
        <v>4</v>
      </c>
      <c r="L324" s="4" t="str">
        <f>IF(AND(J324&gt;350,K324&gt;6), "True","False")</f>
        <v>False</v>
      </c>
      <c r="M324" s="4" t="s">
        <v>83</v>
      </c>
      <c r="N324" s="3">
        <v>3</v>
      </c>
      <c r="O324" s="4" t="str" cm="1">
        <f t="array" ref="O324">_xlfn.IFS(P324&lt;=2,"Poor",P324=3,"Average",P324&gt;=4,"Good")</f>
        <v>Good</v>
      </c>
      <c r="P324" s="3">
        <v>4</v>
      </c>
      <c r="Q324" s="2">
        <v>2</v>
      </c>
      <c r="R324" s="4" t="s">
        <v>72</v>
      </c>
      <c r="S324" s="4" t="s">
        <v>73</v>
      </c>
      <c r="T324" s="3">
        <v>0</v>
      </c>
      <c r="U324" s="4" t="str" cm="1">
        <f t="array" ref="U324">_xlfn.IFS(V324&lt;=4, "Dissatisfied",V324&lt;=7,"Neutral",V324&gt;=8,"Satisfied")</f>
        <v>Dissatisfied</v>
      </c>
      <c r="V324" s="3">
        <v>2</v>
      </c>
      <c r="W324" s="4" t="s">
        <v>59</v>
      </c>
      <c r="X324" s="4" t="s">
        <v>74</v>
      </c>
      <c r="Y324" s="4" t="s">
        <v>61</v>
      </c>
      <c r="Z324" s="1">
        <v>45409</v>
      </c>
      <c r="AA324" s="4" t="str" cm="1">
        <f t="array" ref="AA324">_xlfn.IFS(OR(AB324="December", AB324="February", AB324="January"), "Winter", OR(AB324="March", AB324="April", AB324="May"), "Spring", OR(AB324="June", AB324="July", AB324="August"), "Summer", TRUE, "Autumn")</f>
        <v>Spring</v>
      </c>
      <c r="AB324" s="7" t="str">
        <f>TEXT(Z324, "mmmm")</f>
        <v>April</v>
      </c>
      <c r="AC324" s="1" t="str">
        <f>TEXT(Z324, "dddd")</f>
        <v>Saturday</v>
      </c>
      <c r="AD324" s="4" t="s">
        <v>76</v>
      </c>
      <c r="AE324" s="4" t="s">
        <v>62</v>
      </c>
      <c r="AF324" s="4" t="s">
        <v>63</v>
      </c>
      <c r="AG324" s="4" t="s">
        <v>64</v>
      </c>
      <c r="AH324" s="3">
        <v>3</v>
      </c>
    </row>
    <row r="325" spans="1:34">
      <c r="A325" s="4" t="s">
        <v>754</v>
      </c>
      <c r="B325" s="3">
        <v>28</v>
      </c>
      <c r="C325" s="9" t="str" cm="1">
        <f t="array" ref="C325">_xlfn.IFS(B325&gt;65,"+65",B325&gt;54,"55-65",B325&gt;44,"45-54",B325&gt;35,"36-44",B325&gt;25,"26-35",B325&gt;=18,"18-25")</f>
        <v>26-35</v>
      </c>
      <c r="D325" s="4" t="s">
        <v>66</v>
      </c>
      <c r="E325" s="4" t="s">
        <v>51</v>
      </c>
      <c r="F325" s="4" t="s">
        <v>67</v>
      </c>
      <c r="G325" s="4" t="s">
        <v>80</v>
      </c>
      <c r="H325" s="4" t="s">
        <v>755</v>
      </c>
      <c r="I325" s="4" t="s">
        <v>164</v>
      </c>
      <c r="J325" s="5">
        <v>405.66</v>
      </c>
      <c r="K325" s="3">
        <v>11</v>
      </c>
      <c r="L325" s="4" t="str">
        <f>IF(AND(J325&gt;350,K325&gt;6), "True","False")</f>
        <v>True</v>
      </c>
      <c r="M325" s="4" t="s">
        <v>56</v>
      </c>
      <c r="N325" s="3">
        <v>5</v>
      </c>
      <c r="O325" s="4" t="str" cm="1">
        <f t="array" ref="O325">_xlfn.IFS(P325&lt;=2,"Poor",P325=3,"Average",P325&gt;=4,"Good")</f>
        <v>Poor</v>
      </c>
      <c r="P325" s="3">
        <v>2</v>
      </c>
      <c r="Q325" s="2">
        <v>1</v>
      </c>
      <c r="R325" s="4" t="s">
        <v>85</v>
      </c>
      <c r="S325" s="4" t="s">
        <v>84</v>
      </c>
      <c r="T325" s="3">
        <v>1</v>
      </c>
      <c r="U325" s="4" t="str" cm="1">
        <f t="array" ref="U325">_xlfn.IFS(V325&lt;=4, "Dissatisfied",V325&lt;=7,"Neutral",V325&gt;=8,"Satisfied")</f>
        <v>Dissatisfied</v>
      </c>
      <c r="V325" s="3">
        <v>3</v>
      </c>
      <c r="W325" s="4" t="s">
        <v>72</v>
      </c>
      <c r="X325" s="4" t="s">
        <v>74</v>
      </c>
      <c r="Y325" s="4" t="s">
        <v>61</v>
      </c>
      <c r="Z325" s="1">
        <v>45409</v>
      </c>
      <c r="AA325" s="4" t="str" cm="1">
        <f t="array" ref="AA325">_xlfn.IFS(OR(AB325="December", AB325="February", AB325="January"), "Winter", OR(AB325="March", AB325="April", AB325="May"), "Spring", OR(AB325="June", AB325="July", AB325="August"), "Summer", TRUE, "Autumn")</f>
        <v>Spring</v>
      </c>
      <c r="AB325" s="7" t="str">
        <f>TEXT(Z325, "mmmm")</f>
        <v>April</v>
      </c>
      <c r="AC325" s="1" t="str">
        <f>TEXT(Z325, "dddd")</f>
        <v>Saturday</v>
      </c>
      <c r="AD325" s="4" t="s">
        <v>62</v>
      </c>
      <c r="AE325" s="4" t="s">
        <v>76</v>
      </c>
      <c r="AF325" s="4" t="s">
        <v>92</v>
      </c>
      <c r="AG325" s="4" t="s">
        <v>93</v>
      </c>
      <c r="AH325" s="3">
        <v>11</v>
      </c>
    </row>
    <row r="326" spans="1:34">
      <c r="A326" s="4" t="s">
        <v>756</v>
      </c>
      <c r="B326" s="3">
        <v>25</v>
      </c>
      <c r="C326" s="9" t="str" cm="1">
        <f t="array" ref="C326">_xlfn.IFS(B326&gt;65,"+65",B326&gt;54,"55-65",B326&gt;44,"45-54",B326&gt;35,"36-44",B326&gt;25,"26-35",B326&gt;=18,"18-25")</f>
        <v>18-25</v>
      </c>
      <c r="D326" s="4" t="s">
        <v>78</v>
      </c>
      <c r="E326" s="4" t="s">
        <v>72</v>
      </c>
      <c r="F326" s="4" t="s">
        <v>95</v>
      </c>
      <c r="G326" s="4" t="s">
        <v>53</v>
      </c>
      <c r="H326" s="4" t="s">
        <v>757</v>
      </c>
      <c r="I326" s="4" t="s">
        <v>100</v>
      </c>
      <c r="J326" s="5">
        <v>159.53</v>
      </c>
      <c r="K326" s="3">
        <v>11</v>
      </c>
      <c r="L326" s="4" t="str">
        <f>IF(AND(J326&gt;350,K326&gt;6), "True","False")</f>
        <v>False</v>
      </c>
      <c r="M326" s="4" t="s">
        <v>83</v>
      </c>
      <c r="N326" s="3">
        <v>3</v>
      </c>
      <c r="O326" s="4" t="str" cm="1">
        <f t="array" ref="O326">_xlfn.IFS(P326&lt;=2,"Poor",P326=3,"Average",P326&gt;=4,"Good")</f>
        <v>Good</v>
      </c>
      <c r="P326" s="3">
        <v>4</v>
      </c>
      <c r="Q326" s="2">
        <v>2</v>
      </c>
      <c r="R326" s="4" t="s">
        <v>59</v>
      </c>
      <c r="S326" s="4" t="s">
        <v>73</v>
      </c>
      <c r="T326" s="3">
        <v>0</v>
      </c>
      <c r="U326" s="4" t="str" cm="1">
        <f t="array" ref="U326">_xlfn.IFS(V326&lt;=4, "Dissatisfied",V326&lt;=7,"Neutral",V326&gt;=8,"Satisfied")</f>
        <v>Dissatisfied</v>
      </c>
      <c r="V326" s="3">
        <v>3</v>
      </c>
      <c r="W326" s="4" t="s">
        <v>59</v>
      </c>
      <c r="X326" s="4" t="s">
        <v>101</v>
      </c>
      <c r="Y326" s="4" t="s">
        <v>61</v>
      </c>
      <c r="Z326" s="1">
        <v>45409</v>
      </c>
      <c r="AA326" s="4" t="str" cm="1">
        <f t="array" ref="AA326">_xlfn.IFS(OR(AB326="December", AB326="February", AB326="January"), "Winter", OR(AB326="March", AB326="April", AB326="May"), "Spring", OR(AB326="June", AB326="July", AB326="August"), "Summer", TRUE, "Autumn")</f>
        <v>Spring</v>
      </c>
      <c r="AB326" s="7" t="str">
        <f>TEXT(Z326, "mmmm")</f>
        <v>April</v>
      </c>
      <c r="AC326" s="1" t="str">
        <f>TEXT(Z326, "dddd")</f>
        <v>Saturday</v>
      </c>
      <c r="AD326" s="4" t="s">
        <v>62</v>
      </c>
      <c r="AE326" s="4" t="s">
        <v>62</v>
      </c>
      <c r="AF326" s="4" t="s">
        <v>92</v>
      </c>
      <c r="AG326" s="4" t="s">
        <v>93</v>
      </c>
      <c r="AH326" s="3">
        <v>7</v>
      </c>
    </row>
    <row r="327" spans="1:34">
      <c r="A327" s="4" t="s">
        <v>758</v>
      </c>
      <c r="B327" s="3">
        <v>24</v>
      </c>
      <c r="C327" s="9" t="str" cm="1">
        <f t="array" ref="C327">_xlfn.IFS(B327&gt;65,"+65",B327&gt;54,"55-65",B327&gt;44,"45-54",B327&gt;35,"36-44",B327&gt;25,"26-35",B327&gt;=18,"18-25")</f>
        <v>18-25</v>
      </c>
      <c r="D327" s="4" t="s">
        <v>66</v>
      </c>
      <c r="E327" s="4" t="s">
        <v>51</v>
      </c>
      <c r="F327" s="4" t="s">
        <v>95</v>
      </c>
      <c r="G327" s="4" t="s">
        <v>80</v>
      </c>
      <c r="H327" s="4" t="s">
        <v>759</v>
      </c>
      <c r="I327" s="4" t="s">
        <v>118</v>
      </c>
      <c r="J327" s="5">
        <v>205.36</v>
      </c>
      <c r="K327" s="3">
        <v>12</v>
      </c>
      <c r="L327" s="4" t="str">
        <f>IF(AND(J327&gt;350,K327&gt;6), "True","False")</f>
        <v>False</v>
      </c>
      <c r="M327" s="4" t="s">
        <v>56</v>
      </c>
      <c r="N327" s="3">
        <v>1</v>
      </c>
      <c r="O327" s="4" t="str" cm="1">
        <f t="array" ref="O327">_xlfn.IFS(P327&lt;=2,"Poor",P327=3,"Average",P327&gt;=4,"Good")</f>
        <v>Good</v>
      </c>
      <c r="P327" s="3">
        <v>5</v>
      </c>
      <c r="Q327" s="2">
        <v>2</v>
      </c>
      <c r="R327" s="4" t="s">
        <v>72</v>
      </c>
      <c r="S327" s="4" t="s">
        <v>73</v>
      </c>
      <c r="T327" s="3">
        <v>0</v>
      </c>
      <c r="U327" s="4" t="str" cm="1">
        <f t="array" ref="U327">_xlfn.IFS(V327&lt;=4, "Dissatisfied",V327&lt;=7,"Neutral",V327&gt;=8,"Satisfied")</f>
        <v>Dissatisfied</v>
      </c>
      <c r="V327" s="3">
        <v>1</v>
      </c>
      <c r="W327" s="4" t="s">
        <v>59</v>
      </c>
      <c r="X327" s="4" t="s">
        <v>74</v>
      </c>
      <c r="Y327" s="4" t="s">
        <v>119</v>
      </c>
      <c r="Z327" s="1">
        <v>45409</v>
      </c>
      <c r="AA327" s="4" t="str" cm="1">
        <f t="array" ref="AA327">_xlfn.IFS(OR(AB327="December", AB327="February", AB327="January"), "Winter", OR(AB327="March", AB327="April", AB327="May"), "Spring", OR(AB327="June", AB327="July", AB327="August"), "Summer", TRUE, "Autumn")</f>
        <v>Spring</v>
      </c>
      <c r="AB327" s="7" t="str">
        <f>TEXT(Z327, "mmmm")</f>
        <v>April</v>
      </c>
      <c r="AC327" s="1" t="str">
        <f>TEXT(Z327, "dddd")</f>
        <v>Saturday</v>
      </c>
      <c r="AD327" s="4" t="s">
        <v>76</v>
      </c>
      <c r="AE327" s="4" t="s">
        <v>76</v>
      </c>
      <c r="AF327" s="4" t="s">
        <v>92</v>
      </c>
      <c r="AG327" s="4" t="s">
        <v>93</v>
      </c>
      <c r="AH327" s="3">
        <v>5</v>
      </c>
    </row>
    <row r="328" spans="1:34">
      <c r="A328" s="4" t="s">
        <v>760</v>
      </c>
      <c r="B328" s="3">
        <v>40</v>
      </c>
      <c r="C328" s="9" t="str" cm="1">
        <f t="array" ref="C328">_xlfn.IFS(B328&gt;65,"+65",B328&gt;54,"55-65",B328&gt;44,"45-54",B328&gt;35,"36-44",B328&gt;25,"26-35",B328&gt;=18,"18-25")</f>
        <v>36-44</v>
      </c>
      <c r="D328" s="4" t="s">
        <v>188</v>
      </c>
      <c r="E328" s="4" t="s">
        <v>72</v>
      </c>
      <c r="F328" s="4" t="s">
        <v>67</v>
      </c>
      <c r="G328" s="4" t="s">
        <v>53</v>
      </c>
      <c r="H328" s="4" t="s">
        <v>761</v>
      </c>
      <c r="I328" s="4" t="s">
        <v>169</v>
      </c>
      <c r="J328" s="5">
        <v>162.22</v>
      </c>
      <c r="K328" s="3">
        <v>10</v>
      </c>
      <c r="L328" s="4" t="str">
        <f>IF(AND(J328&gt;350,K328&gt;6), "True","False")</f>
        <v>False</v>
      </c>
      <c r="M328" s="4" t="s">
        <v>71</v>
      </c>
      <c r="N328" s="3">
        <v>5</v>
      </c>
      <c r="O328" s="4" t="str" cm="1">
        <f t="array" ref="O328">_xlfn.IFS(P328&lt;=2,"Poor",P328=3,"Average",P328&gt;=4,"Good")</f>
        <v>Good</v>
      </c>
      <c r="P328" s="3">
        <v>5</v>
      </c>
      <c r="Q328" s="2">
        <v>0.2</v>
      </c>
      <c r="R328" s="4" t="s">
        <v>72</v>
      </c>
      <c r="S328" s="4" t="s">
        <v>84</v>
      </c>
      <c r="T328" s="3">
        <v>1</v>
      </c>
      <c r="U328" s="4" t="str" cm="1">
        <f t="array" ref="U328">_xlfn.IFS(V328&lt;=4, "Dissatisfied",V328&lt;=7,"Neutral",V328&gt;=8,"Satisfied")</f>
        <v>Dissatisfied</v>
      </c>
      <c r="V328" s="3">
        <v>1</v>
      </c>
      <c r="W328" s="4" t="s">
        <v>85</v>
      </c>
      <c r="X328" s="4" t="s">
        <v>101</v>
      </c>
      <c r="Y328" s="4" t="s">
        <v>111</v>
      </c>
      <c r="Z328" s="1">
        <v>45410</v>
      </c>
      <c r="AA328" s="4" t="str" cm="1">
        <f t="array" ref="AA328">_xlfn.IFS(OR(AB328="December", AB328="February", AB328="January"), "Winter", OR(AB328="March", AB328="April", AB328="May"), "Spring", OR(AB328="June", AB328="July", AB328="August"), "Summer", TRUE, "Autumn")</f>
        <v>Spring</v>
      </c>
      <c r="AB328" s="7" t="str">
        <f>TEXT(Z328, "mmmm")</f>
        <v>April</v>
      </c>
      <c r="AC328" s="1" t="str">
        <f>TEXT(Z328, "dddd")</f>
        <v>Sunday</v>
      </c>
      <c r="AD328" s="4" t="s">
        <v>62</v>
      </c>
      <c r="AE328" s="4" t="s">
        <v>62</v>
      </c>
      <c r="AF328" s="4" t="s">
        <v>102</v>
      </c>
      <c r="AG328" s="4" t="s">
        <v>88</v>
      </c>
      <c r="AH328" s="3">
        <v>8</v>
      </c>
    </row>
    <row r="329" spans="1:34">
      <c r="A329" s="4" t="s">
        <v>762</v>
      </c>
      <c r="B329" s="3">
        <v>35</v>
      </c>
      <c r="C329" s="9" t="str" cm="1">
        <f t="array" ref="C329">_xlfn.IFS(B329&gt;65,"+65",B329&gt;54,"55-65",B329&gt;44,"45-54",B329&gt;35,"36-44",B329&gt;25,"26-35",B329&gt;=18,"18-25")</f>
        <v>26-35</v>
      </c>
      <c r="D329" s="4" t="s">
        <v>66</v>
      </c>
      <c r="E329" s="4" t="s">
        <v>51</v>
      </c>
      <c r="F329" s="4" t="s">
        <v>67</v>
      </c>
      <c r="G329" s="4" t="s">
        <v>68</v>
      </c>
      <c r="H329" s="4" t="s">
        <v>763</v>
      </c>
      <c r="I329" s="4" t="s">
        <v>82</v>
      </c>
      <c r="J329" s="5">
        <v>411.83</v>
      </c>
      <c r="K329" s="3">
        <v>2</v>
      </c>
      <c r="L329" s="4" t="str">
        <f>IF(AND(J329&gt;350,K329&gt;6), "True","False")</f>
        <v>False</v>
      </c>
      <c r="M329" s="4" t="s">
        <v>71</v>
      </c>
      <c r="N329" s="3">
        <v>2</v>
      </c>
      <c r="O329" s="4" t="str" cm="1">
        <f t="array" ref="O329">_xlfn.IFS(P329&lt;=2,"Poor",P329=3,"Average",P329&gt;=4,"Good")</f>
        <v>Average</v>
      </c>
      <c r="P329" s="3">
        <v>3</v>
      </c>
      <c r="Q329" s="2">
        <v>2</v>
      </c>
      <c r="R329" s="4" t="s">
        <v>72</v>
      </c>
      <c r="S329" s="4" t="s">
        <v>58</v>
      </c>
      <c r="T329" s="3">
        <v>1</v>
      </c>
      <c r="U329" s="4" t="str" cm="1">
        <f t="array" ref="U329">_xlfn.IFS(V329&lt;=4, "Dissatisfied",V329&lt;=7,"Neutral",V329&gt;=8,"Satisfied")</f>
        <v>Dissatisfied</v>
      </c>
      <c r="V329" s="3">
        <v>3</v>
      </c>
      <c r="W329" s="4" t="s">
        <v>85</v>
      </c>
      <c r="X329" s="4" t="s">
        <v>74</v>
      </c>
      <c r="Y329" s="4" t="s">
        <v>86</v>
      </c>
      <c r="Z329" s="1">
        <v>45410</v>
      </c>
      <c r="AA329" s="4" t="str" cm="1">
        <f t="array" ref="AA329">_xlfn.IFS(OR(AB329="December", AB329="February", AB329="January"), "Winter", OR(AB329="March", AB329="April", AB329="May"), "Spring", OR(AB329="June", AB329="July", AB329="August"), "Summer", TRUE, "Autumn")</f>
        <v>Spring</v>
      </c>
      <c r="AB329" s="7" t="str">
        <f>TEXT(Z329, "mmmm")</f>
        <v>April</v>
      </c>
      <c r="AC329" s="1" t="str">
        <f>TEXT(Z329, "dddd")</f>
        <v>Sunday</v>
      </c>
      <c r="AD329" s="4" t="s">
        <v>62</v>
      </c>
      <c r="AE329" s="4" t="s">
        <v>62</v>
      </c>
      <c r="AF329" s="4" t="s">
        <v>92</v>
      </c>
      <c r="AG329" s="4" t="s">
        <v>64</v>
      </c>
      <c r="AH329" s="3">
        <v>10</v>
      </c>
    </row>
    <row r="330" spans="1:34">
      <c r="A330" s="4" t="s">
        <v>764</v>
      </c>
      <c r="B330" s="3">
        <v>29</v>
      </c>
      <c r="C330" s="9" t="str" cm="1">
        <f t="array" ref="C330">_xlfn.IFS(B330&gt;65,"+65",B330&gt;54,"55-65",B330&gt;44,"45-54",B330&gt;35,"36-44",B330&gt;25,"26-35",B330&gt;=18,"18-25")</f>
        <v>26-35</v>
      </c>
      <c r="D330" s="4" t="s">
        <v>78</v>
      </c>
      <c r="E330" s="4" t="s">
        <v>51</v>
      </c>
      <c r="F330" s="4" t="s">
        <v>52</v>
      </c>
      <c r="G330" s="4" t="s">
        <v>80</v>
      </c>
      <c r="H330" s="4" t="s">
        <v>765</v>
      </c>
      <c r="I330" s="4" t="s">
        <v>110</v>
      </c>
      <c r="J330" s="5">
        <v>478.85</v>
      </c>
      <c r="K330" s="3">
        <v>10</v>
      </c>
      <c r="L330" s="4" t="str">
        <f>IF(AND(J330&gt;350,K330&gt;6), "True","False")</f>
        <v>True</v>
      </c>
      <c r="M330" s="4" t="s">
        <v>71</v>
      </c>
      <c r="N330" s="3">
        <v>4</v>
      </c>
      <c r="O330" s="4" t="str" cm="1">
        <f t="array" ref="O330">_xlfn.IFS(P330&lt;=2,"Poor",P330=3,"Average",P330&gt;=4,"Good")</f>
        <v>Poor</v>
      </c>
      <c r="P330" s="3">
        <v>2</v>
      </c>
      <c r="Q330" s="2">
        <v>2</v>
      </c>
      <c r="R330" s="4" t="s">
        <v>57</v>
      </c>
      <c r="S330" s="4" t="s">
        <v>58</v>
      </c>
      <c r="T330" s="3">
        <v>2</v>
      </c>
      <c r="U330" s="4" t="str" cm="1">
        <f t="array" ref="U330">_xlfn.IFS(V330&lt;=4, "Dissatisfied",V330&lt;=7,"Neutral",V330&gt;=8,"Satisfied")</f>
        <v>Dissatisfied</v>
      </c>
      <c r="V330" s="3">
        <v>2</v>
      </c>
      <c r="W330" s="4" t="s">
        <v>57</v>
      </c>
      <c r="X330" s="4" t="s">
        <v>101</v>
      </c>
      <c r="Y330" s="4" t="s">
        <v>61</v>
      </c>
      <c r="Z330" s="1">
        <v>45410</v>
      </c>
      <c r="AA330" s="4" t="str" cm="1">
        <f t="array" ref="AA330">_xlfn.IFS(OR(AB330="December", AB330="February", AB330="January"), "Winter", OR(AB330="March", AB330="April", AB330="May"), "Spring", OR(AB330="June", AB330="July", AB330="August"), "Summer", TRUE, "Autumn")</f>
        <v>Spring</v>
      </c>
      <c r="AB330" s="7" t="str">
        <f>TEXT(Z330, "mmmm")</f>
        <v>April</v>
      </c>
      <c r="AC330" s="1" t="str">
        <f>TEXT(Z330, "dddd")</f>
        <v>Sunday</v>
      </c>
      <c r="AD330" s="4" t="s">
        <v>76</v>
      </c>
      <c r="AE330" s="4" t="s">
        <v>76</v>
      </c>
      <c r="AF330" s="4" t="s">
        <v>87</v>
      </c>
      <c r="AG330" s="4" t="s">
        <v>88</v>
      </c>
      <c r="AH330" s="3">
        <v>4</v>
      </c>
    </row>
    <row r="331" spans="1:34">
      <c r="A331" s="4" t="s">
        <v>766</v>
      </c>
      <c r="B331" s="3">
        <v>26</v>
      </c>
      <c r="C331" s="9" t="str" cm="1">
        <f t="array" ref="C331">_xlfn.IFS(B331&gt;65,"+65",B331&gt;54,"55-65",B331&gt;44,"45-54",B331&gt;35,"36-44",B331&gt;25,"26-35",B331&gt;=18,"18-25")</f>
        <v>26-35</v>
      </c>
      <c r="D331" s="4" t="s">
        <v>78</v>
      </c>
      <c r="E331" s="4" t="s">
        <v>72</v>
      </c>
      <c r="F331" s="4" t="s">
        <v>52</v>
      </c>
      <c r="G331" s="4" t="s">
        <v>80</v>
      </c>
      <c r="H331" s="4" t="s">
        <v>767</v>
      </c>
      <c r="I331" s="4" t="s">
        <v>122</v>
      </c>
      <c r="J331" s="5">
        <v>419.98</v>
      </c>
      <c r="K331" s="3">
        <v>7</v>
      </c>
      <c r="L331" s="4" t="str">
        <f>IF(AND(J331&gt;350,K331&gt;6), "True","False")</f>
        <v>True</v>
      </c>
      <c r="M331" s="4" t="s">
        <v>71</v>
      </c>
      <c r="N331" s="3">
        <v>4</v>
      </c>
      <c r="O331" s="4" t="str" cm="1">
        <f t="array" ref="O331">_xlfn.IFS(P331&lt;=2,"Poor",P331=3,"Average",P331&gt;=4,"Good")</f>
        <v>Good</v>
      </c>
      <c r="P331" s="3">
        <v>4</v>
      </c>
      <c r="Q331" s="2">
        <v>0</v>
      </c>
      <c r="R331" s="4" t="s">
        <v>57</v>
      </c>
      <c r="S331" s="4" t="s">
        <v>73</v>
      </c>
      <c r="T331" s="3">
        <v>0</v>
      </c>
      <c r="U331" s="4" t="str" cm="1">
        <f t="array" ref="U331">_xlfn.IFS(V331&lt;=4, "Dissatisfied",V331&lt;=7,"Neutral",V331&gt;=8,"Satisfied")</f>
        <v>Satisfied</v>
      </c>
      <c r="V331" s="3">
        <v>10</v>
      </c>
      <c r="W331" s="4" t="s">
        <v>85</v>
      </c>
      <c r="X331" s="4" t="s">
        <v>101</v>
      </c>
      <c r="Y331" s="4" t="s">
        <v>86</v>
      </c>
      <c r="Z331" s="1">
        <v>45410</v>
      </c>
      <c r="AA331" s="4" t="str" cm="1">
        <f t="array" ref="AA331">_xlfn.IFS(OR(AB331="December", AB331="February", AB331="January"), "Winter", OR(AB331="March", AB331="April", AB331="May"), "Spring", OR(AB331="June", AB331="July", AB331="August"), "Summer", TRUE, "Autumn")</f>
        <v>Spring</v>
      </c>
      <c r="AB331" s="7" t="str">
        <f>TEXT(Z331, "mmmm")</f>
        <v>April</v>
      </c>
      <c r="AC331" s="1" t="str">
        <f>TEXT(Z331, "dddd")</f>
        <v>Sunday</v>
      </c>
      <c r="AD331" s="4" t="s">
        <v>62</v>
      </c>
      <c r="AE331" s="4" t="s">
        <v>62</v>
      </c>
      <c r="AF331" s="4" t="s">
        <v>92</v>
      </c>
      <c r="AG331" s="4" t="s">
        <v>88</v>
      </c>
      <c r="AH331" s="3">
        <v>14</v>
      </c>
    </row>
    <row r="332" spans="1:34">
      <c r="A332" s="4" t="s">
        <v>768</v>
      </c>
      <c r="B332" s="3">
        <v>47</v>
      </c>
      <c r="C332" s="9" t="str" cm="1">
        <f t="array" ref="C332">_xlfn.IFS(B332&gt;65,"+65",B332&gt;54,"55-65",B332&gt;44,"45-54",B332&gt;35,"36-44",B332&gt;25,"26-35",B332&gt;=18,"18-25")</f>
        <v>45-54</v>
      </c>
      <c r="D332" s="4" t="s">
        <v>78</v>
      </c>
      <c r="E332" s="4" t="s">
        <v>51</v>
      </c>
      <c r="F332" s="4" t="s">
        <v>67</v>
      </c>
      <c r="G332" s="4" t="s">
        <v>53</v>
      </c>
      <c r="H332" s="4" t="s">
        <v>769</v>
      </c>
      <c r="I332" s="4" t="s">
        <v>151</v>
      </c>
      <c r="J332" s="5">
        <v>324.41000000000003</v>
      </c>
      <c r="K332" s="3">
        <v>7</v>
      </c>
      <c r="L332" s="4" t="str">
        <f>IF(AND(J332&gt;350,K332&gt;6), "True","False")</f>
        <v>False</v>
      </c>
      <c r="M332" s="4" t="s">
        <v>83</v>
      </c>
      <c r="N332" s="3">
        <v>4</v>
      </c>
      <c r="O332" s="4" t="str" cm="1">
        <f t="array" ref="O332">_xlfn.IFS(P332&lt;=2,"Poor",P332=3,"Average",P332&gt;=4,"Good")</f>
        <v>Good</v>
      </c>
      <c r="P332" s="3">
        <v>4</v>
      </c>
      <c r="Q332" s="2">
        <v>1</v>
      </c>
      <c r="R332" s="4" t="s">
        <v>57</v>
      </c>
      <c r="S332" s="4" t="s">
        <v>58</v>
      </c>
      <c r="T332" s="3">
        <v>0</v>
      </c>
      <c r="U332" s="4" t="str" cm="1">
        <f t="array" ref="U332">_xlfn.IFS(V332&lt;=4, "Dissatisfied",V332&lt;=7,"Neutral",V332&gt;=8,"Satisfied")</f>
        <v>Neutral</v>
      </c>
      <c r="V332" s="3">
        <v>5</v>
      </c>
      <c r="W332" s="4" t="s">
        <v>85</v>
      </c>
      <c r="X332" s="4" t="s">
        <v>74</v>
      </c>
      <c r="Y332" s="4" t="s">
        <v>75</v>
      </c>
      <c r="Z332" s="1">
        <v>45411</v>
      </c>
      <c r="AA332" s="4" t="str" cm="1">
        <f t="array" ref="AA332">_xlfn.IFS(OR(AB332="December", AB332="February", AB332="January"), "Winter", OR(AB332="March", AB332="April", AB332="May"), "Spring", OR(AB332="June", AB332="July", AB332="August"), "Summer", TRUE, "Autumn")</f>
        <v>Spring</v>
      </c>
      <c r="AB332" s="7" t="str">
        <f>TEXT(Z332, "mmmm")</f>
        <v>April</v>
      </c>
      <c r="AC332" s="1" t="str">
        <f>TEXT(Z332, "dddd")</f>
        <v>Monday</v>
      </c>
      <c r="AD332" s="4" t="s">
        <v>62</v>
      </c>
      <c r="AE332" s="4" t="s">
        <v>62</v>
      </c>
      <c r="AF332" s="4" t="s">
        <v>63</v>
      </c>
      <c r="AG332" s="4" t="s">
        <v>88</v>
      </c>
      <c r="AH332" s="3">
        <v>4</v>
      </c>
    </row>
    <row r="333" spans="1:34">
      <c r="A333" s="4" t="s">
        <v>770</v>
      </c>
      <c r="B333" s="3">
        <v>42</v>
      </c>
      <c r="C333" s="9" t="str" cm="1">
        <f t="array" ref="C333">_xlfn.IFS(B333&gt;65,"+65",B333&gt;54,"55-65",B333&gt;44,"45-54",B333&gt;35,"36-44",B333&gt;25,"26-35",B333&gt;=18,"18-25")</f>
        <v>36-44</v>
      </c>
      <c r="D333" s="4" t="s">
        <v>225</v>
      </c>
      <c r="E333" s="4" t="s">
        <v>72</v>
      </c>
      <c r="F333" s="4" t="s">
        <v>52</v>
      </c>
      <c r="G333" s="4" t="s">
        <v>53</v>
      </c>
      <c r="H333" s="4" t="s">
        <v>771</v>
      </c>
      <c r="I333" s="4" t="s">
        <v>91</v>
      </c>
      <c r="J333" s="5">
        <v>157.21</v>
      </c>
      <c r="K333" s="3">
        <v>11</v>
      </c>
      <c r="L333" s="4" t="str">
        <f>IF(AND(J333&gt;350,K333&gt;6), "True","False")</f>
        <v>False</v>
      </c>
      <c r="M333" s="4" t="s">
        <v>56</v>
      </c>
      <c r="N333" s="3">
        <v>3</v>
      </c>
      <c r="O333" s="4" t="str" cm="1">
        <f t="array" ref="O333">_xlfn.IFS(P333&lt;=2,"Poor",P333=3,"Average",P333&gt;=4,"Good")</f>
        <v>Average</v>
      </c>
      <c r="P333" s="3">
        <v>3</v>
      </c>
      <c r="Q333" s="2">
        <v>0</v>
      </c>
      <c r="R333" s="4" t="s">
        <v>85</v>
      </c>
      <c r="S333" s="4" t="s">
        <v>58</v>
      </c>
      <c r="T333" s="3">
        <v>0</v>
      </c>
      <c r="U333" s="4" t="str" cm="1">
        <f t="array" ref="U333">_xlfn.IFS(V333&lt;=4, "Dissatisfied",V333&lt;=7,"Neutral",V333&gt;=8,"Satisfied")</f>
        <v>Dissatisfied</v>
      </c>
      <c r="V333" s="3">
        <v>3</v>
      </c>
      <c r="W333" s="4" t="s">
        <v>72</v>
      </c>
      <c r="X333" s="4" t="s">
        <v>74</v>
      </c>
      <c r="Y333" s="4" t="s">
        <v>75</v>
      </c>
      <c r="Z333" s="1">
        <v>45412</v>
      </c>
      <c r="AA333" s="4" t="str" cm="1">
        <f t="array" ref="AA333">_xlfn.IFS(OR(AB333="December", AB333="February", AB333="January"), "Winter", OR(AB333="March", AB333="April", AB333="May"), "Spring", OR(AB333="June", AB333="July", AB333="August"), "Summer", TRUE, "Autumn")</f>
        <v>Spring</v>
      </c>
      <c r="AB333" s="7" t="str">
        <f>TEXT(Z333, "mmmm")</f>
        <v>April</v>
      </c>
      <c r="AC333" s="1" t="str">
        <f>TEXT(Z333, "dddd")</f>
        <v>Tuesday</v>
      </c>
      <c r="AD333" s="4" t="s">
        <v>62</v>
      </c>
      <c r="AE333" s="4" t="s">
        <v>76</v>
      </c>
      <c r="AF333" s="4" t="s">
        <v>102</v>
      </c>
      <c r="AG333" s="4" t="s">
        <v>93</v>
      </c>
      <c r="AH333" s="3">
        <v>5</v>
      </c>
    </row>
    <row r="334" spans="1:34">
      <c r="A334" s="4" t="s">
        <v>772</v>
      </c>
      <c r="B334" s="3">
        <v>30</v>
      </c>
      <c r="C334" s="9" t="str" cm="1">
        <f t="array" ref="C334">_xlfn.IFS(B334&gt;65,"+65",B334&gt;54,"55-65",B334&gt;44,"45-54",B334&gt;35,"36-44",B334&gt;25,"26-35",B334&gt;=18,"18-25")</f>
        <v>26-35</v>
      </c>
      <c r="D334" s="4" t="s">
        <v>78</v>
      </c>
      <c r="E334" s="4" t="s">
        <v>72</v>
      </c>
      <c r="F334" s="4" t="s">
        <v>67</v>
      </c>
      <c r="G334" s="4" t="s">
        <v>80</v>
      </c>
      <c r="H334" s="4" t="s">
        <v>773</v>
      </c>
      <c r="I334" s="4" t="s">
        <v>133</v>
      </c>
      <c r="J334" s="5">
        <v>472.53</v>
      </c>
      <c r="K334" s="3">
        <v>11</v>
      </c>
      <c r="L334" s="4" t="str">
        <f>IF(AND(J334&gt;350,K334&gt;6), "True","False")</f>
        <v>True</v>
      </c>
      <c r="M334" s="4" t="s">
        <v>56</v>
      </c>
      <c r="N334" s="3">
        <v>4</v>
      </c>
      <c r="O334" s="4" t="str" cm="1">
        <f t="array" ref="O334">_xlfn.IFS(P334&lt;=2,"Poor",P334=3,"Average",P334&gt;=4,"Good")</f>
        <v>Poor</v>
      </c>
      <c r="P334" s="3">
        <v>1</v>
      </c>
      <c r="Q334" s="2">
        <v>1</v>
      </c>
      <c r="R334" s="4" t="s">
        <v>85</v>
      </c>
      <c r="S334" s="4" t="s">
        <v>84</v>
      </c>
      <c r="T334" s="3">
        <v>2</v>
      </c>
      <c r="U334" s="4" t="str" cm="1">
        <f t="array" ref="U334">_xlfn.IFS(V334&lt;=4, "Dissatisfied",V334&lt;=7,"Neutral",V334&gt;=8,"Satisfied")</f>
        <v>Neutral</v>
      </c>
      <c r="V334" s="3">
        <v>7</v>
      </c>
      <c r="W334" s="4" t="s">
        <v>85</v>
      </c>
      <c r="X334" s="4" t="s">
        <v>60</v>
      </c>
      <c r="Y334" s="4" t="s">
        <v>75</v>
      </c>
      <c r="Z334" s="1">
        <v>45412</v>
      </c>
      <c r="AA334" s="4" t="str" cm="1">
        <f t="array" ref="AA334">_xlfn.IFS(OR(AB334="December", AB334="February", AB334="January"), "Winter", OR(AB334="March", AB334="April", AB334="May"), "Spring", OR(AB334="June", AB334="July", AB334="August"), "Summer", TRUE, "Autumn")</f>
        <v>Spring</v>
      </c>
      <c r="AB334" s="7" t="str">
        <f>TEXT(Z334, "mmmm")</f>
        <v>April</v>
      </c>
      <c r="AC334" s="1" t="str">
        <f>TEXT(Z334, "dddd")</f>
        <v>Tuesday</v>
      </c>
      <c r="AD334" s="4" t="s">
        <v>76</v>
      </c>
      <c r="AE334" s="4" t="s">
        <v>76</v>
      </c>
      <c r="AF334" s="4" t="s">
        <v>102</v>
      </c>
      <c r="AG334" s="4" t="s">
        <v>93</v>
      </c>
      <c r="AH334" s="3">
        <v>4</v>
      </c>
    </row>
    <row r="335" spans="1:34">
      <c r="A335" s="4" t="s">
        <v>774</v>
      </c>
      <c r="B335" s="3">
        <v>27</v>
      </c>
      <c r="C335" s="9" t="str" cm="1">
        <f t="array" ref="C335">_xlfn.IFS(B335&gt;65,"+65",B335&gt;54,"55-65",B335&gt;44,"45-54",B335&gt;35,"36-44",B335&gt;25,"26-35",B335&gt;=18,"18-25")</f>
        <v>26-35</v>
      </c>
      <c r="D335" s="4" t="s">
        <v>188</v>
      </c>
      <c r="E335" s="4" t="s">
        <v>51</v>
      </c>
      <c r="F335" s="4" t="s">
        <v>95</v>
      </c>
      <c r="G335" s="4" t="s">
        <v>68</v>
      </c>
      <c r="H335" s="4" t="s">
        <v>775</v>
      </c>
      <c r="I335" s="4" t="s">
        <v>70</v>
      </c>
      <c r="J335" s="5">
        <v>480.52</v>
      </c>
      <c r="K335" s="3">
        <v>3</v>
      </c>
      <c r="L335" s="4" t="str">
        <f>IF(AND(J335&gt;350,K335&gt;6), "True","False")</f>
        <v>False</v>
      </c>
      <c r="M335" s="4" t="s">
        <v>56</v>
      </c>
      <c r="N335" s="3">
        <v>5</v>
      </c>
      <c r="O335" s="4" t="str" cm="1">
        <f t="array" ref="O335">_xlfn.IFS(P335&lt;=2,"Poor",P335=3,"Average",P335&gt;=4,"Good")</f>
        <v>Good</v>
      </c>
      <c r="P335" s="3">
        <v>4</v>
      </c>
      <c r="Q335" s="2">
        <v>2</v>
      </c>
      <c r="R335" s="4" t="s">
        <v>59</v>
      </c>
      <c r="S335" s="4" t="s">
        <v>84</v>
      </c>
      <c r="T335" s="3">
        <v>1</v>
      </c>
      <c r="U335" s="4" t="str" cm="1">
        <f t="array" ref="U335">_xlfn.IFS(V335&lt;=4, "Dissatisfied",V335&lt;=7,"Neutral",V335&gt;=8,"Satisfied")</f>
        <v>Neutral</v>
      </c>
      <c r="V335" s="3">
        <v>5</v>
      </c>
      <c r="W335" s="4" t="s">
        <v>57</v>
      </c>
      <c r="X335" s="4" t="s">
        <v>60</v>
      </c>
      <c r="Y335" s="4" t="s">
        <v>61</v>
      </c>
      <c r="Z335" s="1">
        <v>45412</v>
      </c>
      <c r="AA335" s="4" t="str" cm="1">
        <f t="array" ref="AA335">_xlfn.IFS(OR(AB335="December", AB335="February", AB335="January"), "Winter", OR(AB335="March", AB335="April", AB335="May"), "Spring", OR(AB335="June", AB335="July", AB335="August"), "Summer", TRUE, "Autumn")</f>
        <v>Spring</v>
      </c>
      <c r="AB335" s="7" t="str">
        <f>TEXT(Z335, "mmmm")</f>
        <v>April</v>
      </c>
      <c r="AC335" s="1" t="str">
        <f>TEXT(Z335, "dddd")</f>
        <v>Tuesday</v>
      </c>
      <c r="AD335" s="4" t="s">
        <v>76</v>
      </c>
      <c r="AE335" s="4" t="s">
        <v>76</v>
      </c>
      <c r="AF335" s="4" t="s">
        <v>87</v>
      </c>
      <c r="AG335" s="4" t="s">
        <v>88</v>
      </c>
      <c r="AH335" s="3">
        <v>13</v>
      </c>
    </row>
    <row r="336" spans="1:34">
      <c r="A336" s="4" t="s">
        <v>776</v>
      </c>
      <c r="B336" s="3">
        <v>24</v>
      </c>
      <c r="C336" s="9" t="str" cm="1">
        <f t="array" ref="C336">_xlfn.IFS(B336&gt;65,"+65",B336&gt;54,"55-65",B336&gt;44,"45-54",B336&gt;35,"36-44",B336&gt;25,"26-35",B336&gt;=18,"18-25")</f>
        <v>18-25</v>
      </c>
      <c r="D336" s="4" t="s">
        <v>66</v>
      </c>
      <c r="E336" s="4" t="s">
        <v>72</v>
      </c>
      <c r="F336" s="4" t="s">
        <v>95</v>
      </c>
      <c r="G336" s="4" t="s">
        <v>53</v>
      </c>
      <c r="H336" s="4" t="s">
        <v>283</v>
      </c>
      <c r="I336" s="4" t="s">
        <v>110</v>
      </c>
      <c r="J336" s="5">
        <v>231.26</v>
      </c>
      <c r="K336" s="3">
        <v>10</v>
      </c>
      <c r="L336" s="4" t="str">
        <f>IF(AND(J336&gt;350,K336&gt;6), "True","False")</f>
        <v>False</v>
      </c>
      <c r="M336" s="4" t="s">
        <v>71</v>
      </c>
      <c r="N336" s="3">
        <v>5</v>
      </c>
      <c r="O336" s="4" t="str" cm="1">
        <f t="array" ref="O336">_xlfn.IFS(P336&lt;=2,"Poor",P336=3,"Average",P336&gt;=4,"Good")</f>
        <v>Poor</v>
      </c>
      <c r="P336" s="3">
        <v>1</v>
      </c>
      <c r="Q336" s="2">
        <v>2</v>
      </c>
      <c r="R336" s="4" t="s">
        <v>59</v>
      </c>
      <c r="S336" s="4" t="s">
        <v>73</v>
      </c>
      <c r="T336" s="3">
        <v>2</v>
      </c>
      <c r="U336" s="4" t="str" cm="1">
        <f t="array" ref="U336">_xlfn.IFS(V336&lt;=4, "Dissatisfied",V336&lt;=7,"Neutral",V336&gt;=8,"Satisfied")</f>
        <v>Neutral</v>
      </c>
      <c r="V336" s="3">
        <v>5</v>
      </c>
      <c r="W336" s="4" t="s">
        <v>59</v>
      </c>
      <c r="X336" s="4" t="s">
        <v>101</v>
      </c>
      <c r="Y336" s="4" t="s">
        <v>61</v>
      </c>
      <c r="Z336" s="1">
        <v>45412</v>
      </c>
      <c r="AA336" s="4" t="str" cm="1">
        <f t="array" ref="AA336">_xlfn.IFS(OR(AB336="December", AB336="February", AB336="January"), "Winter", OR(AB336="March", AB336="April", AB336="May"), "Spring", OR(AB336="June", AB336="July", AB336="August"), "Summer", TRUE, "Autumn")</f>
        <v>Spring</v>
      </c>
      <c r="AB336" s="7" t="str">
        <f>TEXT(Z336, "mmmm")</f>
        <v>April</v>
      </c>
      <c r="AC336" s="1" t="str">
        <f>TEXT(Z336, "dddd")</f>
        <v>Tuesday</v>
      </c>
      <c r="AD336" s="4" t="s">
        <v>76</v>
      </c>
      <c r="AE336" s="4" t="s">
        <v>62</v>
      </c>
      <c r="AF336" s="4" t="s">
        <v>92</v>
      </c>
      <c r="AG336" s="4" t="s">
        <v>88</v>
      </c>
      <c r="AH336" s="3">
        <v>10</v>
      </c>
    </row>
    <row r="337" spans="1:34">
      <c r="A337" s="4" t="s">
        <v>777</v>
      </c>
      <c r="B337" s="3">
        <v>24</v>
      </c>
      <c r="C337" s="9" t="str" cm="1">
        <f t="array" ref="C337">_xlfn.IFS(B337&gt;65,"+65",B337&gt;54,"55-65",B337&gt;44,"45-54",B337&gt;35,"36-44",B337&gt;25,"26-35",B337&gt;=18,"18-25")</f>
        <v>18-25</v>
      </c>
      <c r="D337" s="4" t="s">
        <v>78</v>
      </c>
      <c r="E337" s="4" t="s">
        <v>51</v>
      </c>
      <c r="F337" s="4" t="s">
        <v>52</v>
      </c>
      <c r="G337" s="4" t="s">
        <v>68</v>
      </c>
      <c r="H337" s="4" t="s">
        <v>778</v>
      </c>
      <c r="I337" s="4" t="s">
        <v>110</v>
      </c>
      <c r="J337" s="5">
        <v>254.29</v>
      </c>
      <c r="K337" s="3">
        <v>9</v>
      </c>
      <c r="L337" s="4" t="str">
        <f>IF(AND(J337&gt;350,K337&gt;6), "True","False")</f>
        <v>False</v>
      </c>
      <c r="M337" s="4" t="s">
        <v>83</v>
      </c>
      <c r="N337" s="3">
        <v>5</v>
      </c>
      <c r="O337" s="4" t="str" cm="1">
        <f t="array" ref="O337">_xlfn.IFS(P337&lt;=2,"Poor",P337=3,"Average",P337&gt;=4,"Good")</f>
        <v>Good</v>
      </c>
      <c r="P337" s="3">
        <v>4</v>
      </c>
      <c r="Q337" s="2">
        <v>0</v>
      </c>
      <c r="R337" s="4" t="s">
        <v>85</v>
      </c>
      <c r="S337" s="4" t="s">
        <v>84</v>
      </c>
      <c r="T337" s="3">
        <v>1</v>
      </c>
      <c r="U337" s="4" t="str" cm="1">
        <f t="array" ref="U337">_xlfn.IFS(V337&lt;=4, "Dissatisfied",V337&lt;=7,"Neutral",V337&gt;=8,"Satisfied")</f>
        <v>Neutral</v>
      </c>
      <c r="V337" s="3">
        <v>7</v>
      </c>
      <c r="W337" s="4" t="s">
        <v>59</v>
      </c>
      <c r="X337" s="4" t="s">
        <v>60</v>
      </c>
      <c r="Y337" s="4" t="s">
        <v>61</v>
      </c>
      <c r="Z337" s="1">
        <v>45412</v>
      </c>
      <c r="AA337" s="4" t="str" cm="1">
        <f t="array" ref="AA337">_xlfn.IFS(OR(AB337="December", AB337="February", AB337="January"), "Winter", OR(AB337="March", AB337="April", AB337="May"), "Spring", OR(AB337="June", AB337="July", AB337="August"), "Summer", TRUE, "Autumn")</f>
        <v>Spring</v>
      </c>
      <c r="AB337" s="7" t="str">
        <f>TEXT(Z337, "mmmm")</f>
        <v>April</v>
      </c>
      <c r="AC337" s="1" t="str">
        <f>TEXT(Z337, "dddd")</f>
        <v>Tuesday</v>
      </c>
      <c r="AD337" s="4" t="s">
        <v>76</v>
      </c>
      <c r="AE337" s="4" t="s">
        <v>76</v>
      </c>
      <c r="AF337" s="4" t="s">
        <v>92</v>
      </c>
      <c r="AG337" s="4" t="s">
        <v>93</v>
      </c>
      <c r="AH337" s="3">
        <v>3</v>
      </c>
    </row>
    <row r="338" spans="1:34">
      <c r="A338" s="4" t="s">
        <v>779</v>
      </c>
      <c r="B338" s="3">
        <v>35</v>
      </c>
      <c r="C338" s="9" t="str" cm="1">
        <f t="array" ref="C338">_xlfn.IFS(B338&gt;65,"+65",B338&gt;54,"55-65",B338&gt;44,"45-54",B338&gt;35,"36-44",B338&gt;25,"26-35",B338&gt;=18,"18-25")</f>
        <v>26-35</v>
      </c>
      <c r="D338" s="4" t="s">
        <v>78</v>
      </c>
      <c r="E338" s="4" t="s">
        <v>72</v>
      </c>
      <c r="F338" s="4" t="s">
        <v>52</v>
      </c>
      <c r="G338" s="4" t="s">
        <v>53</v>
      </c>
      <c r="H338" s="4" t="s">
        <v>780</v>
      </c>
      <c r="I338" s="4" t="s">
        <v>151</v>
      </c>
      <c r="J338" s="5">
        <v>418.51</v>
      </c>
      <c r="K338" s="3">
        <v>6</v>
      </c>
      <c r="L338" s="4" t="str">
        <f>IF(AND(J338&gt;350,K338&gt;6), "True","False")</f>
        <v>False</v>
      </c>
      <c r="M338" s="4" t="s">
        <v>56</v>
      </c>
      <c r="N338" s="3">
        <v>4</v>
      </c>
      <c r="O338" s="4" t="str" cm="1">
        <f t="array" ref="O338">_xlfn.IFS(P338&lt;=2,"Poor",P338=3,"Average",P338&gt;=4,"Good")</f>
        <v>Good</v>
      </c>
      <c r="P338" s="3">
        <v>4</v>
      </c>
      <c r="Q338" s="2">
        <v>2</v>
      </c>
      <c r="R338" s="4" t="s">
        <v>59</v>
      </c>
      <c r="S338" s="4" t="s">
        <v>84</v>
      </c>
      <c r="T338" s="3">
        <v>2</v>
      </c>
      <c r="U338" s="4" t="str" cm="1">
        <f t="array" ref="U338">_xlfn.IFS(V338&lt;=4, "Dissatisfied",V338&lt;=7,"Neutral",V338&gt;=8,"Satisfied")</f>
        <v>Dissatisfied</v>
      </c>
      <c r="V338" s="3">
        <v>2</v>
      </c>
      <c r="W338" s="4" t="s">
        <v>72</v>
      </c>
      <c r="X338" s="4" t="s">
        <v>101</v>
      </c>
      <c r="Y338" s="4" t="s">
        <v>119</v>
      </c>
      <c r="Z338" s="1">
        <v>45413</v>
      </c>
      <c r="AA338" s="4" t="str" cm="1">
        <f t="array" ref="AA338">_xlfn.IFS(OR(AB338="December", AB338="February", AB338="January"), "Winter", OR(AB338="March", AB338="April", AB338="May"), "Spring", OR(AB338="June", AB338="July", AB338="August"), "Summer", TRUE, "Autumn")</f>
        <v>Spring</v>
      </c>
      <c r="AB338" s="7" t="str">
        <f>TEXT(Z338, "mmmm")</f>
        <v>May</v>
      </c>
      <c r="AC338" s="1" t="str">
        <f>TEXT(Z338, "dddd")</f>
        <v>Wednesday</v>
      </c>
      <c r="AD338" s="4" t="s">
        <v>76</v>
      </c>
      <c r="AE338" s="4" t="s">
        <v>62</v>
      </c>
      <c r="AF338" s="4" t="s">
        <v>63</v>
      </c>
      <c r="AG338" s="4" t="s">
        <v>64</v>
      </c>
      <c r="AH338" s="3">
        <v>3</v>
      </c>
    </row>
    <row r="339" spans="1:34">
      <c r="A339" s="4" t="s">
        <v>781</v>
      </c>
      <c r="B339" s="3">
        <v>41</v>
      </c>
      <c r="C339" s="9" t="str" cm="1">
        <f t="array" ref="C339">_xlfn.IFS(B339&gt;65,"+65",B339&gt;54,"55-65",B339&gt;44,"45-54",B339&gt;35,"36-44",B339&gt;25,"26-35",B339&gt;=18,"18-25")</f>
        <v>36-44</v>
      </c>
      <c r="D339" s="4" t="s">
        <v>66</v>
      </c>
      <c r="E339" s="4" t="s">
        <v>51</v>
      </c>
      <c r="F339" s="4" t="s">
        <v>52</v>
      </c>
      <c r="G339" s="4" t="s">
        <v>68</v>
      </c>
      <c r="H339" s="4" t="s">
        <v>782</v>
      </c>
      <c r="I339" s="4" t="s">
        <v>234</v>
      </c>
      <c r="J339" s="5">
        <v>473.77</v>
      </c>
      <c r="K339" s="3">
        <v>9</v>
      </c>
      <c r="L339" s="4" t="str">
        <f>IF(AND(J339&gt;350,K339&gt;6), "True","False")</f>
        <v>True</v>
      </c>
      <c r="M339" s="4" t="s">
        <v>56</v>
      </c>
      <c r="N339" s="3">
        <v>3</v>
      </c>
      <c r="O339" s="4" t="str" cm="1">
        <f t="array" ref="O339">_xlfn.IFS(P339&lt;=2,"Poor",P339=3,"Average",P339&gt;=4,"Good")</f>
        <v>Poor</v>
      </c>
      <c r="P339" s="3">
        <v>1</v>
      </c>
      <c r="Q339" s="2">
        <v>2</v>
      </c>
      <c r="R339" s="4" t="s">
        <v>85</v>
      </c>
      <c r="S339" s="4" t="s">
        <v>73</v>
      </c>
      <c r="T339" s="3">
        <v>2</v>
      </c>
      <c r="U339" s="4" t="str" cm="1">
        <f t="array" ref="U339">_xlfn.IFS(V339&lt;=4, "Dissatisfied",V339&lt;=7,"Neutral",V339&gt;=8,"Satisfied")</f>
        <v>Satisfied</v>
      </c>
      <c r="V339" s="3">
        <v>9</v>
      </c>
      <c r="W339" s="4" t="s">
        <v>57</v>
      </c>
      <c r="X339" s="4" t="s">
        <v>101</v>
      </c>
      <c r="Y339" s="4" t="s">
        <v>86</v>
      </c>
      <c r="Z339" s="1">
        <v>45414</v>
      </c>
      <c r="AA339" s="4" t="str" cm="1">
        <f t="array" ref="AA339">_xlfn.IFS(OR(AB339="December", AB339="February", AB339="January"), "Winter", OR(AB339="March", AB339="April", AB339="May"), "Spring", OR(AB339="June", AB339="July", AB339="August"), "Summer", TRUE, "Autumn")</f>
        <v>Spring</v>
      </c>
      <c r="AB339" s="7" t="str">
        <f>TEXT(Z339, "mmmm")</f>
        <v>May</v>
      </c>
      <c r="AC339" s="1" t="str">
        <f>TEXT(Z339, "dddd")</f>
        <v>Thursday</v>
      </c>
      <c r="AD339" s="4" t="s">
        <v>76</v>
      </c>
      <c r="AE339" s="4" t="s">
        <v>76</v>
      </c>
      <c r="AF339" s="4" t="s">
        <v>102</v>
      </c>
      <c r="AG339" s="4" t="s">
        <v>88</v>
      </c>
      <c r="AH339" s="3">
        <v>13</v>
      </c>
    </row>
    <row r="340" spans="1:34">
      <c r="A340" s="4" t="s">
        <v>783</v>
      </c>
      <c r="B340" s="3">
        <v>27</v>
      </c>
      <c r="C340" s="9" t="str" cm="1">
        <f t="array" ref="C340">_xlfn.IFS(B340&gt;65,"+65",B340&gt;54,"55-65",B340&gt;44,"45-54",B340&gt;35,"36-44",B340&gt;25,"26-35",B340&gt;=18,"18-25")</f>
        <v>26-35</v>
      </c>
      <c r="D340" s="4" t="s">
        <v>456</v>
      </c>
      <c r="E340" s="4" t="s">
        <v>72</v>
      </c>
      <c r="F340" s="4" t="s">
        <v>79</v>
      </c>
      <c r="G340" s="4" t="s">
        <v>80</v>
      </c>
      <c r="H340" s="4" t="s">
        <v>784</v>
      </c>
      <c r="I340" s="4" t="s">
        <v>133</v>
      </c>
      <c r="J340" s="5">
        <v>253.29</v>
      </c>
      <c r="K340" s="3">
        <v>6</v>
      </c>
      <c r="L340" s="4" t="str">
        <f>IF(AND(J340&gt;350,K340&gt;6), "True","False")</f>
        <v>False</v>
      </c>
      <c r="M340" s="4" t="s">
        <v>83</v>
      </c>
      <c r="N340" s="3">
        <v>3</v>
      </c>
      <c r="O340" s="4" t="str" cm="1">
        <f t="array" ref="O340">_xlfn.IFS(P340&lt;=2,"Poor",P340=3,"Average",P340&gt;=4,"Good")</f>
        <v>Poor</v>
      </c>
      <c r="P340" s="3">
        <v>2</v>
      </c>
      <c r="Q340" s="2">
        <v>2</v>
      </c>
      <c r="R340" s="4" t="s">
        <v>57</v>
      </c>
      <c r="S340" s="4" t="s">
        <v>84</v>
      </c>
      <c r="T340" s="3">
        <v>1</v>
      </c>
      <c r="U340" s="4" t="str" cm="1">
        <f t="array" ref="U340">_xlfn.IFS(V340&lt;=4, "Dissatisfied",V340&lt;=7,"Neutral",V340&gt;=8,"Satisfied")</f>
        <v>Dissatisfied</v>
      </c>
      <c r="V340" s="3">
        <v>4</v>
      </c>
      <c r="W340" s="4" t="s">
        <v>57</v>
      </c>
      <c r="X340" s="4" t="s">
        <v>101</v>
      </c>
      <c r="Y340" s="4" t="s">
        <v>86</v>
      </c>
      <c r="Z340" s="1">
        <v>45414</v>
      </c>
      <c r="AA340" s="4" t="str" cm="1">
        <f t="array" ref="AA340">_xlfn.IFS(OR(AB340="December", AB340="February", AB340="January"), "Winter", OR(AB340="March", AB340="April", AB340="May"), "Spring", OR(AB340="June", AB340="July", AB340="August"), "Summer", TRUE, "Autumn")</f>
        <v>Spring</v>
      </c>
      <c r="AB340" s="7" t="str">
        <f>TEXT(Z340, "mmmm")</f>
        <v>May</v>
      </c>
      <c r="AC340" s="1" t="str">
        <f>TEXT(Z340, "dddd")</f>
        <v>Thursday</v>
      </c>
      <c r="AD340" s="4" t="s">
        <v>62</v>
      </c>
      <c r="AE340" s="4" t="s">
        <v>76</v>
      </c>
      <c r="AF340" s="4" t="s">
        <v>87</v>
      </c>
      <c r="AG340" s="4" t="s">
        <v>64</v>
      </c>
      <c r="AH340" s="3">
        <v>8</v>
      </c>
    </row>
    <row r="341" spans="1:34">
      <c r="A341" s="4" t="s">
        <v>785</v>
      </c>
      <c r="B341" s="3">
        <v>38</v>
      </c>
      <c r="C341" s="9" t="str" cm="1">
        <f t="array" ref="C341">_xlfn.IFS(B341&gt;65,"+65",B341&gt;54,"55-65",B341&gt;44,"45-54",B341&gt;35,"36-44",B341&gt;25,"26-35",B341&gt;=18,"18-25")</f>
        <v>36-44</v>
      </c>
      <c r="D341" s="4" t="s">
        <v>78</v>
      </c>
      <c r="E341" s="4" t="s">
        <v>51</v>
      </c>
      <c r="F341" s="4" t="s">
        <v>95</v>
      </c>
      <c r="G341" s="4" t="s">
        <v>53</v>
      </c>
      <c r="H341" s="4" t="s">
        <v>786</v>
      </c>
      <c r="I341" s="4" t="s">
        <v>156</v>
      </c>
      <c r="J341" s="5">
        <v>269.83999999999997</v>
      </c>
      <c r="K341" s="3">
        <v>4</v>
      </c>
      <c r="L341" s="4" t="str">
        <f>IF(AND(J341&gt;350,K341&gt;6), "True","False")</f>
        <v>False</v>
      </c>
      <c r="M341" s="4" t="s">
        <v>71</v>
      </c>
      <c r="N341" s="3">
        <v>5</v>
      </c>
      <c r="O341" s="4" t="str" cm="1">
        <f t="array" ref="O341">_xlfn.IFS(P341&lt;=2,"Poor",P341=3,"Average",P341&gt;=4,"Good")</f>
        <v>Good</v>
      </c>
      <c r="P341" s="3">
        <v>4</v>
      </c>
      <c r="Q341" s="2">
        <v>0</v>
      </c>
      <c r="R341" s="4" t="s">
        <v>59</v>
      </c>
      <c r="S341" s="4" t="s">
        <v>58</v>
      </c>
      <c r="T341" s="3">
        <v>2</v>
      </c>
      <c r="U341" s="4" t="str" cm="1">
        <f t="array" ref="U341">_xlfn.IFS(V341&lt;=4, "Dissatisfied",V341&lt;=7,"Neutral",V341&gt;=8,"Satisfied")</f>
        <v>Satisfied</v>
      </c>
      <c r="V341" s="3">
        <v>9</v>
      </c>
      <c r="W341" s="4" t="s">
        <v>59</v>
      </c>
      <c r="X341" s="4" t="s">
        <v>74</v>
      </c>
      <c r="Y341" s="4" t="s">
        <v>119</v>
      </c>
      <c r="Z341" s="1">
        <v>45416</v>
      </c>
      <c r="AA341" s="4" t="str" cm="1">
        <f t="array" ref="AA341">_xlfn.IFS(OR(AB341="December", AB341="February", AB341="January"), "Winter", OR(AB341="March", AB341="April", AB341="May"), "Spring", OR(AB341="June", AB341="July", AB341="August"), "Summer", TRUE, "Autumn")</f>
        <v>Spring</v>
      </c>
      <c r="AB341" s="7" t="str">
        <f>TEXT(Z341, "mmmm")</f>
        <v>May</v>
      </c>
      <c r="AC341" s="1" t="str">
        <f>TEXT(Z341, "dddd")</f>
        <v>Saturday</v>
      </c>
      <c r="AD341" s="4" t="s">
        <v>62</v>
      </c>
      <c r="AE341" s="4" t="s">
        <v>62</v>
      </c>
      <c r="AF341" s="4" t="s">
        <v>102</v>
      </c>
      <c r="AG341" s="4" t="s">
        <v>88</v>
      </c>
      <c r="AH341" s="3">
        <v>2</v>
      </c>
    </row>
    <row r="342" spans="1:34">
      <c r="A342" s="4" t="s">
        <v>787</v>
      </c>
      <c r="B342" s="3">
        <v>27</v>
      </c>
      <c r="C342" s="9" t="str" cm="1">
        <f t="array" ref="C342">_xlfn.IFS(B342&gt;65,"+65",B342&gt;54,"55-65",B342&gt;44,"45-54",B342&gt;35,"36-44",B342&gt;25,"26-35",B342&gt;=18,"18-25")</f>
        <v>26-35</v>
      </c>
      <c r="D342" s="4" t="s">
        <v>160</v>
      </c>
      <c r="E342" s="4" t="s">
        <v>51</v>
      </c>
      <c r="F342" s="4" t="s">
        <v>79</v>
      </c>
      <c r="G342" s="4" t="s">
        <v>80</v>
      </c>
      <c r="H342" s="4" t="s">
        <v>788</v>
      </c>
      <c r="I342" s="4" t="s">
        <v>110</v>
      </c>
      <c r="J342" s="5">
        <v>198.45</v>
      </c>
      <c r="K342" s="3">
        <v>11</v>
      </c>
      <c r="L342" s="4" t="str">
        <f>IF(AND(J342&gt;350,K342&gt;6), "True","False")</f>
        <v>False</v>
      </c>
      <c r="M342" s="4" t="s">
        <v>56</v>
      </c>
      <c r="N342" s="3">
        <v>3</v>
      </c>
      <c r="O342" s="4" t="str" cm="1">
        <f t="array" ref="O342">_xlfn.IFS(P342&lt;=2,"Poor",P342=3,"Average",P342&gt;=4,"Good")</f>
        <v>Good</v>
      </c>
      <c r="P342" s="3">
        <v>5</v>
      </c>
      <c r="Q342" s="2">
        <v>1</v>
      </c>
      <c r="R342" s="4" t="s">
        <v>72</v>
      </c>
      <c r="S342" s="4" t="s">
        <v>58</v>
      </c>
      <c r="T342" s="3">
        <v>2</v>
      </c>
      <c r="U342" s="4" t="str" cm="1">
        <f t="array" ref="U342">_xlfn.IFS(V342&lt;=4, "Dissatisfied",V342&lt;=7,"Neutral",V342&gt;=8,"Satisfied")</f>
        <v>Satisfied</v>
      </c>
      <c r="V342" s="3">
        <v>8</v>
      </c>
      <c r="W342" s="4" t="s">
        <v>72</v>
      </c>
      <c r="X342" s="4" t="s">
        <v>74</v>
      </c>
      <c r="Y342" s="4" t="s">
        <v>86</v>
      </c>
      <c r="Z342" s="1">
        <v>45416</v>
      </c>
      <c r="AA342" s="4" t="str" cm="1">
        <f t="array" ref="AA342">_xlfn.IFS(OR(AB342="December", AB342="February", AB342="January"), "Winter", OR(AB342="March", AB342="April", AB342="May"), "Spring", OR(AB342="June", AB342="July", AB342="August"), "Summer", TRUE, "Autumn")</f>
        <v>Spring</v>
      </c>
      <c r="AB342" s="7" t="str">
        <f>TEXT(Z342, "mmmm")</f>
        <v>May</v>
      </c>
      <c r="AC342" s="1" t="str">
        <f>TEXT(Z342, "dddd")</f>
        <v>Saturday</v>
      </c>
      <c r="AD342" s="4" t="s">
        <v>62</v>
      </c>
      <c r="AE342" s="4" t="s">
        <v>76</v>
      </c>
      <c r="AF342" s="4" t="s">
        <v>102</v>
      </c>
      <c r="AG342" s="4" t="s">
        <v>88</v>
      </c>
      <c r="AH342" s="3">
        <v>5</v>
      </c>
    </row>
    <row r="343" spans="1:34">
      <c r="A343" s="4" t="s">
        <v>789</v>
      </c>
      <c r="B343" s="3">
        <v>48</v>
      </c>
      <c r="C343" s="9" t="str" cm="1">
        <f t="array" ref="C343">_xlfn.IFS(B343&gt;65,"+65",B343&gt;54,"55-65",B343&gt;44,"45-54",B343&gt;35,"36-44",B343&gt;25,"26-35",B343&gt;=18,"18-25")</f>
        <v>45-54</v>
      </c>
      <c r="D343" s="4" t="s">
        <v>188</v>
      </c>
      <c r="E343" s="4" t="s">
        <v>72</v>
      </c>
      <c r="F343" s="4" t="s">
        <v>95</v>
      </c>
      <c r="G343" s="4" t="s">
        <v>68</v>
      </c>
      <c r="H343" s="4" t="s">
        <v>790</v>
      </c>
      <c r="I343" s="4" t="s">
        <v>100</v>
      </c>
      <c r="J343" s="5">
        <v>79.099999999999994</v>
      </c>
      <c r="K343" s="3">
        <v>10</v>
      </c>
      <c r="L343" s="4" t="str">
        <f>IF(AND(J343&gt;350,K343&gt;6), "True","False")</f>
        <v>False</v>
      </c>
      <c r="M343" s="4" t="s">
        <v>71</v>
      </c>
      <c r="N343" s="3">
        <v>5</v>
      </c>
      <c r="O343" s="4" t="str" cm="1">
        <f t="array" ref="O343">_xlfn.IFS(P343&lt;=2,"Poor",P343=3,"Average",P343&gt;=4,"Good")</f>
        <v>Average</v>
      </c>
      <c r="P343" s="3">
        <v>3</v>
      </c>
      <c r="Q343" s="2">
        <v>1</v>
      </c>
      <c r="R343" s="4" t="s">
        <v>57</v>
      </c>
      <c r="S343" s="4" t="s">
        <v>58</v>
      </c>
      <c r="T343" s="3">
        <v>0</v>
      </c>
      <c r="U343" s="4" t="str" cm="1">
        <f t="array" ref="U343">_xlfn.IFS(V343&lt;=4, "Dissatisfied",V343&lt;=7,"Neutral",V343&gt;=8,"Satisfied")</f>
        <v>Satisfied</v>
      </c>
      <c r="V343" s="3">
        <v>9</v>
      </c>
      <c r="W343" s="4" t="s">
        <v>85</v>
      </c>
      <c r="X343" s="4" t="s">
        <v>74</v>
      </c>
      <c r="Y343" s="4" t="s">
        <v>75</v>
      </c>
      <c r="Z343" s="1">
        <v>45417</v>
      </c>
      <c r="AA343" s="4" t="str" cm="1">
        <f t="array" ref="AA343">_xlfn.IFS(OR(AB343="December", AB343="February", AB343="January"), "Winter", OR(AB343="March", AB343="April", AB343="May"), "Spring", OR(AB343="June", AB343="July", AB343="August"), "Summer", TRUE, "Autumn")</f>
        <v>Spring</v>
      </c>
      <c r="AB343" s="7" t="str">
        <f>TEXT(Z343, "mmmm")</f>
        <v>May</v>
      </c>
      <c r="AC343" s="1" t="str">
        <f>TEXT(Z343, "dddd")</f>
        <v>Sunday</v>
      </c>
      <c r="AD343" s="4" t="s">
        <v>62</v>
      </c>
      <c r="AE343" s="4" t="s">
        <v>76</v>
      </c>
      <c r="AF343" s="4" t="s">
        <v>63</v>
      </c>
      <c r="AG343" s="4" t="s">
        <v>93</v>
      </c>
      <c r="AH343" s="3">
        <v>4</v>
      </c>
    </row>
    <row r="344" spans="1:34">
      <c r="A344" s="4" t="s">
        <v>791</v>
      </c>
      <c r="B344" s="3">
        <v>46</v>
      </c>
      <c r="C344" s="9" t="str" cm="1">
        <f t="array" ref="C344">_xlfn.IFS(B344&gt;65,"+65",B344&gt;54,"55-65",B344&gt;44,"45-54",B344&gt;35,"36-44",B344&gt;25,"26-35",B344&gt;=18,"18-25")</f>
        <v>45-54</v>
      </c>
      <c r="D344" s="4" t="s">
        <v>66</v>
      </c>
      <c r="E344" s="4" t="s">
        <v>51</v>
      </c>
      <c r="F344" s="4" t="s">
        <v>95</v>
      </c>
      <c r="G344" s="4" t="s">
        <v>80</v>
      </c>
      <c r="H344" s="4" t="s">
        <v>792</v>
      </c>
      <c r="I344" s="4" t="s">
        <v>82</v>
      </c>
      <c r="J344" s="5">
        <v>96.18</v>
      </c>
      <c r="K344" s="3">
        <v>3</v>
      </c>
      <c r="L344" s="4" t="str">
        <f>IF(AND(J344&gt;350,K344&gt;6), "True","False")</f>
        <v>False</v>
      </c>
      <c r="M344" s="4" t="s">
        <v>83</v>
      </c>
      <c r="N344" s="3">
        <v>3</v>
      </c>
      <c r="O344" s="4" t="str" cm="1">
        <f t="array" ref="O344">_xlfn.IFS(P344&lt;=2,"Poor",P344=3,"Average",P344&gt;=4,"Good")</f>
        <v>Good</v>
      </c>
      <c r="P344" s="3">
        <v>4</v>
      </c>
      <c r="Q344" s="2">
        <v>0</v>
      </c>
      <c r="R344" s="4" t="s">
        <v>57</v>
      </c>
      <c r="S344" s="4" t="s">
        <v>84</v>
      </c>
      <c r="T344" s="3">
        <v>1</v>
      </c>
      <c r="U344" s="4" t="str" cm="1">
        <f t="array" ref="U344">_xlfn.IFS(V344&lt;=4, "Dissatisfied",V344&lt;=7,"Neutral",V344&gt;=8,"Satisfied")</f>
        <v>Satisfied</v>
      </c>
      <c r="V344" s="3">
        <v>9</v>
      </c>
      <c r="W344" s="4" t="s">
        <v>85</v>
      </c>
      <c r="X344" s="4" t="s">
        <v>60</v>
      </c>
      <c r="Y344" s="4" t="s">
        <v>61</v>
      </c>
      <c r="Z344" s="1">
        <v>45417</v>
      </c>
      <c r="AA344" s="4" t="str" cm="1">
        <f t="array" ref="AA344">_xlfn.IFS(OR(AB344="December", AB344="February", AB344="January"), "Winter", OR(AB344="March", AB344="April", AB344="May"), "Spring", OR(AB344="June", AB344="July", AB344="August"), "Summer", TRUE, "Autumn")</f>
        <v>Spring</v>
      </c>
      <c r="AB344" s="7" t="str">
        <f>TEXT(Z344, "mmmm")</f>
        <v>May</v>
      </c>
      <c r="AC344" s="1" t="str">
        <f>TEXT(Z344, "dddd")</f>
        <v>Sunday</v>
      </c>
      <c r="AD344" s="4" t="s">
        <v>76</v>
      </c>
      <c r="AE344" s="4" t="s">
        <v>76</v>
      </c>
      <c r="AF344" s="4" t="s">
        <v>87</v>
      </c>
      <c r="AG344" s="4" t="s">
        <v>93</v>
      </c>
      <c r="AH344" s="3">
        <v>10</v>
      </c>
    </row>
    <row r="345" spans="1:34">
      <c r="A345" s="4" t="s">
        <v>793</v>
      </c>
      <c r="B345" s="3">
        <v>39</v>
      </c>
      <c r="C345" s="9" t="str" cm="1">
        <f t="array" ref="C345">_xlfn.IFS(B345&gt;65,"+65",B345&gt;54,"55-65",B345&gt;44,"45-54",B345&gt;35,"36-44",B345&gt;25,"26-35",B345&gt;=18,"18-25")</f>
        <v>36-44</v>
      </c>
      <c r="D345" s="4" t="s">
        <v>66</v>
      </c>
      <c r="E345" s="4" t="s">
        <v>51</v>
      </c>
      <c r="F345" s="4" t="s">
        <v>79</v>
      </c>
      <c r="G345" s="4" t="s">
        <v>53</v>
      </c>
      <c r="H345" s="4" t="s">
        <v>794</v>
      </c>
      <c r="I345" s="4" t="s">
        <v>70</v>
      </c>
      <c r="J345" s="5">
        <v>276.48</v>
      </c>
      <c r="K345" s="3">
        <v>3</v>
      </c>
      <c r="L345" s="4" t="str">
        <f>IF(AND(J345&gt;350,K345&gt;6), "True","False")</f>
        <v>False</v>
      </c>
      <c r="M345" s="4" t="s">
        <v>83</v>
      </c>
      <c r="N345" s="3">
        <v>1</v>
      </c>
      <c r="O345" s="4" t="str" cm="1">
        <f t="array" ref="O345">_xlfn.IFS(P345&lt;=2,"Poor",P345=3,"Average",P345&gt;=4,"Good")</f>
        <v>Poor</v>
      </c>
      <c r="P345" s="3">
        <v>2</v>
      </c>
      <c r="Q345" s="2">
        <v>1</v>
      </c>
      <c r="R345" s="4" t="s">
        <v>57</v>
      </c>
      <c r="S345" s="4" t="s">
        <v>84</v>
      </c>
      <c r="T345" s="3">
        <v>0</v>
      </c>
      <c r="U345" s="4" t="str" cm="1">
        <f t="array" ref="U345">_xlfn.IFS(V345&lt;=4, "Dissatisfied",V345&lt;=7,"Neutral",V345&gt;=8,"Satisfied")</f>
        <v>Dissatisfied</v>
      </c>
      <c r="V345" s="3">
        <v>4</v>
      </c>
      <c r="W345" s="4" t="s">
        <v>59</v>
      </c>
      <c r="X345" s="4" t="s">
        <v>101</v>
      </c>
      <c r="Y345" s="4" t="s">
        <v>61</v>
      </c>
      <c r="Z345" s="1">
        <v>45417</v>
      </c>
      <c r="AA345" s="4" t="str" cm="1">
        <f t="array" ref="AA345">_xlfn.IFS(OR(AB345="December", AB345="February", AB345="January"), "Winter", OR(AB345="March", AB345="April", AB345="May"), "Spring", OR(AB345="June", AB345="July", AB345="August"), "Summer", TRUE, "Autumn")</f>
        <v>Spring</v>
      </c>
      <c r="AB345" s="7" t="str">
        <f>TEXT(Z345, "mmmm")</f>
        <v>May</v>
      </c>
      <c r="AC345" s="1" t="str">
        <f>TEXT(Z345, "dddd")</f>
        <v>Sunday</v>
      </c>
      <c r="AD345" s="4" t="s">
        <v>76</v>
      </c>
      <c r="AE345" s="4" t="s">
        <v>76</v>
      </c>
      <c r="AF345" s="4" t="s">
        <v>63</v>
      </c>
      <c r="AG345" s="4" t="s">
        <v>93</v>
      </c>
      <c r="AH345" s="3">
        <v>7</v>
      </c>
    </row>
    <row r="346" spans="1:34">
      <c r="A346" s="4" t="s">
        <v>795</v>
      </c>
      <c r="B346" s="3">
        <v>31</v>
      </c>
      <c r="C346" s="9" t="str" cm="1">
        <f t="array" ref="C346">_xlfn.IFS(B346&gt;65,"+65",B346&gt;54,"55-65",B346&gt;44,"45-54",B346&gt;35,"36-44",B346&gt;25,"26-35",B346&gt;=18,"18-25")</f>
        <v>26-35</v>
      </c>
      <c r="D346" s="4" t="s">
        <v>78</v>
      </c>
      <c r="E346" s="4" t="s">
        <v>72</v>
      </c>
      <c r="F346" s="4" t="s">
        <v>95</v>
      </c>
      <c r="G346" s="4" t="s">
        <v>53</v>
      </c>
      <c r="H346" s="4" t="s">
        <v>796</v>
      </c>
      <c r="I346" s="4" t="s">
        <v>100</v>
      </c>
      <c r="J346" s="5">
        <v>280.88</v>
      </c>
      <c r="K346" s="3">
        <v>4</v>
      </c>
      <c r="L346" s="4" t="str">
        <f>IF(AND(J346&gt;350,K346&gt;6), "True","False")</f>
        <v>False</v>
      </c>
      <c r="M346" s="4" t="s">
        <v>83</v>
      </c>
      <c r="N346" s="3">
        <v>3</v>
      </c>
      <c r="O346" s="4" t="str" cm="1">
        <f t="array" ref="O346">_xlfn.IFS(P346&lt;=2,"Poor",P346=3,"Average",P346&gt;=4,"Good")</f>
        <v>Good</v>
      </c>
      <c r="P346" s="3">
        <v>4</v>
      </c>
      <c r="Q346" s="2">
        <v>1</v>
      </c>
      <c r="R346" s="4" t="s">
        <v>72</v>
      </c>
      <c r="S346" s="4" t="s">
        <v>58</v>
      </c>
      <c r="T346" s="3">
        <v>0</v>
      </c>
      <c r="U346" s="4" t="str" cm="1">
        <f t="array" ref="U346">_xlfn.IFS(V346&lt;=4, "Dissatisfied",V346&lt;=7,"Neutral",V346&gt;=8,"Satisfied")</f>
        <v>Dissatisfied</v>
      </c>
      <c r="V346" s="3">
        <v>2</v>
      </c>
      <c r="W346" s="4" t="s">
        <v>72</v>
      </c>
      <c r="X346" s="4" t="s">
        <v>60</v>
      </c>
      <c r="Y346" s="4" t="s">
        <v>119</v>
      </c>
      <c r="Z346" s="1">
        <v>45417</v>
      </c>
      <c r="AA346" s="4" t="str" cm="1">
        <f t="array" ref="AA346">_xlfn.IFS(OR(AB346="December", AB346="February", AB346="January"), "Winter", OR(AB346="March", AB346="April", AB346="May"), "Spring", OR(AB346="June", AB346="July", AB346="August"), "Summer", TRUE, "Autumn")</f>
        <v>Spring</v>
      </c>
      <c r="AB346" s="7" t="str">
        <f>TEXT(Z346, "mmmm")</f>
        <v>May</v>
      </c>
      <c r="AC346" s="1" t="str">
        <f>TEXT(Z346, "dddd")</f>
        <v>Sunday</v>
      </c>
      <c r="AD346" s="4" t="s">
        <v>62</v>
      </c>
      <c r="AE346" s="4" t="s">
        <v>62</v>
      </c>
      <c r="AF346" s="4" t="s">
        <v>87</v>
      </c>
      <c r="AG346" s="4" t="s">
        <v>88</v>
      </c>
      <c r="AH346" s="3">
        <v>2</v>
      </c>
    </row>
    <row r="347" spans="1:34">
      <c r="A347" s="4" t="s">
        <v>797</v>
      </c>
      <c r="B347" s="3">
        <v>45</v>
      </c>
      <c r="C347" s="9" t="str" cm="1">
        <f t="array" ref="C347">_xlfn.IFS(B347&gt;65,"+65",B347&gt;54,"55-65",B347&gt;44,"45-54",B347&gt;35,"36-44",B347&gt;25,"26-35",B347&gt;=18,"18-25")</f>
        <v>45-54</v>
      </c>
      <c r="D347" s="4" t="s">
        <v>78</v>
      </c>
      <c r="E347" s="4" t="s">
        <v>72</v>
      </c>
      <c r="F347" s="4" t="s">
        <v>95</v>
      </c>
      <c r="G347" s="4" t="s">
        <v>53</v>
      </c>
      <c r="H347" s="4" t="s">
        <v>798</v>
      </c>
      <c r="I347" s="4" t="s">
        <v>156</v>
      </c>
      <c r="J347" s="5">
        <v>331.57</v>
      </c>
      <c r="K347" s="3">
        <v>11</v>
      </c>
      <c r="L347" s="4" t="str">
        <f>IF(AND(J347&gt;350,K347&gt;6), "True","False")</f>
        <v>False</v>
      </c>
      <c r="M347" s="4" t="s">
        <v>83</v>
      </c>
      <c r="N347" s="3">
        <v>3</v>
      </c>
      <c r="O347" s="4" t="str" cm="1">
        <f t="array" ref="O347">_xlfn.IFS(P347&lt;=2,"Poor",P347=3,"Average",P347&gt;=4,"Good")</f>
        <v>Poor</v>
      </c>
      <c r="P347" s="3">
        <v>1</v>
      </c>
      <c r="Q347" s="2">
        <v>0</v>
      </c>
      <c r="R347" s="4" t="s">
        <v>59</v>
      </c>
      <c r="S347" s="4" t="s">
        <v>84</v>
      </c>
      <c r="T347" s="3">
        <v>1</v>
      </c>
      <c r="U347" s="4" t="str" cm="1">
        <f t="array" ref="U347">_xlfn.IFS(V347&lt;=4, "Dissatisfied",V347&lt;=7,"Neutral",V347&gt;=8,"Satisfied")</f>
        <v>Neutral</v>
      </c>
      <c r="V347" s="3">
        <v>6</v>
      </c>
      <c r="W347" s="4" t="s">
        <v>85</v>
      </c>
      <c r="X347" s="4" t="s">
        <v>101</v>
      </c>
      <c r="Y347" s="4" t="s">
        <v>75</v>
      </c>
      <c r="Z347" s="1">
        <v>45418</v>
      </c>
      <c r="AA347" s="4" t="str" cm="1">
        <f t="array" ref="AA347">_xlfn.IFS(OR(AB347="December", AB347="February", AB347="January"), "Winter", OR(AB347="March", AB347="April", AB347="May"), "Spring", OR(AB347="June", AB347="July", AB347="August"), "Summer", TRUE, "Autumn")</f>
        <v>Spring</v>
      </c>
      <c r="AB347" s="7" t="str">
        <f>TEXT(Z347, "mmmm")</f>
        <v>May</v>
      </c>
      <c r="AC347" s="1" t="str">
        <f>TEXT(Z347, "dddd")</f>
        <v>Monday</v>
      </c>
      <c r="AD347" s="4" t="s">
        <v>76</v>
      </c>
      <c r="AE347" s="4" t="s">
        <v>76</v>
      </c>
      <c r="AF347" s="4" t="s">
        <v>92</v>
      </c>
      <c r="AG347" s="4" t="s">
        <v>93</v>
      </c>
      <c r="AH347" s="3">
        <v>14</v>
      </c>
    </row>
    <row r="348" spans="1:34">
      <c r="A348" s="4" t="s">
        <v>799</v>
      </c>
      <c r="B348" s="3">
        <v>38</v>
      </c>
      <c r="C348" s="9" t="str" cm="1">
        <f t="array" ref="C348">_xlfn.IFS(B348&gt;65,"+65",B348&gt;54,"55-65",B348&gt;44,"45-54",B348&gt;35,"36-44",B348&gt;25,"26-35",B348&gt;=18,"18-25")</f>
        <v>36-44</v>
      </c>
      <c r="D348" s="4" t="s">
        <v>66</v>
      </c>
      <c r="E348" s="4" t="s">
        <v>72</v>
      </c>
      <c r="F348" s="4" t="s">
        <v>67</v>
      </c>
      <c r="G348" s="4" t="s">
        <v>68</v>
      </c>
      <c r="H348" s="4" t="s">
        <v>800</v>
      </c>
      <c r="I348" s="4" t="s">
        <v>110</v>
      </c>
      <c r="J348" s="5">
        <v>65.680000000000007</v>
      </c>
      <c r="K348" s="3">
        <v>4</v>
      </c>
      <c r="L348" s="4" t="str">
        <f>IF(AND(J348&gt;350,K348&gt;6), "True","False")</f>
        <v>False</v>
      </c>
      <c r="M348" s="4" t="s">
        <v>71</v>
      </c>
      <c r="N348" s="3">
        <v>4</v>
      </c>
      <c r="O348" s="4" t="str" cm="1">
        <f t="array" ref="O348">_xlfn.IFS(P348&lt;=2,"Poor",P348=3,"Average",P348&gt;=4,"Good")</f>
        <v>Good</v>
      </c>
      <c r="P348" s="3">
        <v>4</v>
      </c>
      <c r="Q348" s="2">
        <v>0</v>
      </c>
      <c r="R348" s="4" t="s">
        <v>85</v>
      </c>
      <c r="S348" s="4" t="s">
        <v>58</v>
      </c>
      <c r="T348" s="3">
        <v>0</v>
      </c>
      <c r="U348" s="4" t="str" cm="1">
        <f t="array" ref="U348">_xlfn.IFS(V348&lt;=4, "Dissatisfied",V348&lt;=7,"Neutral",V348&gt;=8,"Satisfied")</f>
        <v>Satisfied</v>
      </c>
      <c r="V348" s="3">
        <v>8</v>
      </c>
      <c r="W348" s="4" t="s">
        <v>85</v>
      </c>
      <c r="X348" s="4" t="s">
        <v>60</v>
      </c>
      <c r="Y348" s="4" t="s">
        <v>111</v>
      </c>
      <c r="Z348" s="1">
        <v>45419</v>
      </c>
      <c r="AA348" s="4" t="str" cm="1">
        <f t="array" ref="AA348">_xlfn.IFS(OR(AB348="December", AB348="February", AB348="January"), "Winter", OR(AB348="March", AB348="April", AB348="May"), "Spring", OR(AB348="June", AB348="July", AB348="August"), "Summer", TRUE, "Autumn")</f>
        <v>Spring</v>
      </c>
      <c r="AB348" s="7" t="str">
        <f>TEXT(Z348, "mmmm")</f>
        <v>May</v>
      </c>
      <c r="AC348" s="1" t="str">
        <f>TEXT(Z348, "dddd")</f>
        <v>Tuesday</v>
      </c>
      <c r="AD348" s="4" t="s">
        <v>76</v>
      </c>
      <c r="AE348" s="4" t="s">
        <v>76</v>
      </c>
      <c r="AF348" s="4" t="s">
        <v>92</v>
      </c>
      <c r="AG348" s="4" t="s">
        <v>64</v>
      </c>
      <c r="AH348" s="3">
        <v>12</v>
      </c>
    </row>
    <row r="349" spans="1:34">
      <c r="A349" s="4" t="s">
        <v>801</v>
      </c>
      <c r="B349" s="3">
        <v>27</v>
      </c>
      <c r="C349" s="9" t="str" cm="1">
        <f t="array" ref="C349">_xlfn.IFS(B349&gt;65,"+65",B349&gt;54,"55-65",B349&gt;44,"45-54",B349&gt;35,"36-44",B349&gt;25,"26-35",B349&gt;=18,"18-25")</f>
        <v>26-35</v>
      </c>
      <c r="D349" s="4" t="s">
        <v>66</v>
      </c>
      <c r="E349" s="4" t="s">
        <v>72</v>
      </c>
      <c r="F349" s="4" t="s">
        <v>79</v>
      </c>
      <c r="G349" s="4" t="s">
        <v>53</v>
      </c>
      <c r="H349" s="4" t="s">
        <v>802</v>
      </c>
      <c r="I349" s="4" t="s">
        <v>169</v>
      </c>
      <c r="J349" s="5">
        <v>119.51</v>
      </c>
      <c r="K349" s="3">
        <v>11</v>
      </c>
      <c r="L349" s="4" t="str">
        <f>IF(AND(J349&gt;350,K349&gt;6), "True","False")</f>
        <v>False</v>
      </c>
      <c r="M349" s="4" t="s">
        <v>83</v>
      </c>
      <c r="N349" s="3">
        <v>5</v>
      </c>
      <c r="O349" s="4" t="str" cm="1">
        <f t="array" ref="O349">_xlfn.IFS(P349&lt;=2,"Poor",P349=3,"Average",P349&gt;=4,"Good")</f>
        <v>Good</v>
      </c>
      <c r="P349" s="3">
        <v>5</v>
      </c>
      <c r="Q349" s="2">
        <v>2</v>
      </c>
      <c r="R349" s="4" t="s">
        <v>59</v>
      </c>
      <c r="S349" s="4" t="s">
        <v>73</v>
      </c>
      <c r="T349" s="3">
        <v>2</v>
      </c>
      <c r="U349" s="4" t="str" cm="1">
        <f t="array" ref="U349">_xlfn.IFS(V349&lt;=4, "Dissatisfied",V349&lt;=7,"Neutral",V349&gt;=8,"Satisfied")</f>
        <v>Satisfied</v>
      </c>
      <c r="V349" s="3">
        <v>8</v>
      </c>
      <c r="W349" s="4" t="s">
        <v>59</v>
      </c>
      <c r="X349" s="4" t="s">
        <v>101</v>
      </c>
      <c r="Y349" s="4" t="s">
        <v>86</v>
      </c>
      <c r="Z349" s="1">
        <v>45419</v>
      </c>
      <c r="AA349" s="4" t="str" cm="1">
        <f t="array" ref="AA349">_xlfn.IFS(OR(AB349="December", AB349="February", AB349="January"), "Winter", OR(AB349="March", AB349="April", AB349="May"), "Spring", OR(AB349="June", AB349="July", AB349="August"), "Summer", TRUE, "Autumn")</f>
        <v>Spring</v>
      </c>
      <c r="AB349" s="7" t="str">
        <f>TEXT(Z349, "mmmm")</f>
        <v>May</v>
      </c>
      <c r="AC349" s="1" t="str">
        <f>TEXT(Z349, "dddd")</f>
        <v>Tuesday</v>
      </c>
      <c r="AD349" s="4" t="s">
        <v>76</v>
      </c>
      <c r="AE349" s="4" t="s">
        <v>76</v>
      </c>
      <c r="AF349" s="4" t="s">
        <v>87</v>
      </c>
      <c r="AG349" s="4" t="s">
        <v>88</v>
      </c>
      <c r="AH349" s="3">
        <v>1</v>
      </c>
    </row>
    <row r="350" spans="1:34">
      <c r="A350" s="4" t="s">
        <v>803</v>
      </c>
      <c r="B350" s="3">
        <v>26</v>
      </c>
      <c r="C350" s="9" t="str" cm="1">
        <f t="array" ref="C350">_xlfn.IFS(B350&gt;65,"+65",B350&gt;54,"55-65",B350&gt;44,"45-54",B350&gt;35,"36-44",B350&gt;25,"26-35",B350&gt;=18,"18-25")</f>
        <v>26-35</v>
      </c>
      <c r="D350" s="4" t="s">
        <v>78</v>
      </c>
      <c r="E350" s="4" t="s">
        <v>72</v>
      </c>
      <c r="F350" s="4" t="s">
        <v>79</v>
      </c>
      <c r="G350" s="4" t="s">
        <v>53</v>
      </c>
      <c r="H350" s="4" t="s">
        <v>804</v>
      </c>
      <c r="I350" s="4" t="s">
        <v>194</v>
      </c>
      <c r="J350" s="5">
        <v>212.08</v>
      </c>
      <c r="K350" s="3">
        <v>8</v>
      </c>
      <c r="L350" s="4" t="str">
        <f>IF(AND(J350&gt;350,K350&gt;6), "True","False")</f>
        <v>False</v>
      </c>
      <c r="M350" s="4" t="s">
        <v>71</v>
      </c>
      <c r="N350" s="3">
        <v>5</v>
      </c>
      <c r="O350" s="4" t="str" cm="1">
        <f t="array" ref="O350">_xlfn.IFS(P350&lt;=2,"Poor",P350=3,"Average",P350&gt;=4,"Good")</f>
        <v>Good</v>
      </c>
      <c r="P350" s="3">
        <v>5</v>
      </c>
      <c r="Q350" s="2">
        <v>2</v>
      </c>
      <c r="R350" s="4" t="s">
        <v>59</v>
      </c>
      <c r="S350" s="4" t="s">
        <v>73</v>
      </c>
      <c r="T350" s="3">
        <v>1</v>
      </c>
      <c r="U350" s="4" t="str" cm="1">
        <f t="array" ref="U350">_xlfn.IFS(V350&lt;=4, "Dissatisfied",V350&lt;=7,"Neutral",V350&gt;=8,"Satisfied")</f>
        <v>Satisfied</v>
      </c>
      <c r="V350" s="3">
        <v>9</v>
      </c>
      <c r="W350" s="4" t="s">
        <v>57</v>
      </c>
      <c r="X350" s="4" t="s">
        <v>74</v>
      </c>
      <c r="Y350" s="4" t="s">
        <v>119</v>
      </c>
      <c r="Z350" s="1">
        <v>45419</v>
      </c>
      <c r="AA350" s="4" t="str" cm="1">
        <f t="array" ref="AA350">_xlfn.IFS(OR(AB350="December", AB350="February", AB350="January"), "Winter", OR(AB350="March", AB350="April", AB350="May"), "Spring", OR(AB350="June", AB350="July", AB350="August"), "Summer", TRUE, "Autumn")</f>
        <v>Spring</v>
      </c>
      <c r="AB350" s="7" t="str">
        <f>TEXT(Z350, "mmmm")</f>
        <v>May</v>
      </c>
      <c r="AC350" s="1" t="str">
        <f>TEXT(Z350, "dddd")</f>
        <v>Tuesday</v>
      </c>
      <c r="AD350" s="4" t="s">
        <v>76</v>
      </c>
      <c r="AE350" s="4" t="s">
        <v>76</v>
      </c>
      <c r="AF350" s="4" t="s">
        <v>63</v>
      </c>
      <c r="AG350" s="4" t="s">
        <v>64</v>
      </c>
      <c r="AH350" s="3">
        <v>13</v>
      </c>
    </row>
    <row r="351" spans="1:34">
      <c r="A351" s="4" t="s">
        <v>805</v>
      </c>
      <c r="B351" s="3">
        <v>25</v>
      </c>
      <c r="C351" s="9" t="str" cm="1">
        <f t="array" ref="C351">_xlfn.IFS(B351&gt;65,"+65",B351&gt;54,"55-65",B351&gt;44,"45-54",B351&gt;35,"36-44",B351&gt;25,"26-35",B351&gt;=18,"18-25")</f>
        <v>18-25</v>
      </c>
      <c r="D351" s="4" t="s">
        <v>78</v>
      </c>
      <c r="E351" s="4" t="s">
        <v>72</v>
      </c>
      <c r="F351" s="4" t="s">
        <v>95</v>
      </c>
      <c r="G351" s="4" t="s">
        <v>80</v>
      </c>
      <c r="H351" s="4" t="s">
        <v>806</v>
      </c>
      <c r="I351" s="4" t="s">
        <v>97</v>
      </c>
      <c r="J351" s="5">
        <v>455.44</v>
      </c>
      <c r="K351" s="3">
        <v>7</v>
      </c>
      <c r="L351" s="4" t="str">
        <f>IF(AND(J351&gt;350,K351&gt;6), "True","False")</f>
        <v>True</v>
      </c>
      <c r="M351" s="4" t="s">
        <v>83</v>
      </c>
      <c r="N351" s="3">
        <v>4</v>
      </c>
      <c r="O351" s="4" t="str" cm="1">
        <f t="array" ref="O351">_xlfn.IFS(P351&lt;=2,"Poor",P351=3,"Average",P351&gt;=4,"Good")</f>
        <v>Poor</v>
      </c>
      <c r="P351" s="3">
        <v>2</v>
      </c>
      <c r="Q351" s="2">
        <v>1</v>
      </c>
      <c r="R351" s="4" t="s">
        <v>59</v>
      </c>
      <c r="S351" s="4" t="s">
        <v>73</v>
      </c>
      <c r="T351" s="3">
        <v>2</v>
      </c>
      <c r="U351" s="4" t="str" cm="1">
        <f t="array" ref="U351">_xlfn.IFS(V351&lt;=4, "Dissatisfied",V351&lt;=7,"Neutral",V351&gt;=8,"Satisfied")</f>
        <v>Dissatisfied</v>
      </c>
      <c r="V351" s="3">
        <v>3</v>
      </c>
      <c r="W351" s="4" t="s">
        <v>59</v>
      </c>
      <c r="X351" s="4" t="s">
        <v>60</v>
      </c>
      <c r="Y351" s="4" t="s">
        <v>111</v>
      </c>
      <c r="Z351" s="1">
        <v>45419</v>
      </c>
      <c r="AA351" s="4" t="str" cm="1">
        <f t="array" ref="AA351">_xlfn.IFS(OR(AB351="December", AB351="February", AB351="January"), "Winter", OR(AB351="March", AB351="April", AB351="May"), "Spring", OR(AB351="June", AB351="July", AB351="August"), "Summer", TRUE, "Autumn")</f>
        <v>Spring</v>
      </c>
      <c r="AB351" s="7" t="str">
        <f>TEXT(Z351, "mmmm")</f>
        <v>May</v>
      </c>
      <c r="AC351" s="1" t="str">
        <f>TEXT(Z351, "dddd")</f>
        <v>Tuesday</v>
      </c>
      <c r="AD351" s="4" t="s">
        <v>76</v>
      </c>
      <c r="AE351" s="4" t="s">
        <v>76</v>
      </c>
      <c r="AF351" s="4" t="s">
        <v>63</v>
      </c>
      <c r="AG351" s="4" t="s">
        <v>88</v>
      </c>
      <c r="AH351" s="3">
        <v>3</v>
      </c>
    </row>
    <row r="352" spans="1:34">
      <c r="A352" s="4" t="s">
        <v>807</v>
      </c>
      <c r="B352" s="3">
        <v>45</v>
      </c>
      <c r="C352" s="9" t="str" cm="1">
        <f t="array" ref="C352">_xlfn.IFS(B352&gt;65,"+65",B352&gt;54,"55-65",B352&gt;44,"45-54",B352&gt;35,"36-44",B352&gt;25,"26-35",B352&gt;=18,"18-25")</f>
        <v>45-54</v>
      </c>
      <c r="D352" s="4" t="s">
        <v>66</v>
      </c>
      <c r="E352" s="4" t="s">
        <v>72</v>
      </c>
      <c r="F352" s="4" t="s">
        <v>79</v>
      </c>
      <c r="G352" s="4" t="s">
        <v>53</v>
      </c>
      <c r="H352" s="4" t="s">
        <v>808</v>
      </c>
      <c r="I352" s="4" t="s">
        <v>151</v>
      </c>
      <c r="J352" s="5">
        <v>192.35</v>
      </c>
      <c r="K352" s="3">
        <v>11</v>
      </c>
      <c r="L352" s="4" t="str">
        <f>IF(AND(J352&gt;350,K352&gt;6), "True","False")</f>
        <v>False</v>
      </c>
      <c r="M352" s="4" t="s">
        <v>83</v>
      </c>
      <c r="N352" s="3">
        <v>3</v>
      </c>
      <c r="O352" s="4" t="str" cm="1">
        <f t="array" ref="O352">_xlfn.IFS(P352&lt;=2,"Poor",P352=3,"Average",P352&gt;=4,"Good")</f>
        <v>Good</v>
      </c>
      <c r="P352" s="3">
        <v>5</v>
      </c>
      <c r="Q352" s="2">
        <v>2</v>
      </c>
      <c r="R352" s="4" t="s">
        <v>72</v>
      </c>
      <c r="S352" s="4" t="s">
        <v>58</v>
      </c>
      <c r="T352" s="3">
        <v>2</v>
      </c>
      <c r="U352" s="4" t="str" cm="1">
        <f t="array" ref="U352">_xlfn.IFS(V352&lt;=4, "Dissatisfied",V352&lt;=7,"Neutral",V352&gt;=8,"Satisfied")</f>
        <v>Dissatisfied</v>
      </c>
      <c r="V352" s="3">
        <v>1</v>
      </c>
      <c r="W352" s="4" t="s">
        <v>72</v>
      </c>
      <c r="X352" s="4" t="s">
        <v>60</v>
      </c>
      <c r="Y352" s="4" t="s">
        <v>119</v>
      </c>
      <c r="Z352" s="1">
        <v>45420</v>
      </c>
      <c r="AA352" s="4" t="str" cm="1">
        <f t="array" ref="AA352">_xlfn.IFS(OR(AB352="December", AB352="February", AB352="January"), "Winter", OR(AB352="March", AB352="April", AB352="May"), "Spring", OR(AB352="June", AB352="July", AB352="August"), "Summer", TRUE, "Autumn")</f>
        <v>Spring</v>
      </c>
      <c r="AB352" s="7" t="str">
        <f>TEXT(Z352, "mmmm")</f>
        <v>May</v>
      </c>
      <c r="AC352" s="1" t="str">
        <f>TEXT(Z352, "dddd")</f>
        <v>Wednesday</v>
      </c>
      <c r="AD352" s="4" t="s">
        <v>62</v>
      </c>
      <c r="AE352" s="4" t="s">
        <v>76</v>
      </c>
      <c r="AF352" s="4" t="s">
        <v>92</v>
      </c>
      <c r="AG352" s="4" t="s">
        <v>93</v>
      </c>
      <c r="AH352" s="3">
        <v>11</v>
      </c>
    </row>
    <row r="353" spans="1:34">
      <c r="A353" s="4" t="s">
        <v>809</v>
      </c>
      <c r="B353" s="3">
        <v>37</v>
      </c>
      <c r="C353" s="9" t="str" cm="1">
        <f t="array" ref="C353">_xlfn.IFS(B353&gt;65,"+65",B353&gt;54,"55-65",B353&gt;44,"45-54",B353&gt;35,"36-44",B353&gt;25,"26-35",B353&gt;=18,"18-25")</f>
        <v>36-44</v>
      </c>
      <c r="D353" s="4" t="s">
        <v>78</v>
      </c>
      <c r="E353" s="4" t="s">
        <v>72</v>
      </c>
      <c r="F353" s="4" t="s">
        <v>52</v>
      </c>
      <c r="G353" s="4" t="s">
        <v>80</v>
      </c>
      <c r="H353" s="4" t="s">
        <v>810</v>
      </c>
      <c r="I353" s="4" t="s">
        <v>275</v>
      </c>
      <c r="J353" s="5">
        <v>253.37</v>
      </c>
      <c r="K353" s="3">
        <v>12</v>
      </c>
      <c r="L353" s="4" t="str">
        <f>IF(AND(J353&gt;350,K353&gt;6), "True","False")</f>
        <v>False</v>
      </c>
      <c r="M353" s="4" t="s">
        <v>71</v>
      </c>
      <c r="N353" s="3">
        <v>2</v>
      </c>
      <c r="O353" s="4" t="str" cm="1">
        <f t="array" ref="O353">_xlfn.IFS(P353&lt;=2,"Poor",P353=3,"Average",P353&gt;=4,"Good")</f>
        <v>Good</v>
      </c>
      <c r="P353" s="3">
        <v>5</v>
      </c>
      <c r="Q353" s="2">
        <v>0</v>
      </c>
      <c r="R353" s="4" t="s">
        <v>57</v>
      </c>
      <c r="S353" s="4" t="s">
        <v>73</v>
      </c>
      <c r="T353" s="3">
        <v>0</v>
      </c>
      <c r="U353" s="4" t="str" cm="1">
        <f t="array" ref="U353">_xlfn.IFS(V353&lt;=4, "Dissatisfied",V353&lt;=7,"Neutral",V353&gt;=8,"Satisfied")</f>
        <v>Satisfied</v>
      </c>
      <c r="V353" s="3">
        <v>9</v>
      </c>
      <c r="W353" s="4" t="s">
        <v>59</v>
      </c>
      <c r="X353" s="4" t="s">
        <v>74</v>
      </c>
      <c r="Y353" s="4" t="s">
        <v>119</v>
      </c>
      <c r="Z353" s="1">
        <v>45420</v>
      </c>
      <c r="AA353" s="4" t="str" cm="1">
        <f t="array" ref="AA353">_xlfn.IFS(OR(AB353="December", AB353="February", AB353="January"), "Winter", OR(AB353="March", AB353="April", AB353="May"), "Spring", OR(AB353="June", AB353="July", AB353="August"), "Summer", TRUE, "Autumn")</f>
        <v>Spring</v>
      </c>
      <c r="AB353" s="7" t="str">
        <f>TEXT(Z353, "mmmm")</f>
        <v>May</v>
      </c>
      <c r="AC353" s="1" t="str">
        <f>TEXT(Z353, "dddd")</f>
        <v>Wednesday</v>
      </c>
      <c r="AD353" s="4" t="s">
        <v>76</v>
      </c>
      <c r="AE353" s="4" t="s">
        <v>62</v>
      </c>
      <c r="AF353" s="4" t="s">
        <v>87</v>
      </c>
      <c r="AG353" s="4" t="s">
        <v>93</v>
      </c>
      <c r="AH353" s="3">
        <v>6</v>
      </c>
    </row>
    <row r="354" spans="1:34">
      <c r="A354" s="4" t="s">
        <v>811</v>
      </c>
      <c r="B354" s="3">
        <v>29</v>
      </c>
      <c r="C354" s="9" t="str" cm="1">
        <f t="array" ref="C354">_xlfn.IFS(B354&gt;65,"+65",B354&gt;54,"55-65",B354&gt;44,"45-54",B354&gt;35,"36-44",B354&gt;25,"26-35",B354&gt;=18,"18-25")</f>
        <v>26-35</v>
      </c>
      <c r="D354" s="4" t="s">
        <v>66</v>
      </c>
      <c r="E354" s="4" t="s">
        <v>51</v>
      </c>
      <c r="F354" s="4" t="s">
        <v>67</v>
      </c>
      <c r="G354" s="4" t="s">
        <v>53</v>
      </c>
      <c r="H354" s="4" t="s">
        <v>812</v>
      </c>
      <c r="I354" s="4" t="s">
        <v>82</v>
      </c>
      <c r="J354" s="5">
        <v>498.33</v>
      </c>
      <c r="K354" s="3">
        <v>2</v>
      </c>
      <c r="L354" s="4" t="str">
        <f>IF(AND(J354&gt;350,K354&gt;6), "True","False")</f>
        <v>False</v>
      </c>
      <c r="M354" s="4" t="s">
        <v>56</v>
      </c>
      <c r="N354" s="3">
        <v>3</v>
      </c>
      <c r="O354" s="4" t="str" cm="1">
        <f t="array" ref="O354">_xlfn.IFS(P354&lt;=2,"Poor",P354=3,"Average",P354&gt;=4,"Good")</f>
        <v>Good</v>
      </c>
      <c r="P354" s="3">
        <v>5</v>
      </c>
      <c r="Q354" s="2">
        <v>2</v>
      </c>
      <c r="R354" s="4" t="s">
        <v>85</v>
      </c>
      <c r="S354" s="4" t="s">
        <v>73</v>
      </c>
      <c r="T354" s="3">
        <v>1</v>
      </c>
      <c r="U354" s="4" t="str" cm="1">
        <f t="array" ref="U354">_xlfn.IFS(V354&lt;=4, "Dissatisfied",V354&lt;=7,"Neutral",V354&gt;=8,"Satisfied")</f>
        <v>Satisfied</v>
      </c>
      <c r="V354" s="3">
        <v>9</v>
      </c>
      <c r="W354" s="4" t="s">
        <v>85</v>
      </c>
      <c r="X354" s="4" t="s">
        <v>60</v>
      </c>
      <c r="Y354" s="4" t="s">
        <v>86</v>
      </c>
      <c r="Z354" s="1">
        <v>45420</v>
      </c>
      <c r="AA354" s="4" t="str" cm="1">
        <f t="array" ref="AA354">_xlfn.IFS(OR(AB354="December", AB354="February", AB354="January"), "Winter", OR(AB354="March", AB354="April", AB354="May"), "Spring", OR(AB354="June", AB354="July", AB354="August"), "Summer", TRUE, "Autumn")</f>
        <v>Spring</v>
      </c>
      <c r="AB354" s="7" t="str">
        <f>TEXT(Z354, "mmmm")</f>
        <v>May</v>
      </c>
      <c r="AC354" s="1" t="str">
        <f>TEXT(Z354, "dddd")</f>
        <v>Wednesday</v>
      </c>
      <c r="AD354" s="4" t="s">
        <v>62</v>
      </c>
      <c r="AE354" s="4" t="s">
        <v>62</v>
      </c>
      <c r="AF354" s="4" t="s">
        <v>102</v>
      </c>
      <c r="AG354" s="4" t="s">
        <v>93</v>
      </c>
      <c r="AH354" s="3">
        <v>1</v>
      </c>
    </row>
    <row r="355" spans="1:34">
      <c r="A355" s="4" t="s">
        <v>813</v>
      </c>
      <c r="B355" s="3">
        <v>49</v>
      </c>
      <c r="C355" s="9" t="str" cm="1">
        <f t="array" ref="C355">_xlfn.IFS(B355&gt;65,"+65",B355&gt;54,"55-65",B355&gt;44,"45-54",B355&gt;35,"36-44",B355&gt;25,"26-35",B355&gt;=18,"18-25")</f>
        <v>45-54</v>
      </c>
      <c r="D355" s="4" t="s">
        <v>66</v>
      </c>
      <c r="E355" s="4" t="s">
        <v>72</v>
      </c>
      <c r="F355" s="4" t="s">
        <v>67</v>
      </c>
      <c r="G355" s="4" t="s">
        <v>80</v>
      </c>
      <c r="H355" s="4" t="s">
        <v>814</v>
      </c>
      <c r="I355" s="4" t="s">
        <v>100</v>
      </c>
      <c r="J355" s="5">
        <v>427.1</v>
      </c>
      <c r="K355" s="3">
        <v>8</v>
      </c>
      <c r="L355" s="4" t="str">
        <f>IF(AND(J355&gt;350,K355&gt;6), "True","False")</f>
        <v>True</v>
      </c>
      <c r="M355" s="4" t="s">
        <v>83</v>
      </c>
      <c r="N355" s="3">
        <v>1</v>
      </c>
      <c r="O355" s="4" t="str" cm="1">
        <f t="array" ref="O355">_xlfn.IFS(P355&lt;=2,"Poor",P355=3,"Average",P355&gt;=4,"Good")</f>
        <v>Poor</v>
      </c>
      <c r="P355" s="3">
        <v>2</v>
      </c>
      <c r="Q355" s="2">
        <v>1</v>
      </c>
      <c r="R355" s="4" t="s">
        <v>72</v>
      </c>
      <c r="S355" s="4" t="s">
        <v>84</v>
      </c>
      <c r="T355" s="3">
        <v>0</v>
      </c>
      <c r="U355" s="4" t="str" cm="1">
        <f t="array" ref="U355">_xlfn.IFS(V355&lt;=4, "Dissatisfied",V355&lt;=7,"Neutral",V355&gt;=8,"Satisfied")</f>
        <v>Dissatisfied</v>
      </c>
      <c r="V355" s="3">
        <v>2</v>
      </c>
      <c r="W355" s="4" t="s">
        <v>85</v>
      </c>
      <c r="X355" s="4" t="s">
        <v>101</v>
      </c>
      <c r="Y355" s="4" t="s">
        <v>86</v>
      </c>
      <c r="Z355" s="1">
        <v>45422</v>
      </c>
      <c r="AA355" s="4" t="str" cm="1">
        <f t="array" ref="AA355">_xlfn.IFS(OR(AB355="December", AB355="February", AB355="January"), "Winter", OR(AB355="March", AB355="April", AB355="May"), "Spring", OR(AB355="June", AB355="July", AB355="August"), "Summer", TRUE, "Autumn")</f>
        <v>Spring</v>
      </c>
      <c r="AB355" s="7" t="str">
        <f>TEXT(Z355, "mmmm")</f>
        <v>May</v>
      </c>
      <c r="AC355" s="1" t="str">
        <f>TEXT(Z355, "dddd")</f>
        <v>Friday</v>
      </c>
      <c r="AD355" s="4" t="s">
        <v>76</v>
      </c>
      <c r="AE355" s="4" t="s">
        <v>62</v>
      </c>
      <c r="AF355" s="4" t="s">
        <v>87</v>
      </c>
      <c r="AG355" s="4" t="s">
        <v>88</v>
      </c>
      <c r="AH355" s="3">
        <v>5</v>
      </c>
    </row>
    <row r="356" spans="1:34">
      <c r="A356" s="4" t="s">
        <v>815</v>
      </c>
      <c r="B356" s="3">
        <v>44</v>
      </c>
      <c r="C356" s="9" t="str" cm="1">
        <f t="array" ref="C356">_xlfn.IFS(B356&gt;65,"+65",B356&gt;54,"55-65",B356&gt;44,"45-54",B356&gt;35,"36-44",B356&gt;25,"26-35",B356&gt;=18,"18-25")</f>
        <v>36-44</v>
      </c>
      <c r="D356" s="4" t="s">
        <v>66</v>
      </c>
      <c r="E356" s="4" t="s">
        <v>51</v>
      </c>
      <c r="F356" s="4" t="s">
        <v>79</v>
      </c>
      <c r="G356" s="4" t="s">
        <v>80</v>
      </c>
      <c r="H356" s="4" t="s">
        <v>816</v>
      </c>
      <c r="I356" s="4" t="s">
        <v>55</v>
      </c>
      <c r="J356" s="5">
        <v>80.17</v>
      </c>
      <c r="K356" s="3">
        <v>10</v>
      </c>
      <c r="L356" s="4" t="str">
        <f>IF(AND(J356&gt;350,K356&gt;6), "True","False")</f>
        <v>False</v>
      </c>
      <c r="M356" s="4" t="s">
        <v>56</v>
      </c>
      <c r="N356" s="3">
        <v>1</v>
      </c>
      <c r="O356" s="4" t="str" cm="1">
        <f t="array" ref="O356">_xlfn.IFS(P356&lt;=2,"Poor",P356=3,"Average",P356&gt;=4,"Good")</f>
        <v>Poor</v>
      </c>
      <c r="P356" s="3">
        <v>1</v>
      </c>
      <c r="Q356" s="2">
        <v>1</v>
      </c>
      <c r="R356" s="4" t="s">
        <v>72</v>
      </c>
      <c r="S356" s="4" t="s">
        <v>58</v>
      </c>
      <c r="T356" s="3">
        <v>1</v>
      </c>
      <c r="U356" s="4" t="str" cm="1">
        <f t="array" ref="U356">_xlfn.IFS(V356&lt;=4, "Dissatisfied",V356&lt;=7,"Neutral",V356&gt;=8,"Satisfied")</f>
        <v>Satisfied</v>
      </c>
      <c r="V356" s="3">
        <v>8</v>
      </c>
      <c r="W356" s="4" t="s">
        <v>57</v>
      </c>
      <c r="X356" s="4" t="s">
        <v>74</v>
      </c>
      <c r="Y356" s="4" t="s">
        <v>119</v>
      </c>
      <c r="Z356" s="1">
        <v>45422</v>
      </c>
      <c r="AA356" s="4" t="str" cm="1">
        <f t="array" ref="AA356">_xlfn.IFS(OR(AB356="December", AB356="February", AB356="January"), "Winter", OR(AB356="March", AB356="April", AB356="May"), "Spring", OR(AB356="June", AB356="July", AB356="August"), "Summer", TRUE, "Autumn")</f>
        <v>Spring</v>
      </c>
      <c r="AB356" s="7" t="str">
        <f>TEXT(Z356, "mmmm")</f>
        <v>May</v>
      </c>
      <c r="AC356" s="1" t="str">
        <f>TEXT(Z356, "dddd")</f>
        <v>Friday</v>
      </c>
      <c r="AD356" s="4" t="s">
        <v>62</v>
      </c>
      <c r="AE356" s="4" t="s">
        <v>62</v>
      </c>
      <c r="AF356" s="4" t="s">
        <v>87</v>
      </c>
      <c r="AG356" s="4" t="s">
        <v>88</v>
      </c>
      <c r="AH356" s="3">
        <v>6</v>
      </c>
    </row>
    <row r="357" spans="1:34">
      <c r="A357" s="4" t="s">
        <v>817</v>
      </c>
      <c r="B357" s="3">
        <v>30</v>
      </c>
      <c r="C357" s="9" t="str" cm="1">
        <f t="array" ref="C357">_xlfn.IFS(B357&gt;65,"+65",B357&gt;54,"55-65",B357&gt;44,"45-54",B357&gt;35,"36-44",B357&gt;25,"26-35",B357&gt;=18,"18-25")</f>
        <v>26-35</v>
      </c>
      <c r="D357" s="4" t="s">
        <v>78</v>
      </c>
      <c r="E357" s="4" t="s">
        <v>51</v>
      </c>
      <c r="F357" s="4" t="s">
        <v>95</v>
      </c>
      <c r="G357" s="4" t="s">
        <v>68</v>
      </c>
      <c r="H357" s="4" t="s">
        <v>818</v>
      </c>
      <c r="I357" s="4" t="s">
        <v>156</v>
      </c>
      <c r="J357" s="5">
        <v>211.39</v>
      </c>
      <c r="K357" s="3">
        <v>10</v>
      </c>
      <c r="L357" s="4" t="str">
        <f>IF(AND(J357&gt;350,K357&gt;6), "True","False")</f>
        <v>False</v>
      </c>
      <c r="M357" s="4" t="s">
        <v>56</v>
      </c>
      <c r="N357" s="3">
        <v>4</v>
      </c>
      <c r="O357" s="4" t="str" cm="1">
        <f t="array" ref="O357">_xlfn.IFS(P357&lt;=2,"Poor",P357=3,"Average",P357&gt;=4,"Good")</f>
        <v>Good</v>
      </c>
      <c r="P357" s="3">
        <v>5</v>
      </c>
      <c r="Q357" s="2">
        <v>1</v>
      </c>
      <c r="R357" s="4" t="s">
        <v>85</v>
      </c>
      <c r="S357" s="4" t="s">
        <v>58</v>
      </c>
      <c r="T357" s="3">
        <v>0</v>
      </c>
      <c r="U357" s="4" t="str" cm="1">
        <f t="array" ref="U357">_xlfn.IFS(V357&lt;=4, "Dissatisfied",V357&lt;=7,"Neutral",V357&gt;=8,"Satisfied")</f>
        <v>Dissatisfied</v>
      </c>
      <c r="V357" s="3">
        <v>1</v>
      </c>
      <c r="W357" s="4" t="s">
        <v>59</v>
      </c>
      <c r="X357" s="4" t="s">
        <v>101</v>
      </c>
      <c r="Y357" s="4" t="s">
        <v>111</v>
      </c>
      <c r="Z357" s="1">
        <v>45422</v>
      </c>
      <c r="AA357" s="4" t="str" cm="1">
        <f t="array" ref="AA357">_xlfn.IFS(OR(AB357="December", AB357="February", AB357="January"), "Winter", OR(AB357="March", AB357="April", AB357="May"), "Spring", OR(AB357="June", AB357="July", AB357="August"), "Summer", TRUE, "Autumn")</f>
        <v>Spring</v>
      </c>
      <c r="AB357" s="7" t="str">
        <f>TEXT(Z357, "mmmm")</f>
        <v>May</v>
      </c>
      <c r="AC357" s="1" t="str">
        <f>TEXT(Z357, "dddd")</f>
        <v>Friday</v>
      </c>
      <c r="AD357" s="4" t="s">
        <v>62</v>
      </c>
      <c r="AE357" s="4" t="s">
        <v>76</v>
      </c>
      <c r="AF357" s="4" t="s">
        <v>87</v>
      </c>
      <c r="AG357" s="4" t="s">
        <v>93</v>
      </c>
      <c r="AH357" s="3">
        <v>1</v>
      </c>
    </row>
    <row r="358" spans="1:34">
      <c r="A358" s="4" t="s">
        <v>819</v>
      </c>
      <c r="B358" s="3">
        <v>29</v>
      </c>
      <c r="C358" s="9" t="str" cm="1">
        <f t="array" ref="C358">_xlfn.IFS(B358&gt;65,"+65",B358&gt;54,"55-65",B358&gt;44,"45-54",B358&gt;35,"36-44",B358&gt;25,"26-35",B358&gt;=18,"18-25")</f>
        <v>26-35</v>
      </c>
      <c r="D358" s="4" t="s">
        <v>225</v>
      </c>
      <c r="E358" s="4" t="s">
        <v>51</v>
      </c>
      <c r="F358" s="4" t="s">
        <v>67</v>
      </c>
      <c r="G358" s="4" t="s">
        <v>68</v>
      </c>
      <c r="H358" s="4" t="s">
        <v>820</v>
      </c>
      <c r="I358" s="4" t="s">
        <v>172</v>
      </c>
      <c r="J358" s="5">
        <v>443.52</v>
      </c>
      <c r="K358" s="3">
        <v>5</v>
      </c>
      <c r="L358" s="4" t="str">
        <f>IF(AND(J358&gt;350,K358&gt;6), "True","False")</f>
        <v>False</v>
      </c>
      <c r="M358" s="4" t="s">
        <v>71</v>
      </c>
      <c r="N358" s="3">
        <v>5</v>
      </c>
      <c r="O358" s="4" t="str" cm="1">
        <f t="array" ref="O358">_xlfn.IFS(P358&lt;=2,"Poor",P358=3,"Average",P358&gt;=4,"Good")</f>
        <v>Average</v>
      </c>
      <c r="P358" s="3">
        <v>3</v>
      </c>
      <c r="Q358" s="2">
        <v>0</v>
      </c>
      <c r="R358" s="4" t="s">
        <v>57</v>
      </c>
      <c r="S358" s="4" t="s">
        <v>84</v>
      </c>
      <c r="T358" s="3">
        <v>0</v>
      </c>
      <c r="U358" s="4" t="str" cm="1">
        <f t="array" ref="U358">_xlfn.IFS(V358&lt;=4, "Dissatisfied",V358&lt;=7,"Neutral",V358&gt;=8,"Satisfied")</f>
        <v>Neutral</v>
      </c>
      <c r="V358" s="3">
        <v>7</v>
      </c>
      <c r="W358" s="4" t="s">
        <v>59</v>
      </c>
      <c r="X358" s="4" t="s">
        <v>74</v>
      </c>
      <c r="Y358" s="4" t="s">
        <v>61</v>
      </c>
      <c r="Z358" s="1">
        <v>45422</v>
      </c>
      <c r="AA358" s="4" t="str" cm="1">
        <f t="array" ref="AA358">_xlfn.IFS(OR(AB358="December", AB358="February", AB358="January"), "Winter", OR(AB358="March", AB358="April", AB358="May"), "Spring", OR(AB358="June", AB358="July", AB358="August"), "Summer", TRUE, "Autumn")</f>
        <v>Spring</v>
      </c>
      <c r="AB358" s="7" t="str">
        <f>TEXT(Z358, "mmmm")</f>
        <v>May</v>
      </c>
      <c r="AC358" s="1" t="str">
        <f>TEXT(Z358, "dddd")</f>
        <v>Friday</v>
      </c>
      <c r="AD358" s="4" t="s">
        <v>62</v>
      </c>
      <c r="AE358" s="4" t="s">
        <v>76</v>
      </c>
      <c r="AF358" s="4" t="s">
        <v>63</v>
      </c>
      <c r="AG358" s="4" t="s">
        <v>64</v>
      </c>
      <c r="AH358" s="3">
        <v>9</v>
      </c>
    </row>
    <row r="359" spans="1:34">
      <c r="A359" s="4" t="s">
        <v>821</v>
      </c>
      <c r="B359" s="3">
        <v>47</v>
      </c>
      <c r="C359" s="9" t="str" cm="1">
        <f t="array" ref="C359">_xlfn.IFS(B359&gt;65,"+65",B359&gt;54,"55-65",B359&gt;44,"45-54",B359&gt;35,"36-44",B359&gt;25,"26-35",B359&gt;=18,"18-25")</f>
        <v>45-54</v>
      </c>
      <c r="D359" s="4" t="s">
        <v>66</v>
      </c>
      <c r="E359" s="4" t="s">
        <v>51</v>
      </c>
      <c r="F359" s="4" t="s">
        <v>79</v>
      </c>
      <c r="G359" s="4" t="s">
        <v>53</v>
      </c>
      <c r="H359" s="4" t="s">
        <v>822</v>
      </c>
      <c r="I359" s="4" t="s">
        <v>275</v>
      </c>
      <c r="J359" s="5">
        <v>249.6</v>
      </c>
      <c r="K359" s="3">
        <v>7</v>
      </c>
      <c r="L359" s="4" t="str">
        <f>IF(AND(J359&gt;350,K359&gt;6), "True","False")</f>
        <v>False</v>
      </c>
      <c r="M359" s="4" t="s">
        <v>83</v>
      </c>
      <c r="N359" s="3">
        <v>4</v>
      </c>
      <c r="O359" s="4" t="str" cm="1">
        <f t="array" ref="O359">_xlfn.IFS(P359&lt;=2,"Poor",P359=3,"Average",P359&gt;=4,"Good")</f>
        <v>Poor</v>
      </c>
      <c r="P359" s="3">
        <v>1</v>
      </c>
      <c r="Q359" s="2">
        <v>1</v>
      </c>
      <c r="R359" s="4" t="s">
        <v>59</v>
      </c>
      <c r="S359" s="4" t="s">
        <v>84</v>
      </c>
      <c r="T359" s="3">
        <v>2</v>
      </c>
      <c r="U359" s="4" t="str" cm="1">
        <f t="array" ref="U359">_xlfn.IFS(V359&lt;=4, "Dissatisfied",V359&lt;=7,"Neutral",V359&gt;=8,"Satisfied")</f>
        <v>Neutral</v>
      </c>
      <c r="V359" s="3">
        <v>7</v>
      </c>
      <c r="W359" s="4" t="s">
        <v>72</v>
      </c>
      <c r="X359" s="4" t="s">
        <v>60</v>
      </c>
      <c r="Y359" s="4" t="s">
        <v>75</v>
      </c>
      <c r="Z359" s="1">
        <v>45423</v>
      </c>
      <c r="AA359" s="4" t="str" cm="1">
        <f t="array" ref="AA359">_xlfn.IFS(OR(AB359="December", AB359="February", AB359="January"), "Winter", OR(AB359="March", AB359="April", AB359="May"), "Spring", OR(AB359="June", AB359="July", AB359="August"), "Summer", TRUE, "Autumn")</f>
        <v>Spring</v>
      </c>
      <c r="AB359" s="7" t="str">
        <f>TEXT(Z359, "mmmm")</f>
        <v>May</v>
      </c>
      <c r="AC359" s="1" t="str">
        <f>TEXT(Z359, "dddd")</f>
        <v>Saturday</v>
      </c>
      <c r="AD359" s="4" t="s">
        <v>62</v>
      </c>
      <c r="AE359" s="4" t="s">
        <v>76</v>
      </c>
      <c r="AF359" s="4" t="s">
        <v>102</v>
      </c>
      <c r="AG359" s="4" t="s">
        <v>64</v>
      </c>
      <c r="AH359" s="3">
        <v>11</v>
      </c>
    </row>
    <row r="360" spans="1:34">
      <c r="A360" s="4" t="s">
        <v>823</v>
      </c>
      <c r="B360" s="3">
        <v>45</v>
      </c>
      <c r="C360" s="9" t="str" cm="1">
        <f t="array" ref="C360">_xlfn.IFS(B360&gt;65,"+65",B360&gt;54,"55-65",B360&gt;44,"45-54",B360&gt;35,"36-44",B360&gt;25,"26-35",B360&gt;=18,"18-25")</f>
        <v>45-54</v>
      </c>
      <c r="D360" s="4" t="s">
        <v>66</v>
      </c>
      <c r="E360" s="4" t="s">
        <v>72</v>
      </c>
      <c r="F360" s="4" t="s">
        <v>67</v>
      </c>
      <c r="G360" s="4" t="s">
        <v>80</v>
      </c>
      <c r="H360" s="4" t="s">
        <v>824</v>
      </c>
      <c r="I360" s="4" t="s">
        <v>172</v>
      </c>
      <c r="J360" s="5">
        <v>364.98</v>
      </c>
      <c r="K360" s="3">
        <v>7</v>
      </c>
      <c r="L360" s="4" t="str">
        <f>IF(AND(J360&gt;350,K360&gt;6), "True","False")</f>
        <v>True</v>
      </c>
      <c r="M360" s="4" t="s">
        <v>71</v>
      </c>
      <c r="N360" s="3">
        <v>4</v>
      </c>
      <c r="O360" s="4" t="str" cm="1">
        <f t="array" ref="O360">_xlfn.IFS(P360&lt;=2,"Poor",P360=3,"Average",P360&gt;=4,"Good")</f>
        <v>Poor</v>
      </c>
      <c r="P360" s="3">
        <v>1</v>
      </c>
      <c r="Q360" s="2">
        <v>0</v>
      </c>
      <c r="R360" s="4" t="s">
        <v>59</v>
      </c>
      <c r="S360" s="4" t="s">
        <v>73</v>
      </c>
      <c r="T360" s="3">
        <v>0</v>
      </c>
      <c r="U360" s="4" t="str" cm="1">
        <f t="array" ref="U360">_xlfn.IFS(V360&lt;=4, "Dissatisfied",V360&lt;=7,"Neutral",V360&gt;=8,"Satisfied")</f>
        <v>Dissatisfied</v>
      </c>
      <c r="V360" s="3">
        <v>1</v>
      </c>
      <c r="W360" s="4" t="s">
        <v>57</v>
      </c>
      <c r="X360" s="4" t="s">
        <v>101</v>
      </c>
      <c r="Y360" s="4" t="s">
        <v>61</v>
      </c>
      <c r="Z360" s="1">
        <v>45423</v>
      </c>
      <c r="AA360" s="4" t="str" cm="1">
        <f t="array" ref="AA360">_xlfn.IFS(OR(AB360="December", AB360="February", AB360="January"), "Winter", OR(AB360="March", AB360="April", AB360="May"), "Spring", OR(AB360="June", AB360="July", AB360="August"), "Summer", TRUE, "Autumn")</f>
        <v>Spring</v>
      </c>
      <c r="AB360" s="7" t="str">
        <f>TEXT(Z360, "mmmm")</f>
        <v>May</v>
      </c>
      <c r="AC360" s="1" t="str">
        <f>TEXT(Z360, "dddd")</f>
        <v>Saturday</v>
      </c>
      <c r="AD360" s="4" t="s">
        <v>62</v>
      </c>
      <c r="AE360" s="4" t="s">
        <v>76</v>
      </c>
      <c r="AF360" s="4" t="s">
        <v>102</v>
      </c>
      <c r="AG360" s="4" t="s">
        <v>64</v>
      </c>
      <c r="AH360" s="3">
        <v>8</v>
      </c>
    </row>
    <row r="361" spans="1:34">
      <c r="A361" s="4" t="s">
        <v>825</v>
      </c>
      <c r="B361" s="3">
        <v>36</v>
      </c>
      <c r="C361" s="9" t="str" cm="1">
        <f t="array" ref="C361">_xlfn.IFS(B361&gt;65,"+65",B361&gt;54,"55-65",B361&gt;44,"45-54",B361&gt;35,"36-44",B361&gt;25,"26-35",B361&gt;=18,"18-25")</f>
        <v>36-44</v>
      </c>
      <c r="D361" s="4" t="s">
        <v>66</v>
      </c>
      <c r="E361" s="4" t="s">
        <v>72</v>
      </c>
      <c r="F361" s="4" t="s">
        <v>52</v>
      </c>
      <c r="G361" s="4" t="s">
        <v>53</v>
      </c>
      <c r="H361" s="4" t="s">
        <v>826</v>
      </c>
      <c r="I361" s="4" t="s">
        <v>110</v>
      </c>
      <c r="J361" s="5">
        <v>207.24</v>
      </c>
      <c r="K361" s="3">
        <v>9</v>
      </c>
      <c r="L361" s="4" t="str">
        <f>IF(AND(J361&gt;350,K361&gt;6), "True","False")</f>
        <v>False</v>
      </c>
      <c r="M361" s="4" t="s">
        <v>56</v>
      </c>
      <c r="N361" s="3">
        <v>2</v>
      </c>
      <c r="O361" s="4" t="str" cm="1">
        <f t="array" ref="O361">_xlfn.IFS(P361&lt;=2,"Poor",P361=3,"Average",P361&gt;=4,"Good")</f>
        <v>Poor</v>
      </c>
      <c r="P361" s="3">
        <v>2</v>
      </c>
      <c r="Q361" s="2">
        <v>0</v>
      </c>
      <c r="R361" s="4" t="s">
        <v>59</v>
      </c>
      <c r="S361" s="4" t="s">
        <v>58</v>
      </c>
      <c r="T361" s="3">
        <v>0</v>
      </c>
      <c r="U361" s="4" t="str" cm="1">
        <f t="array" ref="U361">_xlfn.IFS(V361&lt;=4, "Dissatisfied",V361&lt;=7,"Neutral",V361&gt;=8,"Satisfied")</f>
        <v>Neutral</v>
      </c>
      <c r="V361" s="3">
        <v>6</v>
      </c>
      <c r="W361" s="4" t="s">
        <v>57</v>
      </c>
      <c r="X361" s="4" t="s">
        <v>101</v>
      </c>
      <c r="Y361" s="4" t="s">
        <v>75</v>
      </c>
      <c r="Z361" s="1">
        <v>45424</v>
      </c>
      <c r="AA361" s="4" t="str" cm="1">
        <f t="array" ref="AA361">_xlfn.IFS(OR(AB361="December", AB361="February", AB361="January"), "Winter", OR(AB361="March", AB361="April", AB361="May"), "Spring", OR(AB361="June", AB361="July", AB361="August"), "Summer", TRUE, "Autumn")</f>
        <v>Spring</v>
      </c>
      <c r="AB361" s="7" t="str">
        <f>TEXT(Z361, "mmmm")</f>
        <v>May</v>
      </c>
      <c r="AC361" s="1" t="str">
        <f>TEXT(Z361, "dddd")</f>
        <v>Sunday</v>
      </c>
      <c r="AD361" s="4" t="s">
        <v>62</v>
      </c>
      <c r="AE361" s="4" t="s">
        <v>76</v>
      </c>
      <c r="AF361" s="4" t="s">
        <v>92</v>
      </c>
      <c r="AG361" s="4" t="s">
        <v>88</v>
      </c>
      <c r="AH361" s="3">
        <v>3</v>
      </c>
    </row>
    <row r="362" spans="1:34">
      <c r="A362" s="4" t="s">
        <v>827</v>
      </c>
      <c r="B362" s="3">
        <v>50</v>
      </c>
      <c r="C362" s="9" t="str" cm="1">
        <f t="array" ref="C362">_xlfn.IFS(B362&gt;65,"+65",B362&gt;54,"55-65",B362&gt;44,"45-54",B362&gt;35,"36-44",B362&gt;25,"26-35",B362&gt;=18,"18-25")</f>
        <v>45-54</v>
      </c>
      <c r="D362" s="4" t="s">
        <v>78</v>
      </c>
      <c r="E362" s="4" t="s">
        <v>72</v>
      </c>
      <c r="F362" s="4" t="s">
        <v>67</v>
      </c>
      <c r="G362" s="4" t="s">
        <v>68</v>
      </c>
      <c r="H362" s="4" t="s">
        <v>828</v>
      </c>
      <c r="I362" s="4" t="s">
        <v>105</v>
      </c>
      <c r="J362" s="5">
        <v>235.49</v>
      </c>
      <c r="K362" s="3">
        <v>5</v>
      </c>
      <c r="L362" s="4" t="str">
        <f>IF(AND(J362&gt;350,K362&gt;6), "True","False")</f>
        <v>False</v>
      </c>
      <c r="M362" s="4" t="s">
        <v>71</v>
      </c>
      <c r="N362" s="3">
        <v>4</v>
      </c>
      <c r="O362" s="4" t="str" cm="1">
        <f t="array" ref="O362">_xlfn.IFS(P362&lt;=2,"Poor",P362=3,"Average",P362&gt;=4,"Good")</f>
        <v>Average</v>
      </c>
      <c r="P362" s="3">
        <v>3</v>
      </c>
      <c r="Q362" s="2">
        <v>1</v>
      </c>
      <c r="R362" s="4" t="s">
        <v>72</v>
      </c>
      <c r="S362" s="4" t="s">
        <v>84</v>
      </c>
      <c r="T362" s="3">
        <v>1</v>
      </c>
      <c r="U362" s="4" t="str" cm="1">
        <f t="array" ref="U362">_xlfn.IFS(V362&lt;=4, "Dissatisfied",V362&lt;=7,"Neutral",V362&gt;=8,"Satisfied")</f>
        <v>Neutral</v>
      </c>
      <c r="V362" s="3">
        <v>6</v>
      </c>
      <c r="W362" s="4" t="s">
        <v>57</v>
      </c>
      <c r="X362" s="4" t="s">
        <v>60</v>
      </c>
      <c r="Y362" s="4" t="s">
        <v>61</v>
      </c>
      <c r="Z362" s="1">
        <v>45425</v>
      </c>
      <c r="AA362" s="4" t="str" cm="1">
        <f t="array" ref="AA362">_xlfn.IFS(OR(AB362="December", AB362="February", AB362="January"), "Winter", OR(AB362="March", AB362="April", AB362="May"), "Spring", OR(AB362="June", AB362="July", AB362="August"), "Summer", TRUE, "Autumn")</f>
        <v>Spring</v>
      </c>
      <c r="AB362" s="7" t="str">
        <f>TEXT(Z362, "mmmm")</f>
        <v>May</v>
      </c>
      <c r="AC362" s="1" t="str">
        <f>TEXT(Z362, "dddd")</f>
        <v>Monday</v>
      </c>
      <c r="AD362" s="4" t="s">
        <v>62</v>
      </c>
      <c r="AE362" s="4" t="s">
        <v>76</v>
      </c>
      <c r="AF362" s="4" t="s">
        <v>92</v>
      </c>
      <c r="AG362" s="4" t="s">
        <v>93</v>
      </c>
      <c r="AH362" s="3">
        <v>5</v>
      </c>
    </row>
    <row r="363" spans="1:34">
      <c r="A363" s="4" t="s">
        <v>829</v>
      </c>
      <c r="B363" s="3">
        <v>29</v>
      </c>
      <c r="C363" s="9" t="str" cm="1">
        <f t="array" ref="C363">_xlfn.IFS(B363&gt;65,"+65",B363&gt;54,"55-65",B363&gt;44,"45-54",B363&gt;35,"36-44",B363&gt;25,"26-35",B363&gt;=18,"18-25")</f>
        <v>26-35</v>
      </c>
      <c r="D363" s="4" t="s">
        <v>66</v>
      </c>
      <c r="E363" s="4" t="s">
        <v>51</v>
      </c>
      <c r="F363" s="4" t="s">
        <v>79</v>
      </c>
      <c r="G363" s="4" t="s">
        <v>68</v>
      </c>
      <c r="H363" s="4" t="s">
        <v>830</v>
      </c>
      <c r="I363" s="4" t="s">
        <v>133</v>
      </c>
      <c r="J363" s="5">
        <v>377.67</v>
      </c>
      <c r="K363" s="3">
        <v>8</v>
      </c>
      <c r="L363" s="4" t="str">
        <f>IF(AND(J363&gt;350,K363&gt;6), "True","False")</f>
        <v>True</v>
      </c>
      <c r="M363" s="4" t="s">
        <v>56</v>
      </c>
      <c r="N363" s="3">
        <v>5</v>
      </c>
      <c r="O363" s="4" t="str" cm="1">
        <f t="array" ref="O363">_xlfn.IFS(P363&lt;=2,"Poor",P363=3,"Average",P363&gt;=4,"Good")</f>
        <v>Average</v>
      </c>
      <c r="P363" s="3">
        <v>3</v>
      </c>
      <c r="Q363" s="2">
        <v>0</v>
      </c>
      <c r="R363" s="4" t="s">
        <v>57</v>
      </c>
      <c r="S363" s="4" t="s">
        <v>73</v>
      </c>
      <c r="T363" s="3">
        <v>2</v>
      </c>
      <c r="U363" s="4" t="str" cm="1">
        <f t="array" ref="U363">_xlfn.IFS(V363&lt;=4, "Dissatisfied",V363&lt;=7,"Neutral",V363&gt;=8,"Satisfied")</f>
        <v>Dissatisfied</v>
      </c>
      <c r="V363" s="3">
        <v>1</v>
      </c>
      <c r="W363" s="4" t="s">
        <v>72</v>
      </c>
      <c r="X363" s="4" t="s">
        <v>101</v>
      </c>
      <c r="Y363" s="4" t="s">
        <v>86</v>
      </c>
      <c r="Z363" s="1">
        <v>45425</v>
      </c>
      <c r="AA363" s="4" t="str" cm="1">
        <f t="array" ref="AA363">_xlfn.IFS(OR(AB363="December", AB363="February", AB363="January"), "Winter", OR(AB363="March", AB363="April", AB363="May"), "Spring", OR(AB363="June", AB363="July", AB363="August"), "Summer", TRUE, "Autumn")</f>
        <v>Spring</v>
      </c>
      <c r="AB363" s="7" t="str">
        <f>TEXT(Z363, "mmmm")</f>
        <v>May</v>
      </c>
      <c r="AC363" s="1" t="str">
        <f>TEXT(Z363, "dddd")</f>
        <v>Monday</v>
      </c>
      <c r="AD363" s="4" t="s">
        <v>62</v>
      </c>
      <c r="AE363" s="4" t="s">
        <v>76</v>
      </c>
      <c r="AF363" s="4" t="s">
        <v>63</v>
      </c>
      <c r="AG363" s="4" t="s">
        <v>88</v>
      </c>
      <c r="AH363" s="3">
        <v>14</v>
      </c>
    </row>
    <row r="364" spans="1:34">
      <c r="A364" s="4" t="s">
        <v>831</v>
      </c>
      <c r="B364" s="3">
        <v>26</v>
      </c>
      <c r="C364" s="9" t="str" cm="1">
        <f t="array" ref="C364">_xlfn.IFS(B364&gt;65,"+65",B364&gt;54,"55-65",B364&gt;44,"45-54",B364&gt;35,"36-44",B364&gt;25,"26-35",B364&gt;=18,"18-25")</f>
        <v>26-35</v>
      </c>
      <c r="D364" s="4" t="s">
        <v>78</v>
      </c>
      <c r="E364" s="4" t="s">
        <v>72</v>
      </c>
      <c r="F364" s="4" t="s">
        <v>95</v>
      </c>
      <c r="G364" s="4" t="s">
        <v>68</v>
      </c>
      <c r="H364" s="4" t="s">
        <v>832</v>
      </c>
      <c r="I364" s="4" t="s">
        <v>91</v>
      </c>
      <c r="J364" s="5">
        <v>111.27</v>
      </c>
      <c r="K364" s="3">
        <v>3</v>
      </c>
      <c r="L364" s="4" t="str">
        <f>IF(AND(J364&gt;350,K364&gt;6), "True","False")</f>
        <v>False</v>
      </c>
      <c r="M364" s="4" t="s">
        <v>56</v>
      </c>
      <c r="N364" s="3">
        <v>1</v>
      </c>
      <c r="O364" s="4" t="str" cm="1">
        <f t="array" ref="O364">_xlfn.IFS(P364&lt;=2,"Poor",P364=3,"Average",P364&gt;=4,"Good")</f>
        <v>Average</v>
      </c>
      <c r="P364" s="3">
        <v>3</v>
      </c>
      <c r="Q364" s="2">
        <v>1</v>
      </c>
      <c r="R364" s="4" t="s">
        <v>72</v>
      </c>
      <c r="S364" s="4" t="s">
        <v>73</v>
      </c>
      <c r="T364" s="3">
        <v>2</v>
      </c>
      <c r="U364" s="4" t="str" cm="1">
        <f t="array" ref="U364">_xlfn.IFS(V364&lt;=4, "Dissatisfied",V364&lt;=7,"Neutral",V364&gt;=8,"Satisfied")</f>
        <v>Satisfied</v>
      </c>
      <c r="V364" s="3">
        <v>10</v>
      </c>
      <c r="W364" s="4" t="s">
        <v>57</v>
      </c>
      <c r="X364" s="4" t="s">
        <v>60</v>
      </c>
      <c r="Y364" s="4" t="s">
        <v>86</v>
      </c>
      <c r="Z364" s="1">
        <v>45425</v>
      </c>
      <c r="AA364" s="4" t="str" cm="1">
        <f t="array" ref="AA364">_xlfn.IFS(OR(AB364="December", AB364="February", AB364="January"), "Winter", OR(AB364="March", AB364="April", AB364="May"), "Spring", OR(AB364="June", AB364="July", AB364="August"), "Summer", TRUE, "Autumn")</f>
        <v>Spring</v>
      </c>
      <c r="AB364" s="7" t="str">
        <f>TEXT(Z364, "mmmm")</f>
        <v>May</v>
      </c>
      <c r="AC364" s="1" t="str">
        <f>TEXT(Z364, "dddd")</f>
        <v>Monday</v>
      </c>
      <c r="AD364" s="4" t="s">
        <v>76</v>
      </c>
      <c r="AE364" s="4" t="s">
        <v>76</v>
      </c>
      <c r="AF364" s="4" t="s">
        <v>92</v>
      </c>
      <c r="AG364" s="4" t="s">
        <v>88</v>
      </c>
      <c r="AH364" s="3">
        <v>12</v>
      </c>
    </row>
    <row r="365" spans="1:34">
      <c r="A365" s="4" t="s">
        <v>833</v>
      </c>
      <c r="B365" s="3">
        <v>28</v>
      </c>
      <c r="C365" s="9" t="str" cm="1">
        <f t="array" ref="C365">_xlfn.IFS(B365&gt;65,"+65",B365&gt;54,"55-65",B365&gt;44,"45-54",B365&gt;35,"36-44",B365&gt;25,"26-35",B365&gt;=18,"18-25")</f>
        <v>26-35</v>
      </c>
      <c r="D365" s="4" t="s">
        <v>66</v>
      </c>
      <c r="E365" s="4" t="s">
        <v>72</v>
      </c>
      <c r="F365" s="4" t="s">
        <v>67</v>
      </c>
      <c r="G365" s="4" t="s">
        <v>68</v>
      </c>
      <c r="H365" s="4" t="s">
        <v>606</v>
      </c>
      <c r="I365" s="4" t="s">
        <v>146</v>
      </c>
      <c r="J365" s="5">
        <v>277.52</v>
      </c>
      <c r="K365" s="3">
        <v>11</v>
      </c>
      <c r="L365" s="4" t="str">
        <f>IF(AND(J365&gt;350,K365&gt;6), "True","False")</f>
        <v>False</v>
      </c>
      <c r="M365" s="4" t="s">
        <v>71</v>
      </c>
      <c r="N365" s="3">
        <v>4</v>
      </c>
      <c r="O365" s="4" t="str" cm="1">
        <f t="array" ref="O365">_xlfn.IFS(P365&lt;=2,"Poor",P365=3,"Average",P365&gt;=4,"Good")</f>
        <v>Poor</v>
      </c>
      <c r="P365" s="3">
        <v>1</v>
      </c>
      <c r="Q365" s="2">
        <v>0</v>
      </c>
      <c r="R365" s="4" t="s">
        <v>57</v>
      </c>
      <c r="S365" s="4" t="s">
        <v>58</v>
      </c>
      <c r="T365" s="3">
        <v>1</v>
      </c>
      <c r="U365" s="4" t="str" cm="1">
        <f t="array" ref="U365">_xlfn.IFS(V365&lt;=4, "Dissatisfied",V365&lt;=7,"Neutral",V365&gt;=8,"Satisfied")</f>
        <v>Neutral</v>
      </c>
      <c r="V365" s="3">
        <v>7</v>
      </c>
      <c r="W365" s="4" t="s">
        <v>85</v>
      </c>
      <c r="X365" s="4" t="s">
        <v>60</v>
      </c>
      <c r="Y365" s="4" t="s">
        <v>86</v>
      </c>
      <c r="Z365" s="1">
        <v>45426</v>
      </c>
      <c r="AA365" s="4" t="str" cm="1">
        <f t="array" ref="AA365">_xlfn.IFS(OR(AB365="December", AB365="February", AB365="January"), "Winter", OR(AB365="March", AB365="April", AB365="May"), "Spring", OR(AB365="June", AB365="July", AB365="August"), "Summer", TRUE, "Autumn")</f>
        <v>Spring</v>
      </c>
      <c r="AB365" s="7" t="str">
        <f>TEXT(Z365, "mmmm")</f>
        <v>May</v>
      </c>
      <c r="AC365" s="1" t="str">
        <f>TEXT(Z365, "dddd")</f>
        <v>Tuesday</v>
      </c>
      <c r="AD365" s="4" t="s">
        <v>62</v>
      </c>
      <c r="AE365" s="4" t="s">
        <v>76</v>
      </c>
      <c r="AF365" s="4" t="s">
        <v>63</v>
      </c>
      <c r="AG365" s="4" t="s">
        <v>64</v>
      </c>
      <c r="AH365" s="3">
        <v>11</v>
      </c>
    </row>
    <row r="366" spans="1:34">
      <c r="A366" s="4" t="s">
        <v>834</v>
      </c>
      <c r="B366" s="3">
        <v>21</v>
      </c>
      <c r="C366" s="9" t="str" cm="1">
        <f t="array" ref="C366">_xlfn.IFS(B366&gt;65,"+65",B366&gt;54,"55-65",B366&gt;44,"45-54",B366&gt;35,"36-44",B366&gt;25,"26-35",B366&gt;=18,"18-25")</f>
        <v>18-25</v>
      </c>
      <c r="D366" s="4" t="s">
        <v>66</v>
      </c>
      <c r="E366" s="4" t="s">
        <v>51</v>
      </c>
      <c r="F366" s="4" t="s">
        <v>52</v>
      </c>
      <c r="G366" s="4" t="s">
        <v>53</v>
      </c>
      <c r="H366" s="4" t="s">
        <v>835</v>
      </c>
      <c r="I366" s="4" t="s">
        <v>275</v>
      </c>
      <c r="J366" s="5">
        <v>226.04</v>
      </c>
      <c r="K366" s="3">
        <v>11</v>
      </c>
      <c r="L366" s="4" t="str">
        <f>IF(AND(J366&gt;350,K366&gt;6), "True","False")</f>
        <v>False</v>
      </c>
      <c r="M366" s="4" t="s">
        <v>56</v>
      </c>
      <c r="N366" s="3">
        <v>4</v>
      </c>
      <c r="O366" s="4" t="str" cm="1">
        <f t="array" ref="O366">_xlfn.IFS(P366&lt;=2,"Poor",P366=3,"Average",P366&gt;=4,"Good")</f>
        <v>Poor</v>
      </c>
      <c r="P366" s="3">
        <v>1</v>
      </c>
      <c r="Q366" s="2">
        <v>1</v>
      </c>
      <c r="R366" s="4" t="s">
        <v>57</v>
      </c>
      <c r="S366" s="4" t="s">
        <v>73</v>
      </c>
      <c r="T366" s="3">
        <v>0</v>
      </c>
      <c r="U366" s="4" t="str" cm="1">
        <f t="array" ref="U366">_xlfn.IFS(V366&lt;=4, "Dissatisfied",V366&lt;=7,"Neutral",V366&gt;=8,"Satisfied")</f>
        <v>Satisfied</v>
      </c>
      <c r="V366" s="3">
        <v>9</v>
      </c>
      <c r="W366" s="4" t="s">
        <v>85</v>
      </c>
      <c r="X366" s="4" t="s">
        <v>101</v>
      </c>
      <c r="Y366" s="4" t="s">
        <v>86</v>
      </c>
      <c r="Z366" s="1">
        <v>45426</v>
      </c>
      <c r="AA366" s="4" t="str" cm="1">
        <f t="array" ref="AA366">_xlfn.IFS(OR(AB366="December", AB366="February", AB366="January"), "Winter", OR(AB366="March", AB366="April", AB366="May"), "Spring", OR(AB366="June", AB366="July", AB366="August"), "Summer", TRUE, "Autumn")</f>
        <v>Spring</v>
      </c>
      <c r="AB366" s="7" t="str">
        <f>TEXT(Z366, "mmmm")</f>
        <v>May</v>
      </c>
      <c r="AC366" s="1" t="str">
        <f>TEXT(Z366, "dddd")</f>
        <v>Tuesday</v>
      </c>
      <c r="AD366" s="4" t="s">
        <v>62</v>
      </c>
      <c r="AE366" s="4" t="s">
        <v>76</v>
      </c>
      <c r="AF366" s="4" t="s">
        <v>102</v>
      </c>
      <c r="AG366" s="4" t="s">
        <v>93</v>
      </c>
      <c r="AH366" s="3">
        <v>12</v>
      </c>
    </row>
    <row r="367" spans="1:34">
      <c r="A367" s="4" t="s">
        <v>836</v>
      </c>
      <c r="B367" s="3">
        <v>46</v>
      </c>
      <c r="C367" s="9" t="str" cm="1">
        <f t="array" ref="C367">_xlfn.IFS(B367&gt;65,"+65",B367&gt;54,"55-65",B367&gt;44,"45-54",B367&gt;35,"36-44",B367&gt;25,"26-35",B367&gt;=18,"18-25")</f>
        <v>45-54</v>
      </c>
      <c r="D367" s="4" t="s">
        <v>66</v>
      </c>
      <c r="E367" s="4" t="s">
        <v>72</v>
      </c>
      <c r="F367" s="4" t="s">
        <v>52</v>
      </c>
      <c r="G367" s="4" t="s">
        <v>80</v>
      </c>
      <c r="H367" s="4" t="s">
        <v>837</v>
      </c>
      <c r="I367" s="4" t="s">
        <v>156</v>
      </c>
      <c r="J367" s="5">
        <v>445.93</v>
      </c>
      <c r="K367" s="3">
        <v>6</v>
      </c>
      <c r="L367" s="4" t="str">
        <f>IF(AND(J367&gt;350,K367&gt;6), "True","False")</f>
        <v>False</v>
      </c>
      <c r="M367" s="4" t="s">
        <v>56</v>
      </c>
      <c r="N367" s="3">
        <v>5</v>
      </c>
      <c r="O367" s="4" t="str" cm="1">
        <f t="array" ref="O367">_xlfn.IFS(P367&lt;=2,"Poor",P367=3,"Average",P367&gt;=4,"Good")</f>
        <v>Good</v>
      </c>
      <c r="P367" s="3">
        <v>5</v>
      </c>
      <c r="Q367" s="2">
        <v>2</v>
      </c>
      <c r="R367" s="4" t="s">
        <v>72</v>
      </c>
      <c r="S367" s="4" t="s">
        <v>84</v>
      </c>
      <c r="T367" s="3">
        <v>2</v>
      </c>
      <c r="U367" s="4" t="str" cm="1">
        <f t="array" ref="U367">_xlfn.IFS(V367&lt;=4, "Dissatisfied",V367&lt;=7,"Neutral",V367&gt;=8,"Satisfied")</f>
        <v>Dissatisfied</v>
      </c>
      <c r="V367" s="3">
        <v>4</v>
      </c>
      <c r="W367" s="4" t="s">
        <v>72</v>
      </c>
      <c r="X367" s="4" t="s">
        <v>60</v>
      </c>
      <c r="Y367" s="4" t="s">
        <v>75</v>
      </c>
      <c r="Z367" s="1">
        <v>45427</v>
      </c>
      <c r="AA367" s="4" t="str" cm="1">
        <f t="array" ref="AA367">_xlfn.IFS(OR(AB367="December", AB367="February", AB367="January"), "Winter", OR(AB367="March", AB367="April", AB367="May"), "Spring", OR(AB367="June", AB367="July", AB367="August"), "Summer", TRUE, "Autumn")</f>
        <v>Spring</v>
      </c>
      <c r="AB367" s="7" t="str">
        <f>TEXT(Z367, "mmmm")</f>
        <v>May</v>
      </c>
      <c r="AC367" s="1" t="str">
        <f>TEXT(Z367, "dddd")</f>
        <v>Wednesday</v>
      </c>
      <c r="AD367" s="4" t="s">
        <v>76</v>
      </c>
      <c r="AE367" s="4" t="s">
        <v>62</v>
      </c>
      <c r="AF367" s="4" t="s">
        <v>63</v>
      </c>
      <c r="AG367" s="4" t="s">
        <v>88</v>
      </c>
      <c r="AH367" s="3">
        <v>13</v>
      </c>
    </row>
    <row r="368" spans="1:34">
      <c r="A368" s="4" t="s">
        <v>838</v>
      </c>
      <c r="B368" s="3">
        <v>41</v>
      </c>
      <c r="C368" s="9" t="str" cm="1">
        <f t="array" ref="C368">_xlfn.IFS(B368&gt;65,"+65",B368&gt;54,"55-65",B368&gt;44,"45-54",B368&gt;35,"36-44",B368&gt;25,"26-35",B368&gt;=18,"18-25")</f>
        <v>36-44</v>
      </c>
      <c r="D368" s="4" t="s">
        <v>66</v>
      </c>
      <c r="E368" s="4" t="s">
        <v>51</v>
      </c>
      <c r="F368" s="4" t="s">
        <v>95</v>
      </c>
      <c r="G368" s="4" t="s">
        <v>80</v>
      </c>
      <c r="H368" s="4" t="s">
        <v>839</v>
      </c>
      <c r="I368" s="4" t="s">
        <v>100</v>
      </c>
      <c r="J368" s="5">
        <v>214.69</v>
      </c>
      <c r="K368" s="3">
        <v>7</v>
      </c>
      <c r="L368" s="4" t="str">
        <f>IF(AND(J368&gt;350,K368&gt;6), "True","False")</f>
        <v>False</v>
      </c>
      <c r="M368" s="4" t="s">
        <v>71</v>
      </c>
      <c r="N368" s="3">
        <v>4</v>
      </c>
      <c r="O368" s="4" t="str" cm="1">
        <f t="array" ref="O368">_xlfn.IFS(P368&lt;=2,"Poor",P368=3,"Average",P368&gt;=4,"Good")</f>
        <v>Good</v>
      </c>
      <c r="P368" s="3">
        <v>4</v>
      </c>
      <c r="Q368" s="2">
        <v>0</v>
      </c>
      <c r="R368" s="4" t="s">
        <v>85</v>
      </c>
      <c r="S368" s="4" t="s">
        <v>58</v>
      </c>
      <c r="T368" s="3">
        <v>1</v>
      </c>
      <c r="U368" s="4" t="str" cm="1">
        <f t="array" ref="U368">_xlfn.IFS(V368&lt;=4, "Dissatisfied",V368&lt;=7,"Neutral",V368&gt;=8,"Satisfied")</f>
        <v>Neutral</v>
      </c>
      <c r="V368" s="3">
        <v>7</v>
      </c>
      <c r="W368" s="4" t="s">
        <v>57</v>
      </c>
      <c r="X368" s="4" t="s">
        <v>74</v>
      </c>
      <c r="Y368" s="4" t="s">
        <v>119</v>
      </c>
      <c r="Z368" s="1">
        <v>45427</v>
      </c>
      <c r="AA368" s="4" t="str" cm="1">
        <f t="array" ref="AA368">_xlfn.IFS(OR(AB368="December", AB368="February", AB368="January"), "Winter", OR(AB368="March", AB368="April", AB368="May"), "Spring", OR(AB368="June", AB368="July", AB368="August"), "Summer", TRUE, "Autumn")</f>
        <v>Spring</v>
      </c>
      <c r="AB368" s="7" t="str">
        <f>TEXT(Z368, "mmmm")</f>
        <v>May</v>
      </c>
      <c r="AC368" s="1" t="str">
        <f>TEXT(Z368, "dddd")</f>
        <v>Wednesday</v>
      </c>
      <c r="AD368" s="4" t="s">
        <v>62</v>
      </c>
      <c r="AE368" s="4" t="s">
        <v>62</v>
      </c>
      <c r="AF368" s="4" t="s">
        <v>102</v>
      </c>
      <c r="AG368" s="4" t="s">
        <v>64</v>
      </c>
      <c r="AH368" s="3">
        <v>9</v>
      </c>
    </row>
    <row r="369" spans="1:34">
      <c r="A369" s="4" t="s">
        <v>840</v>
      </c>
      <c r="B369" s="3">
        <v>38</v>
      </c>
      <c r="C369" s="9" t="str" cm="1">
        <f t="array" ref="C369">_xlfn.IFS(B369&gt;65,"+65",B369&gt;54,"55-65",B369&gt;44,"45-54",B369&gt;35,"36-44",B369&gt;25,"26-35",B369&gt;=18,"18-25")</f>
        <v>36-44</v>
      </c>
      <c r="D369" s="4" t="s">
        <v>78</v>
      </c>
      <c r="E369" s="4" t="s">
        <v>51</v>
      </c>
      <c r="F369" s="4" t="s">
        <v>52</v>
      </c>
      <c r="G369" s="4" t="s">
        <v>80</v>
      </c>
      <c r="H369" s="4" t="s">
        <v>841</v>
      </c>
      <c r="I369" s="4" t="s">
        <v>110</v>
      </c>
      <c r="J369" s="5">
        <v>74.09</v>
      </c>
      <c r="K369" s="3">
        <v>10</v>
      </c>
      <c r="L369" s="4" t="str">
        <f>IF(AND(J369&gt;350,K369&gt;6), "True","False")</f>
        <v>False</v>
      </c>
      <c r="M369" s="4" t="s">
        <v>83</v>
      </c>
      <c r="N369" s="3">
        <v>1</v>
      </c>
      <c r="O369" s="4" t="str" cm="1">
        <f t="array" ref="O369">_xlfn.IFS(P369&lt;=2,"Poor",P369=3,"Average",P369&gt;=4,"Good")</f>
        <v>Good</v>
      </c>
      <c r="P369" s="3">
        <v>4</v>
      </c>
      <c r="Q369" s="2">
        <v>2</v>
      </c>
      <c r="R369" s="4" t="s">
        <v>57</v>
      </c>
      <c r="S369" s="4" t="s">
        <v>84</v>
      </c>
      <c r="T369" s="3">
        <v>2</v>
      </c>
      <c r="U369" s="4" t="str" cm="1">
        <f t="array" ref="U369">_xlfn.IFS(V369&lt;=4, "Dissatisfied",V369&lt;=7,"Neutral",V369&gt;=8,"Satisfied")</f>
        <v>Satisfied</v>
      </c>
      <c r="V369" s="3">
        <v>9</v>
      </c>
      <c r="W369" s="4" t="s">
        <v>59</v>
      </c>
      <c r="X369" s="4" t="s">
        <v>74</v>
      </c>
      <c r="Y369" s="4" t="s">
        <v>111</v>
      </c>
      <c r="Z369" s="1">
        <v>45427</v>
      </c>
      <c r="AA369" s="4" t="str" cm="1">
        <f t="array" ref="AA369">_xlfn.IFS(OR(AB369="December", AB369="February", AB369="January"), "Winter", OR(AB369="March", AB369="April", AB369="May"), "Spring", OR(AB369="June", AB369="July", AB369="August"), "Summer", TRUE, "Autumn")</f>
        <v>Spring</v>
      </c>
      <c r="AB369" s="7" t="str">
        <f>TEXT(Z369, "mmmm")</f>
        <v>May</v>
      </c>
      <c r="AC369" s="1" t="str">
        <f>TEXT(Z369, "dddd")</f>
        <v>Wednesday</v>
      </c>
      <c r="AD369" s="4" t="s">
        <v>62</v>
      </c>
      <c r="AE369" s="4" t="s">
        <v>62</v>
      </c>
      <c r="AF369" s="4" t="s">
        <v>92</v>
      </c>
      <c r="AG369" s="4" t="s">
        <v>64</v>
      </c>
      <c r="AH369" s="3">
        <v>8</v>
      </c>
    </row>
    <row r="370" spans="1:34">
      <c r="A370" s="4" t="s">
        <v>842</v>
      </c>
      <c r="B370" s="3">
        <v>32</v>
      </c>
      <c r="C370" s="9" t="str" cm="1">
        <f t="array" ref="C370">_xlfn.IFS(B370&gt;65,"+65",B370&gt;54,"55-65",B370&gt;44,"45-54",B370&gt;35,"36-44",B370&gt;25,"26-35",B370&gt;=18,"18-25")</f>
        <v>26-35</v>
      </c>
      <c r="D370" s="4" t="s">
        <v>66</v>
      </c>
      <c r="E370" s="4" t="s">
        <v>72</v>
      </c>
      <c r="F370" s="4" t="s">
        <v>79</v>
      </c>
      <c r="G370" s="4" t="s">
        <v>53</v>
      </c>
      <c r="H370" s="4" t="s">
        <v>843</v>
      </c>
      <c r="I370" s="4" t="s">
        <v>100</v>
      </c>
      <c r="J370" s="5">
        <v>236.44</v>
      </c>
      <c r="K370" s="3">
        <v>6</v>
      </c>
      <c r="L370" s="4" t="str">
        <f>IF(AND(J370&gt;350,K370&gt;6), "True","False")</f>
        <v>False</v>
      </c>
      <c r="M370" s="4" t="s">
        <v>83</v>
      </c>
      <c r="N370" s="3">
        <v>4</v>
      </c>
      <c r="O370" s="4" t="str" cm="1">
        <f t="array" ref="O370">_xlfn.IFS(P370&lt;=2,"Poor",P370=3,"Average",P370&gt;=4,"Good")</f>
        <v>Good</v>
      </c>
      <c r="P370" s="3">
        <v>4</v>
      </c>
      <c r="Q370" s="2">
        <v>0</v>
      </c>
      <c r="R370" s="4" t="s">
        <v>85</v>
      </c>
      <c r="S370" s="4" t="s">
        <v>73</v>
      </c>
      <c r="T370" s="3">
        <v>2</v>
      </c>
      <c r="U370" s="4" t="str" cm="1">
        <f t="array" ref="U370">_xlfn.IFS(V370&lt;=4, "Dissatisfied",V370&lt;=7,"Neutral",V370&gt;=8,"Satisfied")</f>
        <v>Dissatisfied</v>
      </c>
      <c r="V370" s="3">
        <v>2</v>
      </c>
      <c r="W370" s="4" t="s">
        <v>57</v>
      </c>
      <c r="X370" s="4" t="s">
        <v>60</v>
      </c>
      <c r="Y370" s="4" t="s">
        <v>86</v>
      </c>
      <c r="Z370" s="1">
        <v>45427</v>
      </c>
      <c r="AA370" s="4" t="str" cm="1">
        <f t="array" ref="AA370">_xlfn.IFS(OR(AB370="December", AB370="February", AB370="January"), "Winter", OR(AB370="March", AB370="April", AB370="May"), "Spring", OR(AB370="June", AB370="July", AB370="August"), "Summer", TRUE, "Autumn")</f>
        <v>Spring</v>
      </c>
      <c r="AB370" s="7" t="str">
        <f>TEXT(Z370, "mmmm")</f>
        <v>May</v>
      </c>
      <c r="AC370" s="1" t="str">
        <f>TEXT(Z370, "dddd")</f>
        <v>Wednesday</v>
      </c>
      <c r="AD370" s="4" t="s">
        <v>76</v>
      </c>
      <c r="AE370" s="4" t="s">
        <v>76</v>
      </c>
      <c r="AF370" s="4" t="s">
        <v>92</v>
      </c>
      <c r="AG370" s="4" t="s">
        <v>64</v>
      </c>
      <c r="AH370" s="3">
        <v>6</v>
      </c>
    </row>
    <row r="371" spans="1:34">
      <c r="A371" s="4" t="s">
        <v>844</v>
      </c>
      <c r="B371" s="3">
        <v>25</v>
      </c>
      <c r="C371" s="9" t="str" cm="1">
        <f t="array" ref="C371">_xlfn.IFS(B371&gt;65,"+65",B371&gt;54,"55-65",B371&gt;44,"45-54",B371&gt;35,"36-44",B371&gt;25,"26-35",B371&gt;=18,"18-25")</f>
        <v>18-25</v>
      </c>
      <c r="D371" s="4" t="s">
        <v>66</v>
      </c>
      <c r="E371" s="4" t="s">
        <v>72</v>
      </c>
      <c r="F371" s="4" t="s">
        <v>79</v>
      </c>
      <c r="G371" s="4" t="s">
        <v>80</v>
      </c>
      <c r="H371" s="4" t="s">
        <v>845</v>
      </c>
      <c r="I371" s="4" t="s">
        <v>146</v>
      </c>
      <c r="J371" s="5">
        <v>113.01</v>
      </c>
      <c r="K371" s="3">
        <v>11</v>
      </c>
      <c r="L371" s="4" t="str">
        <f>IF(AND(J371&gt;350,K371&gt;6), "True","False")</f>
        <v>False</v>
      </c>
      <c r="M371" s="4" t="s">
        <v>71</v>
      </c>
      <c r="N371" s="3">
        <v>5</v>
      </c>
      <c r="O371" s="4" t="str" cm="1">
        <f t="array" ref="O371">_xlfn.IFS(P371&lt;=2,"Poor",P371=3,"Average",P371&gt;=4,"Good")</f>
        <v>Poor</v>
      </c>
      <c r="P371" s="3">
        <v>2</v>
      </c>
      <c r="Q371" s="2">
        <v>2</v>
      </c>
      <c r="R371" s="4" t="s">
        <v>59</v>
      </c>
      <c r="S371" s="4" t="s">
        <v>73</v>
      </c>
      <c r="T371" s="3">
        <v>1</v>
      </c>
      <c r="U371" s="4" t="str" cm="1">
        <f t="array" ref="U371">_xlfn.IFS(V371&lt;=4, "Dissatisfied",V371&lt;=7,"Neutral",V371&gt;=8,"Satisfied")</f>
        <v>Dissatisfied</v>
      </c>
      <c r="V371" s="3">
        <v>1</v>
      </c>
      <c r="W371" s="4" t="s">
        <v>57</v>
      </c>
      <c r="X371" s="4" t="s">
        <v>74</v>
      </c>
      <c r="Y371" s="4" t="s">
        <v>119</v>
      </c>
      <c r="Z371" s="1">
        <v>45427</v>
      </c>
      <c r="AA371" s="4" t="str" cm="1">
        <f t="array" ref="AA371">_xlfn.IFS(OR(AB371="December", AB371="February", AB371="January"), "Winter", OR(AB371="March", AB371="April", AB371="May"), "Spring", OR(AB371="June", AB371="July", AB371="August"), "Summer", TRUE, "Autumn")</f>
        <v>Spring</v>
      </c>
      <c r="AB371" s="7" t="str">
        <f>TEXT(Z371, "mmmm")</f>
        <v>May</v>
      </c>
      <c r="AC371" s="1" t="str">
        <f>TEXT(Z371, "dddd")</f>
        <v>Wednesday</v>
      </c>
      <c r="AD371" s="4" t="s">
        <v>76</v>
      </c>
      <c r="AE371" s="4" t="s">
        <v>62</v>
      </c>
      <c r="AF371" s="4" t="s">
        <v>92</v>
      </c>
      <c r="AG371" s="4" t="s">
        <v>93</v>
      </c>
      <c r="AH371" s="3">
        <v>4</v>
      </c>
    </row>
    <row r="372" spans="1:34">
      <c r="A372" s="4" t="s">
        <v>846</v>
      </c>
      <c r="B372" s="3">
        <v>25</v>
      </c>
      <c r="C372" s="9" t="str" cm="1">
        <f t="array" ref="C372">_xlfn.IFS(B372&gt;65,"+65",B372&gt;54,"55-65",B372&gt;44,"45-54",B372&gt;35,"36-44",B372&gt;25,"26-35",B372&gt;=18,"18-25")</f>
        <v>18-25</v>
      </c>
      <c r="D372" s="4" t="s">
        <v>188</v>
      </c>
      <c r="E372" s="4" t="s">
        <v>72</v>
      </c>
      <c r="F372" s="4" t="s">
        <v>79</v>
      </c>
      <c r="G372" s="4" t="s">
        <v>53</v>
      </c>
      <c r="H372" s="4" t="s">
        <v>847</v>
      </c>
      <c r="I372" s="4" t="s">
        <v>110</v>
      </c>
      <c r="J372" s="5">
        <v>204.29</v>
      </c>
      <c r="K372" s="3">
        <v>11</v>
      </c>
      <c r="L372" s="4" t="str">
        <f>IF(AND(J372&gt;350,K372&gt;6), "True","False")</f>
        <v>False</v>
      </c>
      <c r="M372" s="4" t="s">
        <v>71</v>
      </c>
      <c r="N372" s="3">
        <v>5</v>
      </c>
      <c r="O372" s="4" t="str" cm="1">
        <f t="array" ref="O372">_xlfn.IFS(P372&lt;=2,"Poor",P372=3,"Average",P372&gt;=4,"Good")</f>
        <v>Good</v>
      </c>
      <c r="P372" s="3">
        <v>4</v>
      </c>
      <c r="Q372" s="2">
        <v>0</v>
      </c>
      <c r="R372" s="4" t="s">
        <v>57</v>
      </c>
      <c r="S372" s="4" t="s">
        <v>58</v>
      </c>
      <c r="T372" s="3">
        <v>2</v>
      </c>
      <c r="U372" s="4" t="str" cm="1">
        <f t="array" ref="U372">_xlfn.IFS(V372&lt;=4, "Dissatisfied",V372&lt;=7,"Neutral",V372&gt;=8,"Satisfied")</f>
        <v>Dissatisfied</v>
      </c>
      <c r="V372" s="3">
        <v>1</v>
      </c>
      <c r="W372" s="4" t="s">
        <v>85</v>
      </c>
      <c r="X372" s="4" t="s">
        <v>60</v>
      </c>
      <c r="Y372" s="4" t="s">
        <v>86</v>
      </c>
      <c r="Z372" s="1">
        <v>45428</v>
      </c>
      <c r="AA372" s="4" t="str" cm="1">
        <f t="array" ref="AA372">_xlfn.IFS(OR(AB372="December", AB372="February", AB372="January"), "Winter", OR(AB372="March", AB372="April", AB372="May"), "Spring", OR(AB372="June", AB372="July", AB372="August"), "Summer", TRUE, "Autumn")</f>
        <v>Spring</v>
      </c>
      <c r="AB372" s="7" t="str">
        <f>TEXT(Z372, "mmmm")</f>
        <v>May</v>
      </c>
      <c r="AC372" s="1" t="str">
        <f>TEXT(Z372, "dddd")</f>
        <v>Thursday</v>
      </c>
      <c r="AD372" s="4" t="s">
        <v>76</v>
      </c>
      <c r="AE372" s="4" t="s">
        <v>76</v>
      </c>
      <c r="AF372" s="4" t="s">
        <v>92</v>
      </c>
      <c r="AG372" s="4" t="s">
        <v>93</v>
      </c>
      <c r="AH372" s="3">
        <v>12</v>
      </c>
    </row>
    <row r="373" spans="1:34">
      <c r="A373" s="4" t="s">
        <v>848</v>
      </c>
      <c r="B373" s="3">
        <v>48</v>
      </c>
      <c r="C373" s="9" t="str" cm="1">
        <f t="array" ref="C373">_xlfn.IFS(B373&gt;65,"+65",B373&gt;54,"55-65",B373&gt;44,"45-54",B373&gt;35,"36-44",B373&gt;25,"26-35",B373&gt;=18,"18-25")</f>
        <v>45-54</v>
      </c>
      <c r="D373" s="4" t="s">
        <v>78</v>
      </c>
      <c r="E373" s="4" t="s">
        <v>72</v>
      </c>
      <c r="F373" s="4" t="s">
        <v>79</v>
      </c>
      <c r="G373" s="4" t="s">
        <v>80</v>
      </c>
      <c r="H373" s="4" t="s">
        <v>849</v>
      </c>
      <c r="I373" s="4" t="s">
        <v>91</v>
      </c>
      <c r="J373" s="5">
        <v>51.44</v>
      </c>
      <c r="K373" s="3">
        <v>2</v>
      </c>
      <c r="L373" s="4" t="str">
        <f>IF(AND(J373&gt;350,K373&gt;6), "True","False")</f>
        <v>False</v>
      </c>
      <c r="M373" s="4" t="s">
        <v>71</v>
      </c>
      <c r="N373" s="3">
        <v>1</v>
      </c>
      <c r="O373" s="4" t="str" cm="1">
        <f t="array" ref="O373">_xlfn.IFS(P373&lt;=2,"Poor",P373=3,"Average",P373&gt;=4,"Good")</f>
        <v>Average</v>
      </c>
      <c r="P373" s="3">
        <v>3</v>
      </c>
      <c r="Q373" s="2">
        <v>2</v>
      </c>
      <c r="R373" s="4" t="s">
        <v>72</v>
      </c>
      <c r="S373" s="4" t="s">
        <v>58</v>
      </c>
      <c r="T373" s="3">
        <v>0</v>
      </c>
      <c r="U373" s="4" t="str" cm="1">
        <f t="array" ref="U373">_xlfn.IFS(V373&lt;=4, "Dissatisfied",V373&lt;=7,"Neutral",V373&gt;=8,"Satisfied")</f>
        <v>Dissatisfied</v>
      </c>
      <c r="V373" s="3">
        <v>1</v>
      </c>
      <c r="W373" s="4" t="s">
        <v>72</v>
      </c>
      <c r="X373" s="4" t="s">
        <v>74</v>
      </c>
      <c r="Y373" s="4" t="s">
        <v>111</v>
      </c>
      <c r="Z373" s="1">
        <v>45429</v>
      </c>
      <c r="AA373" s="4" t="str" cm="1">
        <f t="array" ref="AA373">_xlfn.IFS(OR(AB373="December", AB373="February", AB373="January"), "Winter", OR(AB373="March", AB373="April", AB373="May"), "Spring", OR(AB373="June", AB373="July", AB373="August"), "Summer", TRUE, "Autumn")</f>
        <v>Spring</v>
      </c>
      <c r="AB373" s="7" t="str">
        <f>TEXT(Z373, "mmmm")</f>
        <v>May</v>
      </c>
      <c r="AC373" s="1" t="str">
        <f>TEXT(Z373, "dddd")</f>
        <v>Friday</v>
      </c>
      <c r="AD373" s="4" t="s">
        <v>62</v>
      </c>
      <c r="AE373" s="4" t="s">
        <v>76</v>
      </c>
      <c r="AF373" s="4" t="s">
        <v>87</v>
      </c>
      <c r="AG373" s="4" t="s">
        <v>88</v>
      </c>
      <c r="AH373" s="3">
        <v>5</v>
      </c>
    </row>
    <row r="374" spans="1:34">
      <c r="A374" s="4" t="s">
        <v>850</v>
      </c>
      <c r="B374" s="3">
        <v>39</v>
      </c>
      <c r="C374" s="9" t="str" cm="1">
        <f t="array" ref="C374">_xlfn.IFS(B374&gt;65,"+65",B374&gt;54,"55-65",B374&gt;44,"45-54",B374&gt;35,"36-44",B374&gt;25,"26-35",B374&gt;=18,"18-25")</f>
        <v>36-44</v>
      </c>
      <c r="D374" s="4" t="s">
        <v>66</v>
      </c>
      <c r="E374" s="4" t="s">
        <v>72</v>
      </c>
      <c r="F374" s="4" t="s">
        <v>95</v>
      </c>
      <c r="G374" s="4" t="s">
        <v>53</v>
      </c>
      <c r="H374" s="4" t="s">
        <v>851</v>
      </c>
      <c r="I374" s="4" t="s">
        <v>169</v>
      </c>
      <c r="J374" s="5">
        <v>142.69999999999999</v>
      </c>
      <c r="K374" s="3">
        <v>6</v>
      </c>
      <c r="L374" s="4" t="str">
        <f>IF(AND(J374&gt;350,K374&gt;6), "True","False")</f>
        <v>False</v>
      </c>
      <c r="M374" s="4" t="s">
        <v>71</v>
      </c>
      <c r="N374" s="3">
        <v>3</v>
      </c>
      <c r="O374" s="4" t="str" cm="1">
        <f t="array" ref="O374">_xlfn.IFS(P374&lt;=2,"Poor",P374=3,"Average",P374&gt;=4,"Good")</f>
        <v>Poor</v>
      </c>
      <c r="P374" s="3">
        <v>2</v>
      </c>
      <c r="Q374" s="2">
        <v>1</v>
      </c>
      <c r="R374" s="4" t="s">
        <v>57</v>
      </c>
      <c r="S374" s="4" t="s">
        <v>73</v>
      </c>
      <c r="T374" s="3">
        <v>0</v>
      </c>
      <c r="U374" s="4" t="str" cm="1">
        <f t="array" ref="U374">_xlfn.IFS(V374&lt;=4, "Dissatisfied",V374&lt;=7,"Neutral",V374&gt;=8,"Satisfied")</f>
        <v>Dissatisfied</v>
      </c>
      <c r="V374" s="3">
        <v>4</v>
      </c>
      <c r="W374" s="4" t="s">
        <v>57</v>
      </c>
      <c r="X374" s="4" t="s">
        <v>101</v>
      </c>
      <c r="Y374" s="4" t="s">
        <v>119</v>
      </c>
      <c r="Z374" s="1">
        <v>45429</v>
      </c>
      <c r="AA374" s="4" t="str" cm="1">
        <f t="array" ref="AA374">_xlfn.IFS(OR(AB374="December", AB374="February", AB374="January"), "Winter", OR(AB374="March", AB374="April", AB374="May"), "Spring", OR(AB374="June", AB374="July", AB374="August"), "Summer", TRUE, "Autumn")</f>
        <v>Spring</v>
      </c>
      <c r="AB374" s="7" t="str">
        <f>TEXT(Z374, "mmmm")</f>
        <v>May</v>
      </c>
      <c r="AC374" s="1" t="str">
        <f>TEXT(Z374, "dddd")</f>
        <v>Friday</v>
      </c>
      <c r="AD374" s="4" t="s">
        <v>76</v>
      </c>
      <c r="AE374" s="4" t="s">
        <v>62</v>
      </c>
      <c r="AF374" s="4" t="s">
        <v>92</v>
      </c>
      <c r="AG374" s="4" t="s">
        <v>88</v>
      </c>
      <c r="AH374" s="3">
        <v>11</v>
      </c>
    </row>
    <row r="375" spans="1:34">
      <c r="A375" s="4" t="s">
        <v>852</v>
      </c>
      <c r="B375" s="3">
        <v>26</v>
      </c>
      <c r="C375" s="9" t="str" cm="1">
        <f t="array" ref="C375">_xlfn.IFS(B375&gt;65,"+65",B375&gt;54,"55-65",B375&gt;44,"45-54",B375&gt;35,"36-44",B375&gt;25,"26-35",B375&gt;=18,"18-25")</f>
        <v>26-35</v>
      </c>
      <c r="D375" s="4" t="s">
        <v>66</v>
      </c>
      <c r="E375" s="4" t="s">
        <v>72</v>
      </c>
      <c r="F375" s="4" t="s">
        <v>95</v>
      </c>
      <c r="G375" s="4" t="s">
        <v>80</v>
      </c>
      <c r="H375" s="4" t="s">
        <v>853</v>
      </c>
      <c r="I375" s="4" t="s">
        <v>146</v>
      </c>
      <c r="J375" s="5">
        <v>81.180000000000007</v>
      </c>
      <c r="K375" s="3">
        <v>8</v>
      </c>
      <c r="L375" s="4" t="str">
        <f>IF(AND(J375&gt;350,K375&gt;6), "True","False")</f>
        <v>False</v>
      </c>
      <c r="M375" s="4" t="s">
        <v>56</v>
      </c>
      <c r="N375" s="3">
        <v>4</v>
      </c>
      <c r="O375" s="4" t="str" cm="1">
        <f t="array" ref="O375">_xlfn.IFS(P375&lt;=2,"Poor",P375=3,"Average",P375&gt;=4,"Good")</f>
        <v>Good</v>
      </c>
      <c r="P375" s="3">
        <v>5</v>
      </c>
      <c r="Q375" s="2">
        <v>1</v>
      </c>
      <c r="R375" s="4" t="s">
        <v>59</v>
      </c>
      <c r="S375" s="4" t="s">
        <v>58</v>
      </c>
      <c r="T375" s="3">
        <v>2</v>
      </c>
      <c r="U375" s="4" t="str" cm="1">
        <f t="array" ref="U375">_xlfn.IFS(V375&lt;=4, "Dissatisfied",V375&lt;=7,"Neutral",V375&gt;=8,"Satisfied")</f>
        <v>Dissatisfied</v>
      </c>
      <c r="V375" s="3">
        <v>3</v>
      </c>
      <c r="W375" s="4" t="s">
        <v>72</v>
      </c>
      <c r="X375" s="4" t="s">
        <v>74</v>
      </c>
      <c r="Y375" s="4" t="s">
        <v>61</v>
      </c>
      <c r="Z375" s="1">
        <v>45429</v>
      </c>
      <c r="AA375" s="4" t="str" cm="1">
        <f t="array" ref="AA375">_xlfn.IFS(OR(AB375="December", AB375="February", AB375="January"), "Winter", OR(AB375="March", AB375="April", AB375="May"), "Spring", OR(AB375="June", AB375="July", AB375="August"), "Summer", TRUE, "Autumn")</f>
        <v>Spring</v>
      </c>
      <c r="AB375" s="7" t="str">
        <f>TEXT(Z375, "mmmm")</f>
        <v>May</v>
      </c>
      <c r="AC375" s="1" t="str">
        <f>TEXT(Z375, "dddd")</f>
        <v>Friday</v>
      </c>
      <c r="AD375" s="4" t="s">
        <v>76</v>
      </c>
      <c r="AE375" s="4" t="s">
        <v>76</v>
      </c>
      <c r="AF375" s="4" t="s">
        <v>92</v>
      </c>
      <c r="AG375" s="4" t="s">
        <v>93</v>
      </c>
      <c r="AH375" s="3">
        <v>3</v>
      </c>
    </row>
    <row r="376" spans="1:34">
      <c r="A376" s="4" t="s">
        <v>854</v>
      </c>
      <c r="B376" s="3">
        <v>18</v>
      </c>
      <c r="C376" s="9" t="str" cm="1">
        <f t="array" ref="C376">_xlfn.IFS(B376&gt;65,"+65",B376&gt;54,"55-65",B376&gt;44,"45-54",B376&gt;35,"36-44",B376&gt;25,"26-35",B376&gt;=18,"18-25")</f>
        <v>18-25</v>
      </c>
      <c r="D376" s="4" t="s">
        <v>78</v>
      </c>
      <c r="E376" s="4" t="s">
        <v>72</v>
      </c>
      <c r="F376" s="4" t="s">
        <v>52</v>
      </c>
      <c r="G376" s="4" t="s">
        <v>80</v>
      </c>
      <c r="H376" s="4" t="s">
        <v>855</v>
      </c>
      <c r="I376" s="4" t="s">
        <v>156</v>
      </c>
      <c r="J376" s="5">
        <v>212.8</v>
      </c>
      <c r="K376" s="3">
        <v>6</v>
      </c>
      <c r="L376" s="4" t="str">
        <f>IF(AND(J376&gt;350,K376&gt;6), "True","False")</f>
        <v>False</v>
      </c>
      <c r="M376" s="4" t="s">
        <v>83</v>
      </c>
      <c r="N376" s="3">
        <v>3</v>
      </c>
      <c r="O376" s="4" t="str" cm="1">
        <f t="array" ref="O376">_xlfn.IFS(P376&lt;=2,"Poor",P376=3,"Average",P376&gt;=4,"Good")</f>
        <v>Poor</v>
      </c>
      <c r="P376" s="3">
        <v>2</v>
      </c>
      <c r="Q376" s="2">
        <v>2</v>
      </c>
      <c r="R376" s="4" t="s">
        <v>57</v>
      </c>
      <c r="S376" s="4" t="s">
        <v>73</v>
      </c>
      <c r="T376" s="3">
        <v>1</v>
      </c>
      <c r="U376" s="4" t="str" cm="1">
        <f t="array" ref="U376">_xlfn.IFS(V376&lt;=4, "Dissatisfied",V376&lt;=7,"Neutral",V376&gt;=8,"Satisfied")</f>
        <v>Neutral</v>
      </c>
      <c r="V376" s="3">
        <v>7</v>
      </c>
      <c r="W376" s="4" t="s">
        <v>72</v>
      </c>
      <c r="X376" s="4" t="s">
        <v>74</v>
      </c>
      <c r="Y376" s="4" t="s">
        <v>119</v>
      </c>
      <c r="Z376" s="1">
        <v>45429</v>
      </c>
      <c r="AA376" s="4" t="str" cm="1">
        <f t="array" ref="AA376">_xlfn.IFS(OR(AB376="December", AB376="February", AB376="January"), "Winter", OR(AB376="March", AB376="April", AB376="May"), "Spring", OR(AB376="June", AB376="July", AB376="August"), "Summer", TRUE, "Autumn")</f>
        <v>Spring</v>
      </c>
      <c r="AB376" s="7" t="str">
        <f>TEXT(Z376, "mmmm")</f>
        <v>May</v>
      </c>
      <c r="AC376" s="1" t="str">
        <f>TEXT(Z376, "dddd")</f>
        <v>Friday</v>
      </c>
      <c r="AD376" s="4" t="s">
        <v>62</v>
      </c>
      <c r="AE376" s="4" t="s">
        <v>62</v>
      </c>
      <c r="AF376" s="4" t="s">
        <v>87</v>
      </c>
      <c r="AG376" s="4" t="s">
        <v>64</v>
      </c>
      <c r="AH376" s="3">
        <v>1</v>
      </c>
    </row>
    <row r="377" spans="1:34">
      <c r="A377" s="4" t="s">
        <v>856</v>
      </c>
      <c r="B377" s="3">
        <v>49</v>
      </c>
      <c r="C377" s="9" t="str" cm="1">
        <f t="array" ref="C377">_xlfn.IFS(B377&gt;65,"+65",B377&gt;54,"55-65",B377&gt;44,"45-54",B377&gt;35,"36-44",B377&gt;25,"26-35",B377&gt;=18,"18-25")</f>
        <v>45-54</v>
      </c>
      <c r="D377" s="4" t="s">
        <v>66</v>
      </c>
      <c r="E377" s="4" t="s">
        <v>51</v>
      </c>
      <c r="F377" s="4" t="s">
        <v>79</v>
      </c>
      <c r="G377" s="4" t="s">
        <v>68</v>
      </c>
      <c r="H377" s="4" t="s">
        <v>857</v>
      </c>
      <c r="I377" s="4" t="s">
        <v>118</v>
      </c>
      <c r="J377" s="5">
        <v>125.8</v>
      </c>
      <c r="K377" s="3">
        <v>12</v>
      </c>
      <c r="L377" s="4" t="str">
        <f>IF(AND(J377&gt;350,K377&gt;6), "True","False")</f>
        <v>False</v>
      </c>
      <c r="M377" s="4" t="s">
        <v>71</v>
      </c>
      <c r="N377" s="3">
        <v>4</v>
      </c>
      <c r="O377" s="4" t="str" cm="1">
        <f t="array" ref="O377">_xlfn.IFS(P377&lt;=2,"Poor",P377=3,"Average",P377&gt;=4,"Good")</f>
        <v>Good</v>
      </c>
      <c r="P377" s="3">
        <v>4</v>
      </c>
      <c r="Q377" s="2">
        <v>2</v>
      </c>
      <c r="R377" s="4" t="s">
        <v>57</v>
      </c>
      <c r="S377" s="4" t="s">
        <v>84</v>
      </c>
      <c r="T377" s="3">
        <v>0</v>
      </c>
      <c r="U377" s="4" t="str" cm="1">
        <f t="array" ref="U377">_xlfn.IFS(V377&lt;=4, "Dissatisfied",V377&lt;=7,"Neutral",V377&gt;=8,"Satisfied")</f>
        <v>Satisfied</v>
      </c>
      <c r="V377" s="3">
        <v>8</v>
      </c>
      <c r="W377" s="4" t="s">
        <v>72</v>
      </c>
      <c r="X377" s="4" t="s">
        <v>101</v>
      </c>
      <c r="Y377" s="4" t="s">
        <v>86</v>
      </c>
      <c r="Z377" s="1">
        <v>45430</v>
      </c>
      <c r="AA377" s="4" t="str" cm="1">
        <f t="array" ref="AA377">_xlfn.IFS(OR(AB377="December", AB377="February", AB377="January"), "Winter", OR(AB377="March", AB377="April", AB377="May"), "Spring", OR(AB377="June", AB377="July", AB377="August"), "Summer", TRUE, "Autumn")</f>
        <v>Spring</v>
      </c>
      <c r="AB377" s="7" t="str">
        <f>TEXT(Z377, "mmmm")</f>
        <v>May</v>
      </c>
      <c r="AC377" s="1" t="str">
        <f>TEXT(Z377, "dddd")</f>
        <v>Saturday</v>
      </c>
      <c r="AD377" s="4" t="s">
        <v>76</v>
      </c>
      <c r="AE377" s="4" t="s">
        <v>62</v>
      </c>
      <c r="AF377" s="4" t="s">
        <v>87</v>
      </c>
      <c r="AG377" s="4" t="s">
        <v>88</v>
      </c>
      <c r="AH377" s="3">
        <v>1</v>
      </c>
    </row>
    <row r="378" spans="1:34">
      <c r="A378" s="4" t="s">
        <v>858</v>
      </c>
      <c r="B378" s="3">
        <v>33</v>
      </c>
      <c r="C378" s="9" t="str" cm="1">
        <f t="array" ref="C378">_xlfn.IFS(B378&gt;65,"+65",B378&gt;54,"55-65",B378&gt;44,"45-54",B378&gt;35,"36-44",B378&gt;25,"26-35",B378&gt;=18,"18-25")</f>
        <v>26-35</v>
      </c>
      <c r="D378" s="4" t="s">
        <v>66</v>
      </c>
      <c r="E378" s="4" t="s">
        <v>72</v>
      </c>
      <c r="F378" s="4" t="s">
        <v>95</v>
      </c>
      <c r="G378" s="4" t="s">
        <v>80</v>
      </c>
      <c r="H378" s="4" t="s">
        <v>859</v>
      </c>
      <c r="I378" s="4" t="s">
        <v>275</v>
      </c>
      <c r="J378" s="5">
        <v>55.73</v>
      </c>
      <c r="K378" s="3">
        <v>12</v>
      </c>
      <c r="L378" s="4" t="str">
        <f>IF(AND(J378&gt;350,K378&gt;6), "True","False")</f>
        <v>False</v>
      </c>
      <c r="M378" s="4" t="s">
        <v>71</v>
      </c>
      <c r="N378" s="3">
        <v>4</v>
      </c>
      <c r="O378" s="4" t="str" cm="1">
        <f t="array" ref="O378">_xlfn.IFS(P378&lt;=2,"Poor",P378=3,"Average",P378&gt;=4,"Good")</f>
        <v>Average</v>
      </c>
      <c r="P378" s="3">
        <v>3</v>
      </c>
      <c r="Q378" s="2">
        <v>0.3</v>
      </c>
      <c r="R378" s="4" t="s">
        <v>85</v>
      </c>
      <c r="S378" s="4" t="s">
        <v>58</v>
      </c>
      <c r="T378" s="3">
        <v>1</v>
      </c>
      <c r="U378" s="4" t="str" cm="1">
        <f t="array" ref="U378">_xlfn.IFS(V378&lt;=4, "Dissatisfied",V378&lt;=7,"Neutral",V378&gt;=8,"Satisfied")</f>
        <v>Dissatisfied</v>
      </c>
      <c r="V378" s="3">
        <v>3</v>
      </c>
      <c r="W378" s="4" t="s">
        <v>72</v>
      </c>
      <c r="X378" s="4" t="s">
        <v>74</v>
      </c>
      <c r="Y378" s="4" t="s">
        <v>86</v>
      </c>
      <c r="Z378" s="1">
        <v>45431</v>
      </c>
      <c r="AA378" s="4" t="str" cm="1">
        <f t="array" ref="AA378">_xlfn.IFS(OR(AB378="December", AB378="February", AB378="January"), "Winter", OR(AB378="March", AB378="April", AB378="May"), "Spring", OR(AB378="June", AB378="July", AB378="August"), "Summer", TRUE, "Autumn")</f>
        <v>Spring</v>
      </c>
      <c r="AB378" s="7" t="str">
        <f>TEXT(Z378, "mmmm")</f>
        <v>May</v>
      </c>
      <c r="AC378" s="1" t="str">
        <f>TEXT(Z378, "dddd")</f>
        <v>Sunday</v>
      </c>
      <c r="AD378" s="4" t="s">
        <v>76</v>
      </c>
      <c r="AE378" s="4" t="s">
        <v>62</v>
      </c>
      <c r="AF378" s="4" t="s">
        <v>63</v>
      </c>
      <c r="AG378" s="4" t="s">
        <v>93</v>
      </c>
      <c r="AH378" s="3">
        <v>3</v>
      </c>
    </row>
    <row r="379" spans="1:34">
      <c r="A379" s="4" t="s">
        <v>860</v>
      </c>
      <c r="B379" s="3">
        <v>23</v>
      </c>
      <c r="C379" s="9" t="str" cm="1">
        <f t="array" ref="C379">_xlfn.IFS(B379&gt;65,"+65",B379&gt;54,"55-65",B379&gt;44,"45-54",B379&gt;35,"36-44",B379&gt;25,"26-35",B379&gt;=18,"18-25")</f>
        <v>18-25</v>
      </c>
      <c r="D379" s="4" t="s">
        <v>78</v>
      </c>
      <c r="E379" s="4" t="s">
        <v>72</v>
      </c>
      <c r="F379" s="4" t="s">
        <v>95</v>
      </c>
      <c r="G379" s="4" t="s">
        <v>68</v>
      </c>
      <c r="H379" s="4" t="s">
        <v>861</v>
      </c>
      <c r="I379" s="4" t="s">
        <v>275</v>
      </c>
      <c r="J379" s="5">
        <v>382.94</v>
      </c>
      <c r="K379" s="3">
        <v>8</v>
      </c>
      <c r="L379" s="4" t="str">
        <f>IF(AND(J379&gt;350,K379&gt;6), "True","False")</f>
        <v>True</v>
      </c>
      <c r="M379" s="4" t="s">
        <v>71</v>
      </c>
      <c r="N379" s="3">
        <v>1</v>
      </c>
      <c r="O379" s="4" t="str" cm="1">
        <f t="array" ref="O379">_xlfn.IFS(P379&lt;=2,"Poor",P379=3,"Average",P379&gt;=4,"Good")</f>
        <v>Average</v>
      </c>
      <c r="P379" s="3">
        <v>3</v>
      </c>
      <c r="Q379" s="2">
        <v>0</v>
      </c>
      <c r="R379" s="4" t="s">
        <v>85</v>
      </c>
      <c r="S379" s="4" t="s">
        <v>58</v>
      </c>
      <c r="T379" s="3">
        <v>0</v>
      </c>
      <c r="U379" s="4" t="str" cm="1">
        <f t="array" ref="U379">_xlfn.IFS(V379&lt;=4, "Dissatisfied",V379&lt;=7,"Neutral",V379&gt;=8,"Satisfied")</f>
        <v>Neutral</v>
      </c>
      <c r="V379" s="3">
        <v>6</v>
      </c>
      <c r="W379" s="4" t="s">
        <v>57</v>
      </c>
      <c r="X379" s="4" t="s">
        <v>101</v>
      </c>
      <c r="Y379" s="4" t="s">
        <v>75</v>
      </c>
      <c r="Z379" s="1">
        <v>45431</v>
      </c>
      <c r="AA379" s="4" t="str" cm="1">
        <f t="array" ref="AA379">_xlfn.IFS(OR(AB379="December", AB379="February", AB379="January"), "Winter", OR(AB379="March", AB379="April", AB379="May"), "Spring", OR(AB379="June", AB379="July", AB379="August"), "Summer", TRUE, "Autumn")</f>
        <v>Spring</v>
      </c>
      <c r="AB379" s="7" t="str">
        <f>TEXT(Z379, "mmmm")</f>
        <v>May</v>
      </c>
      <c r="AC379" s="1" t="str">
        <f>TEXT(Z379, "dddd")</f>
        <v>Sunday</v>
      </c>
      <c r="AD379" s="4" t="s">
        <v>76</v>
      </c>
      <c r="AE379" s="4" t="s">
        <v>76</v>
      </c>
      <c r="AF379" s="4" t="s">
        <v>63</v>
      </c>
      <c r="AG379" s="4" t="s">
        <v>64</v>
      </c>
      <c r="AH379" s="3">
        <v>3</v>
      </c>
    </row>
    <row r="380" spans="1:34">
      <c r="A380" s="4" t="s">
        <v>862</v>
      </c>
      <c r="B380" s="3">
        <v>46</v>
      </c>
      <c r="C380" s="9" t="str" cm="1">
        <f t="array" ref="C380">_xlfn.IFS(B380&gt;65,"+65",B380&gt;54,"55-65",B380&gt;44,"45-54",B380&gt;35,"36-44",B380&gt;25,"26-35",B380&gt;=18,"18-25")</f>
        <v>45-54</v>
      </c>
      <c r="D380" s="4" t="s">
        <v>78</v>
      </c>
      <c r="E380" s="4" t="s">
        <v>72</v>
      </c>
      <c r="F380" s="4" t="s">
        <v>52</v>
      </c>
      <c r="G380" s="4" t="s">
        <v>53</v>
      </c>
      <c r="H380" s="4" t="s">
        <v>863</v>
      </c>
      <c r="I380" s="4" t="s">
        <v>70</v>
      </c>
      <c r="J380" s="5">
        <v>223.58</v>
      </c>
      <c r="K380" s="3">
        <v>11</v>
      </c>
      <c r="L380" s="4" t="str">
        <f>IF(AND(J380&gt;350,K380&gt;6), "True","False")</f>
        <v>False</v>
      </c>
      <c r="M380" s="4" t="s">
        <v>83</v>
      </c>
      <c r="N380" s="3">
        <v>4</v>
      </c>
      <c r="O380" s="4" t="str" cm="1">
        <f t="array" ref="O380">_xlfn.IFS(P380&lt;=2,"Poor",P380=3,"Average",P380&gt;=4,"Good")</f>
        <v>Average</v>
      </c>
      <c r="P380" s="3">
        <v>3</v>
      </c>
      <c r="Q380" s="2">
        <v>0</v>
      </c>
      <c r="R380" s="4" t="s">
        <v>72</v>
      </c>
      <c r="S380" s="4" t="s">
        <v>73</v>
      </c>
      <c r="T380" s="3">
        <v>0</v>
      </c>
      <c r="U380" s="4" t="str" cm="1">
        <f t="array" ref="U380">_xlfn.IFS(V380&lt;=4, "Dissatisfied",V380&lt;=7,"Neutral",V380&gt;=8,"Satisfied")</f>
        <v>Neutral</v>
      </c>
      <c r="V380" s="3">
        <v>6</v>
      </c>
      <c r="W380" s="4" t="s">
        <v>57</v>
      </c>
      <c r="X380" s="4" t="s">
        <v>74</v>
      </c>
      <c r="Y380" s="4" t="s">
        <v>86</v>
      </c>
      <c r="Z380" s="1">
        <v>45432</v>
      </c>
      <c r="AA380" s="4" t="str" cm="1">
        <f t="array" ref="AA380">_xlfn.IFS(OR(AB380="December", AB380="February", AB380="January"), "Winter", OR(AB380="March", AB380="April", AB380="May"), "Spring", OR(AB380="June", AB380="July", AB380="August"), "Summer", TRUE, "Autumn")</f>
        <v>Spring</v>
      </c>
      <c r="AB380" s="7" t="str">
        <f>TEXT(Z380, "mmmm")</f>
        <v>May</v>
      </c>
      <c r="AC380" s="1" t="str">
        <f>TEXT(Z380, "dddd")</f>
        <v>Monday</v>
      </c>
      <c r="AD380" s="4" t="s">
        <v>76</v>
      </c>
      <c r="AE380" s="4" t="s">
        <v>76</v>
      </c>
      <c r="AF380" s="4" t="s">
        <v>92</v>
      </c>
      <c r="AG380" s="4" t="s">
        <v>88</v>
      </c>
      <c r="AH380" s="3">
        <v>11</v>
      </c>
    </row>
    <row r="381" spans="1:34">
      <c r="A381" s="4" t="s">
        <v>864</v>
      </c>
      <c r="B381" s="3">
        <v>43</v>
      </c>
      <c r="C381" s="9" t="str" cm="1">
        <f t="array" ref="C381">_xlfn.IFS(B381&gt;65,"+65",B381&gt;54,"55-65",B381&gt;44,"45-54",B381&gt;35,"36-44",B381&gt;25,"26-35",B381&gt;=18,"18-25")</f>
        <v>36-44</v>
      </c>
      <c r="D381" s="4" t="s">
        <v>66</v>
      </c>
      <c r="E381" s="4" t="s">
        <v>72</v>
      </c>
      <c r="F381" s="4" t="s">
        <v>79</v>
      </c>
      <c r="G381" s="4" t="s">
        <v>68</v>
      </c>
      <c r="H381" s="4" t="s">
        <v>865</v>
      </c>
      <c r="I381" s="4" t="s">
        <v>156</v>
      </c>
      <c r="J381" s="5">
        <v>295.60000000000002</v>
      </c>
      <c r="K381" s="3">
        <v>10</v>
      </c>
      <c r="L381" s="4" t="str">
        <f>IF(AND(J381&gt;350,K381&gt;6), "True","False")</f>
        <v>False</v>
      </c>
      <c r="M381" s="4" t="s">
        <v>56</v>
      </c>
      <c r="N381" s="3">
        <v>1</v>
      </c>
      <c r="O381" s="4" t="str" cm="1">
        <f t="array" ref="O381">_xlfn.IFS(P381&lt;=2,"Poor",P381=3,"Average",P381&gt;=4,"Good")</f>
        <v>Poor</v>
      </c>
      <c r="P381" s="3">
        <v>2</v>
      </c>
      <c r="Q381" s="2">
        <v>1</v>
      </c>
      <c r="R381" s="4" t="s">
        <v>72</v>
      </c>
      <c r="S381" s="4" t="s">
        <v>84</v>
      </c>
      <c r="T381" s="3">
        <v>0</v>
      </c>
      <c r="U381" s="4" t="str" cm="1">
        <f t="array" ref="U381">_xlfn.IFS(V381&lt;=4, "Dissatisfied",V381&lt;=7,"Neutral",V381&gt;=8,"Satisfied")</f>
        <v>Satisfied</v>
      </c>
      <c r="V381" s="3">
        <v>9</v>
      </c>
      <c r="W381" s="4" t="s">
        <v>59</v>
      </c>
      <c r="X381" s="4" t="s">
        <v>101</v>
      </c>
      <c r="Y381" s="4" t="s">
        <v>119</v>
      </c>
      <c r="Z381" s="1">
        <v>45432</v>
      </c>
      <c r="AA381" s="4" t="str" cm="1">
        <f t="array" ref="AA381">_xlfn.IFS(OR(AB381="December", AB381="February", AB381="January"), "Winter", OR(AB381="March", AB381="April", AB381="May"), "Spring", OR(AB381="June", AB381="July", AB381="August"), "Summer", TRUE, "Autumn")</f>
        <v>Spring</v>
      </c>
      <c r="AB381" s="7" t="str">
        <f>TEXT(Z381, "mmmm")</f>
        <v>May</v>
      </c>
      <c r="AC381" s="1" t="str">
        <f>TEXT(Z381, "dddd")</f>
        <v>Monday</v>
      </c>
      <c r="AD381" s="4" t="s">
        <v>62</v>
      </c>
      <c r="AE381" s="4" t="s">
        <v>62</v>
      </c>
      <c r="AF381" s="4" t="s">
        <v>63</v>
      </c>
      <c r="AG381" s="4" t="s">
        <v>64</v>
      </c>
      <c r="AH381" s="3">
        <v>5</v>
      </c>
    </row>
    <row r="382" spans="1:34">
      <c r="A382" s="4" t="s">
        <v>866</v>
      </c>
      <c r="B382" s="3">
        <v>42</v>
      </c>
      <c r="C382" s="9" t="str" cm="1">
        <f t="array" ref="C382">_xlfn.IFS(B382&gt;65,"+65",B382&gt;54,"55-65",B382&gt;44,"45-54",B382&gt;35,"36-44",B382&gt;25,"26-35",B382&gt;=18,"18-25")</f>
        <v>36-44</v>
      </c>
      <c r="D382" s="4" t="s">
        <v>66</v>
      </c>
      <c r="E382" s="4" t="s">
        <v>51</v>
      </c>
      <c r="F382" s="4" t="s">
        <v>79</v>
      </c>
      <c r="G382" s="4" t="s">
        <v>68</v>
      </c>
      <c r="H382" s="4" t="s">
        <v>867</v>
      </c>
      <c r="I382" s="4" t="s">
        <v>55</v>
      </c>
      <c r="J382" s="5">
        <v>140.31</v>
      </c>
      <c r="K382" s="3">
        <v>2</v>
      </c>
      <c r="L382" s="4" t="str">
        <f>IF(AND(J382&gt;350,K382&gt;6), "True","False")</f>
        <v>False</v>
      </c>
      <c r="M382" s="4" t="s">
        <v>56</v>
      </c>
      <c r="N382" s="3">
        <v>2</v>
      </c>
      <c r="O382" s="4" t="str" cm="1">
        <f t="array" ref="O382">_xlfn.IFS(P382&lt;=2,"Poor",P382=3,"Average",P382&gt;=4,"Good")</f>
        <v>Good</v>
      </c>
      <c r="P382" s="3">
        <v>4</v>
      </c>
      <c r="Q382" s="2">
        <v>1</v>
      </c>
      <c r="R382" s="4" t="s">
        <v>59</v>
      </c>
      <c r="S382" s="4" t="s">
        <v>73</v>
      </c>
      <c r="T382" s="3">
        <v>2</v>
      </c>
      <c r="U382" s="4" t="str" cm="1">
        <f t="array" ref="U382">_xlfn.IFS(V382&lt;=4, "Dissatisfied",V382&lt;=7,"Neutral",V382&gt;=8,"Satisfied")</f>
        <v>Neutral</v>
      </c>
      <c r="V382" s="3">
        <v>5</v>
      </c>
      <c r="W382" s="4" t="s">
        <v>57</v>
      </c>
      <c r="X382" s="4" t="s">
        <v>101</v>
      </c>
      <c r="Y382" s="4" t="s">
        <v>61</v>
      </c>
      <c r="Z382" s="1">
        <v>45433</v>
      </c>
      <c r="AA382" s="4" t="str" cm="1">
        <f t="array" ref="AA382">_xlfn.IFS(OR(AB382="December", AB382="February", AB382="January"), "Winter", OR(AB382="March", AB382="April", AB382="May"), "Spring", OR(AB382="June", AB382="July", AB382="August"), "Summer", TRUE, "Autumn")</f>
        <v>Spring</v>
      </c>
      <c r="AB382" s="7" t="str">
        <f>TEXT(Z382, "mmmm")</f>
        <v>May</v>
      </c>
      <c r="AC382" s="1" t="str">
        <f>TEXT(Z382, "dddd")</f>
        <v>Tuesday</v>
      </c>
      <c r="AD382" s="4" t="s">
        <v>62</v>
      </c>
      <c r="AE382" s="4" t="s">
        <v>62</v>
      </c>
      <c r="AF382" s="4" t="s">
        <v>92</v>
      </c>
      <c r="AG382" s="4" t="s">
        <v>93</v>
      </c>
      <c r="AH382" s="3">
        <v>8</v>
      </c>
    </row>
    <row r="383" spans="1:34">
      <c r="A383" s="4" t="s">
        <v>868</v>
      </c>
      <c r="B383" s="3">
        <v>42</v>
      </c>
      <c r="C383" s="9" t="str" cm="1">
        <f t="array" ref="C383">_xlfn.IFS(B383&gt;65,"+65",B383&gt;54,"55-65",B383&gt;44,"45-54",B383&gt;35,"36-44",B383&gt;25,"26-35",B383&gt;=18,"18-25")</f>
        <v>36-44</v>
      </c>
      <c r="D383" s="4" t="s">
        <v>78</v>
      </c>
      <c r="E383" s="4" t="s">
        <v>51</v>
      </c>
      <c r="F383" s="4" t="s">
        <v>52</v>
      </c>
      <c r="G383" s="4" t="s">
        <v>80</v>
      </c>
      <c r="H383" s="4" t="s">
        <v>869</v>
      </c>
      <c r="I383" s="4" t="s">
        <v>110</v>
      </c>
      <c r="J383" s="5">
        <v>195.05</v>
      </c>
      <c r="K383" s="3">
        <v>5</v>
      </c>
      <c r="L383" s="4" t="str">
        <f>IF(AND(J383&gt;350,K383&gt;6), "True","False")</f>
        <v>False</v>
      </c>
      <c r="M383" s="4" t="s">
        <v>71</v>
      </c>
      <c r="N383" s="3">
        <v>2</v>
      </c>
      <c r="O383" s="4" t="str" cm="1">
        <f t="array" ref="O383">_xlfn.IFS(P383&lt;=2,"Poor",P383=3,"Average",P383&gt;=4,"Good")</f>
        <v>Poor</v>
      </c>
      <c r="P383" s="3">
        <v>1</v>
      </c>
      <c r="Q383" s="2">
        <v>2</v>
      </c>
      <c r="R383" s="4" t="s">
        <v>85</v>
      </c>
      <c r="S383" s="4" t="s">
        <v>58</v>
      </c>
      <c r="T383" s="3">
        <v>0</v>
      </c>
      <c r="U383" s="4" t="str" cm="1">
        <f t="array" ref="U383">_xlfn.IFS(V383&lt;=4, "Dissatisfied",V383&lt;=7,"Neutral",V383&gt;=8,"Satisfied")</f>
        <v>Satisfied</v>
      </c>
      <c r="V383" s="3">
        <v>10</v>
      </c>
      <c r="W383" s="4" t="s">
        <v>72</v>
      </c>
      <c r="X383" s="4" t="s">
        <v>60</v>
      </c>
      <c r="Y383" s="4" t="s">
        <v>111</v>
      </c>
      <c r="Z383" s="1">
        <v>45433</v>
      </c>
      <c r="AA383" s="4" t="str" cm="1">
        <f t="array" ref="AA383">_xlfn.IFS(OR(AB383="December", AB383="February", AB383="January"), "Winter", OR(AB383="March", AB383="April", AB383="May"), "Spring", OR(AB383="June", AB383="July", AB383="August"), "Summer", TRUE, "Autumn")</f>
        <v>Spring</v>
      </c>
      <c r="AB383" s="7" t="str">
        <f>TEXT(Z383, "mmmm")</f>
        <v>May</v>
      </c>
      <c r="AC383" s="1" t="str">
        <f>TEXT(Z383, "dddd")</f>
        <v>Tuesday</v>
      </c>
      <c r="AD383" s="4" t="s">
        <v>62</v>
      </c>
      <c r="AE383" s="4" t="s">
        <v>76</v>
      </c>
      <c r="AF383" s="4" t="s">
        <v>92</v>
      </c>
      <c r="AG383" s="4" t="s">
        <v>88</v>
      </c>
      <c r="AH383" s="3">
        <v>11</v>
      </c>
    </row>
    <row r="384" spans="1:34">
      <c r="A384" s="4" t="s">
        <v>870</v>
      </c>
      <c r="B384" s="3">
        <v>40</v>
      </c>
      <c r="C384" s="9" t="str" cm="1">
        <f t="array" ref="C384">_xlfn.IFS(B384&gt;65,"+65",B384&gt;54,"55-65",B384&gt;44,"45-54",B384&gt;35,"36-44",B384&gt;25,"26-35",B384&gt;=18,"18-25")</f>
        <v>36-44</v>
      </c>
      <c r="D384" s="4" t="s">
        <v>456</v>
      </c>
      <c r="E384" s="4" t="s">
        <v>72</v>
      </c>
      <c r="F384" s="4" t="s">
        <v>52</v>
      </c>
      <c r="G384" s="4" t="s">
        <v>53</v>
      </c>
      <c r="H384" s="4" t="s">
        <v>871</v>
      </c>
      <c r="I384" s="4" t="s">
        <v>151</v>
      </c>
      <c r="J384" s="5">
        <v>308.58</v>
      </c>
      <c r="K384" s="3">
        <v>11</v>
      </c>
      <c r="L384" s="4" t="str">
        <f>IF(AND(J384&gt;350,K384&gt;6), "True","False")</f>
        <v>False</v>
      </c>
      <c r="M384" s="4" t="s">
        <v>56</v>
      </c>
      <c r="N384" s="3">
        <v>2</v>
      </c>
      <c r="O384" s="4" t="str" cm="1">
        <f t="array" ref="O384">_xlfn.IFS(P384&lt;=2,"Poor",P384=3,"Average",P384&gt;=4,"Good")</f>
        <v>Good</v>
      </c>
      <c r="P384" s="3">
        <v>5</v>
      </c>
      <c r="Q384" s="2">
        <v>2</v>
      </c>
      <c r="R384" s="4" t="s">
        <v>85</v>
      </c>
      <c r="S384" s="4" t="s">
        <v>58</v>
      </c>
      <c r="T384" s="3">
        <v>0</v>
      </c>
      <c r="U384" s="4" t="str" cm="1">
        <f t="array" ref="U384">_xlfn.IFS(V384&lt;=4, "Dissatisfied",V384&lt;=7,"Neutral",V384&gt;=8,"Satisfied")</f>
        <v>Neutral</v>
      </c>
      <c r="V384" s="3">
        <v>7</v>
      </c>
      <c r="W384" s="4" t="s">
        <v>85</v>
      </c>
      <c r="X384" s="4" t="s">
        <v>60</v>
      </c>
      <c r="Y384" s="4" t="s">
        <v>75</v>
      </c>
      <c r="Z384" s="1">
        <v>45433</v>
      </c>
      <c r="AA384" s="4" t="str" cm="1">
        <f t="array" ref="AA384">_xlfn.IFS(OR(AB384="December", AB384="February", AB384="January"), "Winter", OR(AB384="March", AB384="April", AB384="May"), "Spring", OR(AB384="June", AB384="July", AB384="August"), "Summer", TRUE, "Autumn")</f>
        <v>Spring</v>
      </c>
      <c r="AB384" s="7" t="str">
        <f>TEXT(Z384, "mmmm")</f>
        <v>May</v>
      </c>
      <c r="AC384" s="1" t="str">
        <f>TEXT(Z384, "dddd")</f>
        <v>Tuesday</v>
      </c>
      <c r="AD384" s="4" t="s">
        <v>76</v>
      </c>
      <c r="AE384" s="4" t="s">
        <v>62</v>
      </c>
      <c r="AF384" s="4" t="s">
        <v>63</v>
      </c>
      <c r="AG384" s="4" t="s">
        <v>93</v>
      </c>
      <c r="AH384" s="3">
        <v>12</v>
      </c>
    </row>
    <row r="385" spans="1:34">
      <c r="A385" s="4" t="s">
        <v>872</v>
      </c>
      <c r="B385" s="3">
        <v>30</v>
      </c>
      <c r="C385" s="9" t="str" cm="1">
        <f t="array" ref="C385">_xlfn.IFS(B385&gt;65,"+65",B385&gt;54,"55-65",B385&gt;44,"45-54",B385&gt;35,"36-44",B385&gt;25,"26-35",B385&gt;=18,"18-25")</f>
        <v>26-35</v>
      </c>
      <c r="D385" s="4" t="s">
        <v>78</v>
      </c>
      <c r="E385" s="4" t="s">
        <v>72</v>
      </c>
      <c r="F385" s="4" t="s">
        <v>52</v>
      </c>
      <c r="G385" s="4" t="s">
        <v>53</v>
      </c>
      <c r="H385" s="4" t="s">
        <v>873</v>
      </c>
      <c r="I385" s="4" t="s">
        <v>275</v>
      </c>
      <c r="J385" s="5">
        <v>52.34</v>
      </c>
      <c r="K385" s="3">
        <v>6</v>
      </c>
      <c r="L385" s="4" t="str">
        <f>IF(AND(J385&gt;350,K385&gt;6), "True","False")</f>
        <v>False</v>
      </c>
      <c r="M385" s="4" t="s">
        <v>71</v>
      </c>
      <c r="N385" s="3">
        <v>3</v>
      </c>
      <c r="O385" s="4" t="str" cm="1">
        <f t="array" ref="O385">_xlfn.IFS(P385&lt;=2,"Poor",P385=3,"Average",P385&gt;=4,"Good")</f>
        <v>Good</v>
      </c>
      <c r="P385" s="3">
        <v>4</v>
      </c>
      <c r="Q385" s="2">
        <v>1</v>
      </c>
      <c r="R385" s="4" t="s">
        <v>59</v>
      </c>
      <c r="S385" s="4" t="s">
        <v>84</v>
      </c>
      <c r="T385" s="3">
        <v>1</v>
      </c>
      <c r="U385" s="4" t="str" cm="1">
        <f t="array" ref="U385">_xlfn.IFS(V385&lt;=4, "Dissatisfied",V385&lt;=7,"Neutral",V385&gt;=8,"Satisfied")</f>
        <v>Neutral</v>
      </c>
      <c r="V385" s="3">
        <v>5</v>
      </c>
      <c r="W385" s="4" t="s">
        <v>85</v>
      </c>
      <c r="X385" s="4" t="s">
        <v>74</v>
      </c>
      <c r="Y385" s="4" t="s">
        <v>86</v>
      </c>
      <c r="Z385" s="1">
        <v>45433</v>
      </c>
      <c r="AA385" s="4" t="str" cm="1">
        <f t="array" ref="AA385">_xlfn.IFS(OR(AB385="December", AB385="February", AB385="January"), "Winter", OR(AB385="March", AB385="April", AB385="May"), "Spring", OR(AB385="June", AB385="July", AB385="August"), "Summer", TRUE, "Autumn")</f>
        <v>Spring</v>
      </c>
      <c r="AB385" s="7" t="str">
        <f>TEXT(Z385, "mmmm")</f>
        <v>May</v>
      </c>
      <c r="AC385" s="1" t="str">
        <f>TEXT(Z385, "dddd")</f>
        <v>Tuesday</v>
      </c>
      <c r="AD385" s="4" t="s">
        <v>62</v>
      </c>
      <c r="AE385" s="4" t="s">
        <v>62</v>
      </c>
      <c r="AF385" s="4" t="s">
        <v>87</v>
      </c>
      <c r="AG385" s="4" t="s">
        <v>93</v>
      </c>
      <c r="AH385" s="3">
        <v>13</v>
      </c>
    </row>
    <row r="386" spans="1:34">
      <c r="A386" s="4" t="s">
        <v>874</v>
      </c>
      <c r="B386" s="3">
        <v>20</v>
      </c>
      <c r="C386" s="9" t="str" cm="1">
        <f t="array" ref="C386">_xlfn.IFS(B386&gt;65,"+65",B386&gt;54,"55-65",B386&gt;44,"45-54",B386&gt;35,"36-44",B386&gt;25,"26-35",B386&gt;=18,"18-25")</f>
        <v>18-25</v>
      </c>
      <c r="D386" s="4" t="s">
        <v>78</v>
      </c>
      <c r="E386" s="4" t="s">
        <v>72</v>
      </c>
      <c r="F386" s="4" t="s">
        <v>52</v>
      </c>
      <c r="G386" s="4" t="s">
        <v>68</v>
      </c>
      <c r="H386" s="4" t="s">
        <v>875</v>
      </c>
      <c r="I386" s="4" t="s">
        <v>105</v>
      </c>
      <c r="J386" s="5">
        <v>338.89</v>
      </c>
      <c r="K386" s="3">
        <v>7</v>
      </c>
      <c r="L386" s="4" t="str">
        <f>IF(AND(J386&gt;350,K386&gt;6), "True","False")</f>
        <v>False</v>
      </c>
      <c r="M386" s="4" t="s">
        <v>71</v>
      </c>
      <c r="N386" s="3">
        <v>4</v>
      </c>
      <c r="O386" s="4" t="str" cm="1">
        <f t="array" ref="O386">_xlfn.IFS(P386&lt;=2,"Poor",P386=3,"Average",P386&gt;=4,"Good")</f>
        <v>Poor</v>
      </c>
      <c r="P386" s="3">
        <v>2</v>
      </c>
      <c r="Q386" s="2">
        <v>1</v>
      </c>
      <c r="R386" s="4" t="s">
        <v>59</v>
      </c>
      <c r="S386" s="4" t="s">
        <v>84</v>
      </c>
      <c r="T386" s="3">
        <v>2</v>
      </c>
      <c r="U386" s="4" t="str" cm="1">
        <f t="array" ref="U386">_xlfn.IFS(V386&lt;=4, "Dissatisfied",V386&lt;=7,"Neutral",V386&gt;=8,"Satisfied")</f>
        <v>Neutral</v>
      </c>
      <c r="V386" s="3">
        <v>6</v>
      </c>
      <c r="W386" s="4" t="s">
        <v>57</v>
      </c>
      <c r="X386" s="4" t="s">
        <v>101</v>
      </c>
      <c r="Y386" s="4" t="s">
        <v>119</v>
      </c>
      <c r="Z386" s="1">
        <v>45433</v>
      </c>
      <c r="AA386" s="4" t="str" cm="1">
        <f t="array" ref="AA386">_xlfn.IFS(OR(AB386="December", AB386="February", AB386="January"), "Winter", OR(AB386="March", AB386="April", AB386="May"), "Spring", OR(AB386="June", AB386="July", AB386="August"), "Summer", TRUE, "Autumn")</f>
        <v>Spring</v>
      </c>
      <c r="AB386" s="7" t="str">
        <f>TEXT(Z386, "mmmm")</f>
        <v>May</v>
      </c>
      <c r="AC386" s="1" t="str">
        <f>TEXT(Z386, "dddd")</f>
        <v>Tuesday</v>
      </c>
      <c r="AD386" s="4" t="s">
        <v>62</v>
      </c>
      <c r="AE386" s="4" t="s">
        <v>62</v>
      </c>
      <c r="AF386" s="4" t="s">
        <v>102</v>
      </c>
      <c r="AG386" s="4" t="s">
        <v>93</v>
      </c>
      <c r="AH386" s="3">
        <v>3</v>
      </c>
    </row>
    <row r="387" spans="1:34">
      <c r="A387" s="4" t="s">
        <v>876</v>
      </c>
      <c r="B387" s="3">
        <v>47</v>
      </c>
      <c r="C387" s="9" t="str" cm="1">
        <f t="array" ref="C387">_xlfn.IFS(B387&gt;65,"+65",B387&gt;54,"55-65",B387&gt;44,"45-54",B387&gt;35,"36-44",B387&gt;25,"26-35",B387&gt;=18,"18-25")</f>
        <v>45-54</v>
      </c>
      <c r="D387" s="4" t="s">
        <v>66</v>
      </c>
      <c r="E387" s="4" t="s">
        <v>72</v>
      </c>
      <c r="F387" s="4" t="s">
        <v>79</v>
      </c>
      <c r="G387" s="4" t="s">
        <v>80</v>
      </c>
      <c r="H387" s="4" t="s">
        <v>877</v>
      </c>
      <c r="I387" s="4" t="s">
        <v>133</v>
      </c>
      <c r="J387" s="5">
        <v>164.79</v>
      </c>
      <c r="K387" s="3">
        <v>4</v>
      </c>
      <c r="L387" s="4" t="str">
        <f>IF(AND(J387&gt;350,K387&gt;6), "True","False")</f>
        <v>False</v>
      </c>
      <c r="M387" s="4" t="s">
        <v>71</v>
      </c>
      <c r="N387" s="3">
        <v>3</v>
      </c>
      <c r="O387" s="4" t="str" cm="1">
        <f t="array" ref="O387">_xlfn.IFS(P387&lt;=2,"Poor",P387=3,"Average",P387&gt;=4,"Good")</f>
        <v>Poor</v>
      </c>
      <c r="P387" s="3">
        <v>2</v>
      </c>
      <c r="Q387" s="2">
        <v>0</v>
      </c>
      <c r="R387" s="4" t="s">
        <v>57</v>
      </c>
      <c r="S387" s="4" t="s">
        <v>84</v>
      </c>
      <c r="T387" s="3">
        <v>2</v>
      </c>
      <c r="U387" s="4" t="str" cm="1">
        <f t="array" ref="U387">_xlfn.IFS(V387&lt;=4, "Dissatisfied",V387&lt;=7,"Neutral",V387&gt;=8,"Satisfied")</f>
        <v>Neutral</v>
      </c>
      <c r="V387" s="3">
        <v>5</v>
      </c>
      <c r="W387" s="4" t="s">
        <v>72</v>
      </c>
      <c r="X387" s="4" t="s">
        <v>74</v>
      </c>
      <c r="Y387" s="4" t="s">
        <v>119</v>
      </c>
      <c r="Z387" s="1">
        <v>45435</v>
      </c>
      <c r="AA387" s="4" t="str" cm="1">
        <f t="array" ref="AA387">_xlfn.IFS(OR(AB387="December", AB387="February", AB387="January"), "Winter", OR(AB387="March", AB387="April", AB387="May"), "Spring", OR(AB387="June", AB387="July", AB387="August"), "Summer", TRUE, "Autumn")</f>
        <v>Spring</v>
      </c>
      <c r="AB387" s="7" t="str">
        <f>TEXT(Z387, "mmmm")</f>
        <v>May</v>
      </c>
      <c r="AC387" s="1" t="str">
        <f>TEXT(Z387, "dddd")</f>
        <v>Thursday</v>
      </c>
      <c r="AD387" s="4" t="s">
        <v>62</v>
      </c>
      <c r="AE387" s="4" t="s">
        <v>62</v>
      </c>
      <c r="AF387" s="4" t="s">
        <v>92</v>
      </c>
      <c r="AG387" s="4" t="s">
        <v>88</v>
      </c>
      <c r="AH387" s="3">
        <v>1</v>
      </c>
    </row>
    <row r="388" spans="1:34">
      <c r="A388" s="4" t="s">
        <v>878</v>
      </c>
      <c r="B388" s="3">
        <v>35</v>
      </c>
      <c r="C388" s="9" t="str" cm="1">
        <f t="array" ref="C388">_xlfn.IFS(B388&gt;65,"+65",B388&gt;54,"55-65",B388&gt;44,"45-54",B388&gt;35,"36-44",B388&gt;25,"26-35",B388&gt;=18,"18-25")</f>
        <v>26-35</v>
      </c>
      <c r="D388" s="4" t="s">
        <v>78</v>
      </c>
      <c r="E388" s="4" t="s">
        <v>51</v>
      </c>
      <c r="F388" s="4" t="s">
        <v>95</v>
      </c>
      <c r="G388" s="4" t="s">
        <v>80</v>
      </c>
      <c r="H388" s="4" t="s">
        <v>879</v>
      </c>
      <c r="I388" s="4" t="s">
        <v>105</v>
      </c>
      <c r="J388" s="5">
        <v>234.44</v>
      </c>
      <c r="K388" s="3">
        <v>6</v>
      </c>
      <c r="L388" s="4" t="str">
        <f>IF(AND(J388&gt;350,K388&gt;6), "True","False")</f>
        <v>False</v>
      </c>
      <c r="M388" s="4" t="s">
        <v>71</v>
      </c>
      <c r="N388" s="3">
        <v>3</v>
      </c>
      <c r="O388" s="4" t="str" cm="1">
        <f t="array" ref="O388">_xlfn.IFS(P388&lt;=2,"Poor",P388=3,"Average",P388&gt;=4,"Good")</f>
        <v>Good</v>
      </c>
      <c r="P388" s="3">
        <v>5</v>
      </c>
      <c r="Q388" s="2">
        <v>2</v>
      </c>
      <c r="R388" s="4" t="s">
        <v>85</v>
      </c>
      <c r="S388" s="4" t="s">
        <v>73</v>
      </c>
      <c r="T388" s="3">
        <v>0</v>
      </c>
      <c r="U388" s="4" t="str" cm="1">
        <f t="array" ref="U388">_xlfn.IFS(V388&lt;=4, "Dissatisfied",V388&lt;=7,"Neutral",V388&gt;=8,"Satisfied")</f>
        <v>Dissatisfied</v>
      </c>
      <c r="V388" s="3">
        <v>1</v>
      </c>
      <c r="W388" s="4" t="s">
        <v>72</v>
      </c>
      <c r="X388" s="4" t="s">
        <v>101</v>
      </c>
      <c r="Y388" s="4" t="s">
        <v>111</v>
      </c>
      <c r="Z388" s="1">
        <v>45435</v>
      </c>
      <c r="AA388" s="4" t="str" cm="1">
        <f t="array" ref="AA388">_xlfn.IFS(OR(AB388="December", AB388="February", AB388="January"), "Winter", OR(AB388="March", AB388="April", AB388="May"), "Spring", OR(AB388="June", AB388="July", AB388="August"), "Summer", TRUE, "Autumn")</f>
        <v>Spring</v>
      </c>
      <c r="AB388" s="7" t="str">
        <f>TEXT(Z388, "mmmm")</f>
        <v>May</v>
      </c>
      <c r="AC388" s="1" t="str">
        <f>TEXT(Z388, "dddd")</f>
        <v>Thursday</v>
      </c>
      <c r="AD388" s="4" t="s">
        <v>76</v>
      </c>
      <c r="AE388" s="4" t="s">
        <v>62</v>
      </c>
      <c r="AF388" s="4" t="s">
        <v>92</v>
      </c>
      <c r="AG388" s="4" t="s">
        <v>93</v>
      </c>
      <c r="AH388" s="3">
        <v>5</v>
      </c>
    </row>
    <row r="389" spans="1:34">
      <c r="A389" s="4" t="s">
        <v>880</v>
      </c>
      <c r="B389" s="3">
        <v>19</v>
      </c>
      <c r="C389" s="9" t="str" cm="1">
        <f t="array" ref="C389">_xlfn.IFS(B389&gt;65,"+65",B389&gt;54,"55-65",B389&gt;44,"45-54",B389&gt;35,"36-44",B389&gt;25,"26-35",B389&gt;=18,"18-25")</f>
        <v>18-25</v>
      </c>
      <c r="D389" s="4" t="s">
        <v>78</v>
      </c>
      <c r="E389" s="4" t="s">
        <v>51</v>
      </c>
      <c r="F389" s="4" t="s">
        <v>67</v>
      </c>
      <c r="G389" s="4" t="s">
        <v>80</v>
      </c>
      <c r="H389" s="4" t="s">
        <v>881</v>
      </c>
      <c r="I389" s="4" t="s">
        <v>151</v>
      </c>
      <c r="J389" s="5">
        <v>401.43</v>
      </c>
      <c r="K389" s="3">
        <v>8</v>
      </c>
      <c r="L389" s="4" t="str">
        <f>IF(AND(J389&gt;350,K389&gt;6), "True","False")</f>
        <v>True</v>
      </c>
      <c r="M389" s="4" t="s">
        <v>83</v>
      </c>
      <c r="N389" s="3">
        <v>4</v>
      </c>
      <c r="O389" s="4" t="str" cm="1">
        <f t="array" ref="O389">_xlfn.IFS(P389&lt;=2,"Poor",P389=3,"Average",P389&gt;=4,"Good")</f>
        <v>Poor</v>
      </c>
      <c r="P389" s="3">
        <v>2</v>
      </c>
      <c r="Q389" s="2">
        <v>0</v>
      </c>
      <c r="R389" s="4" t="s">
        <v>57</v>
      </c>
      <c r="S389" s="4" t="s">
        <v>58</v>
      </c>
      <c r="T389" s="3">
        <v>0</v>
      </c>
      <c r="U389" s="4" t="str" cm="1">
        <f t="array" ref="U389">_xlfn.IFS(V389&lt;=4, "Dissatisfied",V389&lt;=7,"Neutral",V389&gt;=8,"Satisfied")</f>
        <v>Neutral</v>
      </c>
      <c r="V389" s="3">
        <v>6</v>
      </c>
      <c r="W389" s="4" t="s">
        <v>72</v>
      </c>
      <c r="X389" s="4" t="s">
        <v>74</v>
      </c>
      <c r="Y389" s="4" t="s">
        <v>111</v>
      </c>
      <c r="Z389" s="1">
        <v>45435</v>
      </c>
      <c r="AA389" s="4" t="str" cm="1">
        <f t="array" ref="AA389">_xlfn.IFS(OR(AB389="December", AB389="February", AB389="January"), "Winter", OR(AB389="March", AB389="April", AB389="May"), "Spring", OR(AB389="June", AB389="July", AB389="August"), "Summer", TRUE, "Autumn")</f>
        <v>Spring</v>
      </c>
      <c r="AB389" s="7" t="str">
        <f>TEXT(Z389, "mmmm")</f>
        <v>May</v>
      </c>
      <c r="AC389" s="1" t="str">
        <f>TEXT(Z389, "dddd")</f>
        <v>Thursday</v>
      </c>
      <c r="AD389" s="4" t="s">
        <v>62</v>
      </c>
      <c r="AE389" s="4" t="s">
        <v>62</v>
      </c>
      <c r="AF389" s="4" t="s">
        <v>63</v>
      </c>
      <c r="AG389" s="4" t="s">
        <v>88</v>
      </c>
      <c r="AH389" s="3">
        <v>5</v>
      </c>
    </row>
    <row r="390" spans="1:34">
      <c r="A390" s="4" t="s">
        <v>882</v>
      </c>
      <c r="B390" s="3">
        <v>38</v>
      </c>
      <c r="C390" s="9" t="str" cm="1">
        <f t="array" ref="C390">_xlfn.IFS(B390&gt;65,"+65",B390&gt;54,"55-65",B390&gt;44,"45-54",B390&gt;35,"36-44",B390&gt;25,"26-35",B390&gt;=18,"18-25")</f>
        <v>36-44</v>
      </c>
      <c r="D390" s="4" t="s">
        <v>78</v>
      </c>
      <c r="E390" s="4" t="s">
        <v>72</v>
      </c>
      <c r="F390" s="4" t="s">
        <v>52</v>
      </c>
      <c r="G390" s="4" t="s">
        <v>80</v>
      </c>
      <c r="H390" s="4" t="s">
        <v>883</v>
      </c>
      <c r="I390" s="4" t="s">
        <v>91</v>
      </c>
      <c r="J390" s="5">
        <v>178.21</v>
      </c>
      <c r="K390" s="3">
        <v>7</v>
      </c>
      <c r="L390" s="4" t="str">
        <f>IF(AND(J390&gt;350,K390&gt;6), "True","False")</f>
        <v>False</v>
      </c>
      <c r="M390" s="4" t="s">
        <v>71</v>
      </c>
      <c r="N390" s="3">
        <v>1</v>
      </c>
      <c r="O390" s="4" t="str" cm="1">
        <f t="array" ref="O390">_xlfn.IFS(P390&lt;=2,"Poor",P390=3,"Average",P390&gt;=4,"Good")</f>
        <v>Good</v>
      </c>
      <c r="P390" s="3">
        <v>5</v>
      </c>
      <c r="Q390" s="2">
        <v>2</v>
      </c>
      <c r="R390" s="4" t="s">
        <v>59</v>
      </c>
      <c r="S390" s="4" t="s">
        <v>84</v>
      </c>
      <c r="T390" s="3">
        <v>2</v>
      </c>
      <c r="U390" s="4" t="str" cm="1">
        <f t="array" ref="U390">_xlfn.IFS(V390&lt;=4, "Dissatisfied",V390&lt;=7,"Neutral",V390&gt;=8,"Satisfied")</f>
        <v>Satisfied</v>
      </c>
      <c r="V390" s="3">
        <v>8</v>
      </c>
      <c r="W390" s="4" t="s">
        <v>57</v>
      </c>
      <c r="X390" s="4" t="s">
        <v>101</v>
      </c>
      <c r="Y390" s="4" t="s">
        <v>86</v>
      </c>
      <c r="Z390" s="1">
        <v>45436</v>
      </c>
      <c r="AA390" s="4" t="str" cm="1">
        <f t="array" ref="AA390">_xlfn.IFS(OR(AB390="December", AB390="February", AB390="January"), "Winter", OR(AB390="March", AB390="April", AB390="May"), "Spring", OR(AB390="June", AB390="July", AB390="August"), "Summer", TRUE, "Autumn")</f>
        <v>Spring</v>
      </c>
      <c r="AB390" s="7" t="str">
        <f>TEXT(Z390, "mmmm")</f>
        <v>May</v>
      </c>
      <c r="AC390" s="1" t="str">
        <f>TEXT(Z390, "dddd")</f>
        <v>Friday</v>
      </c>
      <c r="AD390" s="4" t="s">
        <v>76</v>
      </c>
      <c r="AE390" s="4" t="s">
        <v>76</v>
      </c>
      <c r="AF390" s="4" t="s">
        <v>87</v>
      </c>
      <c r="AG390" s="4" t="s">
        <v>88</v>
      </c>
      <c r="AH390" s="3">
        <v>9</v>
      </c>
    </row>
    <row r="391" spans="1:34">
      <c r="A391" s="4" t="s">
        <v>884</v>
      </c>
      <c r="B391" s="3">
        <v>24</v>
      </c>
      <c r="C391" s="9" t="str" cm="1">
        <f t="array" ref="C391">_xlfn.IFS(B391&gt;65,"+65",B391&gt;54,"55-65",B391&gt;44,"45-54",B391&gt;35,"36-44",B391&gt;25,"26-35",B391&gt;=18,"18-25")</f>
        <v>18-25</v>
      </c>
      <c r="D391" s="4" t="s">
        <v>78</v>
      </c>
      <c r="E391" s="4" t="s">
        <v>51</v>
      </c>
      <c r="F391" s="4" t="s">
        <v>79</v>
      </c>
      <c r="G391" s="4" t="s">
        <v>53</v>
      </c>
      <c r="H391" s="4" t="s">
        <v>885</v>
      </c>
      <c r="I391" s="4" t="s">
        <v>110</v>
      </c>
      <c r="J391" s="5">
        <v>81.25</v>
      </c>
      <c r="K391" s="3">
        <v>9</v>
      </c>
      <c r="L391" s="4" t="str">
        <f>IF(AND(J391&gt;350,K391&gt;6), "True","False")</f>
        <v>False</v>
      </c>
      <c r="M391" s="4" t="s">
        <v>56</v>
      </c>
      <c r="N391" s="3">
        <v>1</v>
      </c>
      <c r="O391" s="4" t="str" cm="1">
        <f t="array" ref="O391">_xlfn.IFS(P391&lt;=2,"Poor",P391=3,"Average",P391&gt;=4,"Good")</f>
        <v>Poor</v>
      </c>
      <c r="P391" s="3">
        <v>2</v>
      </c>
      <c r="Q391" s="2">
        <v>1</v>
      </c>
      <c r="R391" s="4" t="s">
        <v>59</v>
      </c>
      <c r="S391" s="4" t="s">
        <v>73</v>
      </c>
      <c r="T391" s="3">
        <v>2</v>
      </c>
      <c r="U391" s="4" t="str" cm="1">
        <f t="array" ref="U391">_xlfn.IFS(V391&lt;=4, "Dissatisfied",V391&lt;=7,"Neutral",V391&gt;=8,"Satisfied")</f>
        <v>Satisfied</v>
      </c>
      <c r="V391" s="3">
        <v>8</v>
      </c>
      <c r="W391" s="4" t="s">
        <v>85</v>
      </c>
      <c r="X391" s="4" t="s">
        <v>101</v>
      </c>
      <c r="Y391" s="4" t="s">
        <v>61</v>
      </c>
      <c r="Z391" s="1">
        <v>45436</v>
      </c>
      <c r="AA391" s="4" t="str" cm="1">
        <f t="array" ref="AA391">_xlfn.IFS(OR(AB391="December", AB391="February", AB391="January"), "Winter", OR(AB391="March", AB391="April", AB391="May"), "Spring", OR(AB391="June", AB391="July", AB391="August"), "Summer", TRUE, "Autumn")</f>
        <v>Spring</v>
      </c>
      <c r="AB391" s="7" t="str">
        <f>TEXT(Z391, "mmmm")</f>
        <v>May</v>
      </c>
      <c r="AC391" s="1" t="str">
        <f>TEXT(Z391, "dddd")</f>
        <v>Friday</v>
      </c>
      <c r="AD391" s="4" t="s">
        <v>62</v>
      </c>
      <c r="AE391" s="4" t="s">
        <v>62</v>
      </c>
      <c r="AF391" s="4" t="s">
        <v>87</v>
      </c>
      <c r="AG391" s="4" t="s">
        <v>88</v>
      </c>
      <c r="AH391" s="3">
        <v>10</v>
      </c>
    </row>
    <row r="392" spans="1:34">
      <c r="A392" s="4" t="s">
        <v>886</v>
      </c>
      <c r="B392" s="3">
        <v>37</v>
      </c>
      <c r="C392" s="9" t="str" cm="1">
        <f t="array" ref="C392">_xlfn.IFS(B392&gt;65,"+65",B392&gt;54,"55-65",B392&gt;44,"45-54",B392&gt;35,"36-44",B392&gt;25,"26-35",B392&gt;=18,"18-25")</f>
        <v>36-44</v>
      </c>
      <c r="D392" s="4" t="s">
        <v>50</v>
      </c>
      <c r="E392" s="4" t="s">
        <v>51</v>
      </c>
      <c r="F392" s="4" t="s">
        <v>52</v>
      </c>
      <c r="G392" s="4" t="s">
        <v>53</v>
      </c>
      <c r="H392" s="4" t="s">
        <v>887</v>
      </c>
      <c r="I392" s="4" t="s">
        <v>133</v>
      </c>
      <c r="J392" s="5">
        <v>247.05</v>
      </c>
      <c r="K392" s="3">
        <v>8</v>
      </c>
      <c r="L392" s="4" t="str">
        <f>IF(AND(J392&gt;350,K392&gt;6), "True","False")</f>
        <v>False</v>
      </c>
      <c r="M392" s="4" t="s">
        <v>71</v>
      </c>
      <c r="N392" s="3">
        <v>3</v>
      </c>
      <c r="O392" s="4" t="str" cm="1">
        <f t="array" ref="O392">_xlfn.IFS(P392&lt;=2,"Poor",P392=3,"Average",P392&gt;=4,"Good")</f>
        <v>Poor</v>
      </c>
      <c r="P392" s="3">
        <v>2</v>
      </c>
      <c r="Q392" s="2">
        <v>1</v>
      </c>
      <c r="R392" s="4" t="s">
        <v>59</v>
      </c>
      <c r="S392" s="4" t="s">
        <v>84</v>
      </c>
      <c r="T392" s="3">
        <v>1</v>
      </c>
      <c r="U392" s="4" t="str" cm="1">
        <f t="array" ref="U392">_xlfn.IFS(V392&lt;=4, "Dissatisfied",V392&lt;=7,"Neutral",V392&gt;=8,"Satisfied")</f>
        <v>Satisfied</v>
      </c>
      <c r="V392" s="3">
        <v>8</v>
      </c>
      <c r="W392" s="4" t="s">
        <v>72</v>
      </c>
      <c r="X392" s="4" t="s">
        <v>101</v>
      </c>
      <c r="Y392" s="4" t="s">
        <v>61</v>
      </c>
      <c r="Z392" s="1">
        <v>45437</v>
      </c>
      <c r="AA392" s="4" t="str" cm="1">
        <f t="array" ref="AA392">_xlfn.IFS(OR(AB392="December", AB392="February", AB392="January"), "Winter", OR(AB392="March", AB392="April", AB392="May"), "Spring", OR(AB392="June", AB392="July", AB392="August"), "Summer", TRUE, "Autumn")</f>
        <v>Spring</v>
      </c>
      <c r="AB392" s="7" t="str">
        <f>TEXT(Z392, "mmmm")</f>
        <v>May</v>
      </c>
      <c r="AC392" s="1" t="str">
        <f>TEXT(Z392, "dddd")</f>
        <v>Saturday</v>
      </c>
      <c r="AD392" s="4" t="s">
        <v>76</v>
      </c>
      <c r="AE392" s="4" t="s">
        <v>76</v>
      </c>
      <c r="AF392" s="4" t="s">
        <v>102</v>
      </c>
      <c r="AG392" s="4" t="s">
        <v>64</v>
      </c>
      <c r="AH392" s="3">
        <v>2</v>
      </c>
    </row>
    <row r="393" spans="1:34">
      <c r="A393" s="4" t="s">
        <v>888</v>
      </c>
      <c r="B393" s="3">
        <v>30</v>
      </c>
      <c r="C393" s="9" t="str" cm="1">
        <f t="array" ref="C393">_xlfn.IFS(B393&gt;65,"+65",B393&gt;54,"55-65",B393&gt;44,"45-54",B393&gt;35,"36-44",B393&gt;25,"26-35",B393&gt;=18,"18-25")</f>
        <v>26-35</v>
      </c>
      <c r="D393" s="4" t="s">
        <v>66</v>
      </c>
      <c r="E393" s="4" t="s">
        <v>51</v>
      </c>
      <c r="F393" s="4" t="s">
        <v>79</v>
      </c>
      <c r="G393" s="4" t="s">
        <v>53</v>
      </c>
      <c r="H393" s="4" t="s">
        <v>889</v>
      </c>
      <c r="I393" s="4" t="s">
        <v>275</v>
      </c>
      <c r="J393" s="5">
        <v>448.68</v>
      </c>
      <c r="K393" s="3">
        <v>8</v>
      </c>
      <c r="L393" s="4" t="str">
        <f>IF(AND(J393&gt;350,K393&gt;6), "True","False")</f>
        <v>True</v>
      </c>
      <c r="M393" s="4" t="s">
        <v>71</v>
      </c>
      <c r="N393" s="3">
        <v>4</v>
      </c>
      <c r="O393" s="4" t="str" cm="1">
        <f t="array" ref="O393">_xlfn.IFS(P393&lt;=2,"Poor",P393=3,"Average",P393&gt;=4,"Good")</f>
        <v>Good</v>
      </c>
      <c r="P393" s="3">
        <v>4</v>
      </c>
      <c r="Q393" s="2">
        <v>2</v>
      </c>
      <c r="R393" s="4" t="s">
        <v>72</v>
      </c>
      <c r="S393" s="4" t="s">
        <v>84</v>
      </c>
      <c r="T393" s="3">
        <v>1</v>
      </c>
      <c r="U393" s="4" t="str" cm="1">
        <f t="array" ref="U393">_xlfn.IFS(V393&lt;=4, "Dissatisfied",V393&lt;=7,"Neutral",V393&gt;=8,"Satisfied")</f>
        <v>Dissatisfied</v>
      </c>
      <c r="V393" s="3">
        <v>3</v>
      </c>
      <c r="W393" s="4" t="s">
        <v>85</v>
      </c>
      <c r="X393" s="4" t="s">
        <v>74</v>
      </c>
      <c r="Y393" s="4" t="s">
        <v>75</v>
      </c>
      <c r="Z393" s="1">
        <v>45437</v>
      </c>
      <c r="AA393" s="4" t="str" cm="1">
        <f t="array" ref="AA393">_xlfn.IFS(OR(AB393="December", AB393="February", AB393="January"), "Winter", OR(AB393="March", AB393="April", AB393="May"), "Spring", OR(AB393="June", AB393="July", AB393="August"), "Summer", TRUE, "Autumn")</f>
        <v>Spring</v>
      </c>
      <c r="AB393" s="7" t="str">
        <f>TEXT(Z393, "mmmm")</f>
        <v>May</v>
      </c>
      <c r="AC393" s="1" t="str">
        <f>TEXT(Z393, "dddd")</f>
        <v>Saturday</v>
      </c>
      <c r="AD393" s="4" t="s">
        <v>62</v>
      </c>
      <c r="AE393" s="4" t="s">
        <v>76</v>
      </c>
      <c r="AF393" s="4" t="s">
        <v>102</v>
      </c>
      <c r="AG393" s="4" t="s">
        <v>93</v>
      </c>
      <c r="AH393" s="3">
        <v>8</v>
      </c>
    </row>
    <row r="394" spans="1:34">
      <c r="A394" s="4" t="s">
        <v>890</v>
      </c>
      <c r="B394" s="3">
        <v>26</v>
      </c>
      <c r="C394" s="9" t="str" cm="1">
        <f t="array" ref="C394">_xlfn.IFS(B394&gt;65,"+65",B394&gt;54,"55-65",B394&gt;44,"45-54",B394&gt;35,"36-44",B394&gt;25,"26-35",B394&gt;=18,"18-25")</f>
        <v>26-35</v>
      </c>
      <c r="D394" s="4" t="s">
        <v>66</v>
      </c>
      <c r="E394" s="4" t="s">
        <v>72</v>
      </c>
      <c r="F394" s="4" t="s">
        <v>52</v>
      </c>
      <c r="G394" s="4" t="s">
        <v>68</v>
      </c>
      <c r="H394" s="4" t="s">
        <v>891</v>
      </c>
      <c r="I394" s="4" t="s">
        <v>55</v>
      </c>
      <c r="J394" s="5">
        <v>416.96</v>
      </c>
      <c r="K394" s="3">
        <v>7</v>
      </c>
      <c r="L394" s="4" t="str">
        <f>IF(AND(J394&gt;350,K394&gt;6), "True","False")</f>
        <v>True</v>
      </c>
      <c r="M394" s="4" t="s">
        <v>71</v>
      </c>
      <c r="N394" s="3">
        <v>5</v>
      </c>
      <c r="O394" s="4" t="str" cm="1">
        <f t="array" ref="O394">_xlfn.IFS(P394&lt;=2,"Poor",P394=3,"Average",P394&gt;=4,"Good")</f>
        <v>Poor</v>
      </c>
      <c r="P394" s="3">
        <v>1</v>
      </c>
      <c r="Q394" s="2">
        <v>1</v>
      </c>
      <c r="R394" s="4" t="s">
        <v>72</v>
      </c>
      <c r="S394" s="4" t="s">
        <v>58</v>
      </c>
      <c r="T394" s="3">
        <v>0</v>
      </c>
      <c r="U394" s="4" t="str" cm="1">
        <f t="array" ref="U394">_xlfn.IFS(V394&lt;=4, "Dissatisfied",V394&lt;=7,"Neutral",V394&gt;=8,"Satisfied")</f>
        <v>Dissatisfied</v>
      </c>
      <c r="V394" s="3">
        <v>1</v>
      </c>
      <c r="W394" s="4" t="s">
        <v>72</v>
      </c>
      <c r="X394" s="4" t="s">
        <v>74</v>
      </c>
      <c r="Y394" s="4" t="s">
        <v>111</v>
      </c>
      <c r="Z394" s="1">
        <v>45437</v>
      </c>
      <c r="AA394" s="4" t="str" cm="1">
        <f t="array" ref="AA394">_xlfn.IFS(OR(AB394="December", AB394="February", AB394="January"), "Winter", OR(AB394="March", AB394="April", AB394="May"), "Spring", OR(AB394="June", AB394="July", AB394="August"), "Summer", TRUE, "Autumn")</f>
        <v>Spring</v>
      </c>
      <c r="AB394" s="7" t="str">
        <f>TEXT(Z394, "mmmm")</f>
        <v>May</v>
      </c>
      <c r="AC394" s="1" t="str">
        <f>TEXT(Z394, "dddd")</f>
        <v>Saturday</v>
      </c>
      <c r="AD394" s="4" t="s">
        <v>76</v>
      </c>
      <c r="AE394" s="4" t="s">
        <v>76</v>
      </c>
      <c r="AF394" s="4" t="s">
        <v>87</v>
      </c>
      <c r="AG394" s="4" t="s">
        <v>93</v>
      </c>
      <c r="AH394" s="3">
        <v>7</v>
      </c>
    </row>
    <row r="395" spans="1:34">
      <c r="A395" s="4" t="s">
        <v>892</v>
      </c>
      <c r="B395" s="3">
        <v>22</v>
      </c>
      <c r="C395" s="9" t="str" cm="1">
        <f t="array" ref="C395">_xlfn.IFS(B395&gt;65,"+65",B395&gt;54,"55-65",B395&gt;44,"45-54",B395&gt;35,"36-44",B395&gt;25,"26-35",B395&gt;=18,"18-25")</f>
        <v>18-25</v>
      </c>
      <c r="D395" s="4" t="s">
        <v>78</v>
      </c>
      <c r="E395" s="4" t="s">
        <v>72</v>
      </c>
      <c r="F395" s="4" t="s">
        <v>95</v>
      </c>
      <c r="G395" s="4" t="s">
        <v>68</v>
      </c>
      <c r="H395" s="4" t="s">
        <v>893</v>
      </c>
      <c r="I395" s="4" t="s">
        <v>118</v>
      </c>
      <c r="J395" s="5">
        <v>235.39</v>
      </c>
      <c r="K395" s="3">
        <v>9</v>
      </c>
      <c r="L395" s="4" t="str">
        <f>IF(AND(J395&gt;350,K395&gt;6), "True","False")</f>
        <v>False</v>
      </c>
      <c r="M395" s="4" t="s">
        <v>56</v>
      </c>
      <c r="N395" s="3">
        <v>5</v>
      </c>
      <c r="O395" s="4" t="str" cm="1">
        <f t="array" ref="O395">_xlfn.IFS(P395&lt;=2,"Poor",P395=3,"Average",P395&gt;=4,"Good")</f>
        <v>Good</v>
      </c>
      <c r="P395" s="3">
        <v>4</v>
      </c>
      <c r="Q395" s="2">
        <v>1</v>
      </c>
      <c r="R395" s="4" t="s">
        <v>57</v>
      </c>
      <c r="S395" s="4" t="s">
        <v>58</v>
      </c>
      <c r="T395" s="3">
        <v>0</v>
      </c>
      <c r="U395" s="4" t="str" cm="1">
        <f t="array" ref="U395">_xlfn.IFS(V395&lt;=4, "Dissatisfied",V395&lt;=7,"Neutral",V395&gt;=8,"Satisfied")</f>
        <v>Neutral</v>
      </c>
      <c r="V395" s="3">
        <v>6</v>
      </c>
      <c r="W395" s="4" t="s">
        <v>57</v>
      </c>
      <c r="X395" s="4" t="s">
        <v>60</v>
      </c>
      <c r="Y395" s="4" t="s">
        <v>119</v>
      </c>
      <c r="Z395" s="1">
        <v>45437</v>
      </c>
      <c r="AA395" s="4" t="str" cm="1">
        <f t="array" ref="AA395">_xlfn.IFS(OR(AB395="December", AB395="February", AB395="January"), "Winter", OR(AB395="March", AB395="April", AB395="May"), "Spring", OR(AB395="June", AB395="July", AB395="August"), "Summer", TRUE, "Autumn")</f>
        <v>Spring</v>
      </c>
      <c r="AB395" s="7" t="str">
        <f>TEXT(Z395, "mmmm")</f>
        <v>May</v>
      </c>
      <c r="AC395" s="1" t="str">
        <f>TEXT(Z395, "dddd")</f>
        <v>Saturday</v>
      </c>
      <c r="AD395" s="4" t="s">
        <v>76</v>
      </c>
      <c r="AE395" s="4" t="s">
        <v>62</v>
      </c>
      <c r="AF395" s="4" t="s">
        <v>87</v>
      </c>
      <c r="AG395" s="4" t="s">
        <v>88</v>
      </c>
      <c r="AH395" s="3">
        <v>6</v>
      </c>
    </row>
    <row r="396" spans="1:34">
      <c r="A396" s="4" t="s">
        <v>894</v>
      </c>
      <c r="B396" s="3">
        <v>44</v>
      </c>
      <c r="C396" s="9" t="str" cm="1">
        <f t="array" ref="C396">_xlfn.IFS(B396&gt;65,"+65",B396&gt;54,"55-65",B396&gt;44,"45-54",B396&gt;35,"36-44",B396&gt;25,"26-35",B396&gt;=18,"18-25")</f>
        <v>36-44</v>
      </c>
      <c r="D396" s="4" t="s">
        <v>78</v>
      </c>
      <c r="E396" s="4" t="s">
        <v>51</v>
      </c>
      <c r="F396" s="4" t="s">
        <v>67</v>
      </c>
      <c r="G396" s="4" t="s">
        <v>68</v>
      </c>
      <c r="H396" s="4" t="s">
        <v>895</v>
      </c>
      <c r="I396" s="4" t="s">
        <v>118</v>
      </c>
      <c r="J396" s="5">
        <v>78.64</v>
      </c>
      <c r="K396" s="3">
        <v>5</v>
      </c>
      <c r="L396" s="4" t="str">
        <f>IF(AND(J396&gt;350,K396&gt;6), "True","False")</f>
        <v>False</v>
      </c>
      <c r="M396" s="4" t="s">
        <v>83</v>
      </c>
      <c r="N396" s="3">
        <v>3</v>
      </c>
      <c r="O396" s="4" t="str" cm="1">
        <f t="array" ref="O396">_xlfn.IFS(P396&lt;=2,"Poor",P396=3,"Average",P396&gt;=4,"Good")</f>
        <v>Good</v>
      </c>
      <c r="P396" s="3">
        <v>4</v>
      </c>
      <c r="Q396" s="2">
        <v>2</v>
      </c>
      <c r="R396" s="4" t="s">
        <v>72</v>
      </c>
      <c r="S396" s="4" t="s">
        <v>84</v>
      </c>
      <c r="T396" s="3">
        <v>0</v>
      </c>
      <c r="U396" s="4" t="str" cm="1">
        <f t="array" ref="U396">_xlfn.IFS(V396&lt;=4, "Dissatisfied",V396&lt;=7,"Neutral",V396&gt;=8,"Satisfied")</f>
        <v>Dissatisfied</v>
      </c>
      <c r="V396" s="3">
        <v>3</v>
      </c>
      <c r="W396" s="4" t="s">
        <v>72</v>
      </c>
      <c r="X396" s="4" t="s">
        <v>74</v>
      </c>
      <c r="Y396" s="4" t="s">
        <v>86</v>
      </c>
      <c r="Z396" s="1">
        <v>45438</v>
      </c>
      <c r="AA396" s="4" t="str" cm="1">
        <f t="array" ref="AA396">_xlfn.IFS(OR(AB396="December", AB396="February", AB396="January"), "Winter", OR(AB396="March", AB396="April", AB396="May"), "Spring", OR(AB396="June", AB396="July", AB396="August"), "Summer", TRUE, "Autumn")</f>
        <v>Spring</v>
      </c>
      <c r="AB396" s="7" t="str">
        <f>TEXT(Z396, "mmmm")</f>
        <v>May</v>
      </c>
      <c r="AC396" s="1" t="str">
        <f>TEXT(Z396, "dddd")</f>
        <v>Sunday</v>
      </c>
      <c r="AD396" s="4" t="s">
        <v>62</v>
      </c>
      <c r="AE396" s="4" t="s">
        <v>76</v>
      </c>
      <c r="AF396" s="4" t="s">
        <v>87</v>
      </c>
      <c r="AG396" s="4" t="s">
        <v>64</v>
      </c>
      <c r="AH396" s="3">
        <v>12</v>
      </c>
    </row>
    <row r="397" spans="1:34">
      <c r="A397" s="4" t="s">
        <v>896</v>
      </c>
      <c r="B397" s="3">
        <v>40</v>
      </c>
      <c r="C397" s="9" t="str" cm="1">
        <f t="array" ref="C397">_xlfn.IFS(B397&gt;65,"+65",B397&gt;54,"55-65",B397&gt;44,"45-54",B397&gt;35,"36-44",B397&gt;25,"26-35",B397&gt;=18,"18-25")</f>
        <v>36-44</v>
      </c>
      <c r="D397" s="4" t="s">
        <v>66</v>
      </c>
      <c r="E397" s="4" t="s">
        <v>72</v>
      </c>
      <c r="F397" s="4" t="s">
        <v>79</v>
      </c>
      <c r="G397" s="4" t="s">
        <v>80</v>
      </c>
      <c r="H397" s="4" t="s">
        <v>897</v>
      </c>
      <c r="I397" s="4" t="s">
        <v>223</v>
      </c>
      <c r="J397" s="5">
        <v>494.81</v>
      </c>
      <c r="K397" s="3">
        <v>9</v>
      </c>
      <c r="L397" s="4" t="str">
        <f>IF(AND(J397&gt;350,K397&gt;6), "True","False")</f>
        <v>True</v>
      </c>
      <c r="M397" s="4" t="s">
        <v>83</v>
      </c>
      <c r="N397" s="3">
        <v>2</v>
      </c>
      <c r="O397" s="4" t="str" cm="1">
        <f t="array" ref="O397">_xlfn.IFS(P397&lt;=2,"Poor",P397=3,"Average",P397&gt;=4,"Good")</f>
        <v>Good</v>
      </c>
      <c r="P397" s="3">
        <v>4</v>
      </c>
      <c r="Q397" s="2">
        <v>1</v>
      </c>
      <c r="R397" s="4" t="s">
        <v>85</v>
      </c>
      <c r="S397" s="4" t="s">
        <v>73</v>
      </c>
      <c r="T397" s="3">
        <v>1</v>
      </c>
      <c r="U397" s="4" t="str" cm="1">
        <f t="array" ref="U397">_xlfn.IFS(V397&lt;=4, "Dissatisfied",V397&lt;=7,"Neutral",V397&gt;=8,"Satisfied")</f>
        <v>Neutral</v>
      </c>
      <c r="V397" s="3">
        <v>7</v>
      </c>
      <c r="W397" s="4" t="s">
        <v>85</v>
      </c>
      <c r="X397" s="4" t="s">
        <v>74</v>
      </c>
      <c r="Y397" s="4" t="s">
        <v>86</v>
      </c>
      <c r="Z397" s="1">
        <v>45438</v>
      </c>
      <c r="AA397" s="4" t="str" cm="1">
        <f t="array" ref="AA397">_xlfn.IFS(OR(AB397="December", AB397="February", AB397="January"), "Winter", OR(AB397="March", AB397="April", AB397="May"), "Spring", OR(AB397="June", AB397="July", AB397="August"), "Summer", TRUE, "Autumn")</f>
        <v>Spring</v>
      </c>
      <c r="AB397" s="7" t="str">
        <f>TEXT(Z397, "mmmm")</f>
        <v>May</v>
      </c>
      <c r="AC397" s="1" t="str">
        <f>TEXT(Z397, "dddd")</f>
        <v>Sunday</v>
      </c>
      <c r="AD397" s="4" t="s">
        <v>62</v>
      </c>
      <c r="AE397" s="4" t="s">
        <v>62</v>
      </c>
      <c r="AF397" s="4" t="s">
        <v>63</v>
      </c>
      <c r="AG397" s="4" t="s">
        <v>64</v>
      </c>
      <c r="AH397" s="3">
        <v>6</v>
      </c>
    </row>
    <row r="398" spans="1:34">
      <c r="A398" s="4" t="s">
        <v>898</v>
      </c>
      <c r="B398" s="3">
        <v>37</v>
      </c>
      <c r="C398" s="9" t="str" cm="1">
        <f t="array" ref="C398">_xlfn.IFS(B398&gt;65,"+65",B398&gt;54,"55-65",B398&gt;44,"45-54",B398&gt;35,"36-44",B398&gt;25,"26-35",B398&gt;=18,"18-25")</f>
        <v>36-44</v>
      </c>
      <c r="D398" s="4" t="s">
        <v>66</v>
      </c>
      <c r="E398" s="4" t="s">
        <v>51</v>
      </c>
      <c r="F398" s="4" t="s">
        <v>79</v>
      </c>
      <c r="G398" s="4" t="s">
        <v>53</v>
      </c>
      <c r="H398" s="4" t="s">
        <v>899</v>
      </c>
      <c r="I398" s="4" t="s">
        <v>172</v>
      </c>
      <c r="J398" s="5">
        <v>408.51</v>
      </c>
      <c r="K398" s="3">
        <v>9</v>
      </c>
      <c r="L398" s="4" t="str">
        <f>IF(AND(J398&gt;350,K398&gt;6), "True","False")</f>
        <v>True</v>
      </c>
      <c r="M398" s="4" t="s">
        <v>56</v>
      </c>
      <c r="N398" s="3">
        <v>2</v>
      </c>
      <c r="O398" s="4" t="str" cm="1">
        <f t="array" ref="O398">_xlfn.IFS(P398&lt;=2,"Poor",P398=3,"Average",P398&gt;=4,"Good")</f>
        <v>Poor</v>
      </c>
      <c r="P398" s="3">
        <v>1</v>
      </c>
      <c r="Q398" s="2">
        <v>2</v>
      </c>
      <c r="R398" s="4" t="s">
        <v>72</v>
      </c>
      <c r="S398" s="4" t="s">
        <v>73</v>
      </c>
      <c r="T398" s="3">
        <v>0</v>
      </c>
      <c r="U398" s="4" t="str" cm="1">
        <f t="array" ref="U398">_xlfn.IFS(V398&lt;=4, "Dissatisfied",V398&lt;=7,"Neutral",V398&gt;=8,"Satisfied")</f>
        <v>Neutral</v>
      </c>
      <c r="V398" s="3">
        <v>7</v>
      </c>
      <c r="W398" s="4" t="s">
        <v>85</v>
      </c>
      <c r="X398" s="4" t="s">
        <v>60</v>
      </c>
      <c r="Y398" s="4" t="s">
        <v>119</v>
      </c>
      <c r="Z398" s="1">
        <v>45438</v>
      </c>
      <c r="AA398" s="4" t="str" cm="1">
        <f t="array" ref="AA398">_xlfn.IFS(OR(AB398="December", AB398="February", AB398="January"), "Winter", OR(AB398="March", AB398="April", AB398="May"), "Spring", OR(AB398="June", AB398="July", AB398="August"), "Summer", TRUE, "Autumn")</f>
        <v>Spring</v>
      </c>
      <c r="AB398" s="7" t="str">
        <f>TEXT(Z398, "mmmm")</f>
        <v>May</v>
      </c>
      <c r="AC398" s="1" t="str">
        <f>TEXT(Z398, "dddd")</f>
        <v>Sunday</v>
      </c>
      <c r="AD398" s="4" t="s">
        <v>62</v>
      </c>
      <c r="AE398" s="4" t="s">
        <v>76</v>
      </c>
      <c r="AF398" s="4" t="s">
        <v>102</v>
      </c>
      <c r="AG398" s="4" t="s">
        <v>93</v>
      </c>
      <c r="AH398" s="3">
        <v>1</v>
      </c>
    </row>
    <row r="399" spans="1:34">
      <c r="A399" s="4" t="s">
        <v>900</v>
      </c>
      <c r="B399" s="3">
        <v>26</v>
      </c>
      <c r="C399" s="9" t="str" cm="1">
        <f t="array" ref="C399">_xlfn.IFS(B399&gt;65,"+65",B399&gt;54,"55-65",B399&gt;44,"45-54",B399&gt;35,"36-44",B399&gt;25,"26-35",B399&gt;=18,"18-25")</f>
        <v>26-35</v>
      </c>
      <c r="D399" s="4" t="s">
        <v>66</v>
      </c>
      <c r="E399" s="4" t="s">
        <v>51</v>
      </c>
      <c r="F399" s="4" t="s">
        <v>79</v>
      </c>
      <c r="G399" s="4" t="s">
        <v>53</v>
      </c>
      <c r="H399" s="4" t="s">
        <v>901</v>
      </c>
      <c r="I399" s="4" t="s">
        <v>91</v>
      </c>
      <c r="J399" s="5">
        <v>88.4</v>
      </c>
      <c r="K399" s="3">
        <v>5</v>
      </c>
      <c r="L399" s="4" t="str">
        <f>IF(AND(J399&gt;350,K399&gt;6), "True","False")</f>
        <v>False</v>
      </c>
      <c r="M399" s="4" t="s">
        <v>71</v>
      </c>
      <c r="N399" s="3">
        <v>5</v>
      </c>
      <c r="O399" s="4" t="str" cm="1">
        <f t="array" ref="O399">_xlfn.IFS(P399&lt;=2,"Poor",P399=3,"Average",P399&gt;=4,"Good")</f>
        <v>Poor</v>
      </c>
      <c r="P399" s="3">
        <v>2</v>
      </c>
      <c r="Q399" s="2">
        <v>0</v>
      </c>
      <c r="R399" s="4" t="s">
        <v>85</v>
      </c>
      <c r="S399" s="4" t="s">
        <v>58</v>
      </c>
      <c r="T399" s="3">
        <v>0</v>
      </c>
      <c r="U399" s="4" t="str" cm="1">
        <f t="array" ref="U399">_xlfn.IFS(V399&lt;=4, "Dissatisfied",V399&lt;=7,"Neutral",V399&gt;=8,"Satisfied")</f>
        <v>Dissatisfied</v>
      </c>
      <c r="V399" s="3">
        <v>4</v>
      </c>
      <c r="W399" s="4" t="s">
        <v>85</v>
      </c>
      <c r="X399" s="4" t="s">
        <v>101</v>
      </c>
      <c r="Y399" s="4" t="s">
        <v>61</v>
      </c>
      <c r="Z399" s="1">
        <v>45438</v>
      </c>
      <c r="AA399" s="4" t="str" cm="1">
        <f t="array" ref="AA399">_xlfn.IFS(OR(AB399="December", AB399="February", AB399="January"), "Winter", OR(AB399="March", AB399="April", AB399="May"), "Spring", OR(AB399="June", AB399="July", AB399="August"), "Summer", TRUE, "Autumn")</f>
        <v>Spring</v>
      </c>
      <c r="AB399" s="7" t="str">
        <f>TEXT(Z399, "mmmm")</f>
        <v>May</v>
      </c>
      <c r="AC399" s="1" t="str">
        <f>TEXT(Z399, "dddd")</f>
        <v>Sunday</v>
      </c>
      <c r="AD399" s="4" t="s">
        <v>62</v>
      </c>
      <c r="AE399" s="4" t="s">
        <v>76</v>
      </c>
      <c r="AF399" s="4" t="s">
        <v>63</v>
      </c>
      <c r="AG399" s="4" t="s">
        <v>88</v>
      </c>
      <c r="AH399" s="3">
        <v>4</v>
      </c>
    </row>
    <row r="400" spans="1:34">
      <c r="A400" s="4" t="s">
        <v>902</v>
      </c>
      <c r="B400" s="3">
        <v>21</v>
      </c>
      <c r="C400" s="9" t="str" cm="1">
        <f t="array" ref="C400">_xlfn.IFS(B400&gt;65,"+65",B400&gt;54,"55-65",B400&gt;44,"45-54",B400&gt;35,"36-44",B400&gt;25,"26-35",B400&gt;=18,"18-25")</f>
        <v>18-25</v>
      </c>
      <c r="D400" s="4" t="s">
        <v>66</v>
      </c>
      <c r="E400" s="4" t="s">
        <v>72</v>
      </c>
      <c r="F400" s="4" t="s">
        <v>79</v>
      </c>
      <c r="G400" s="4" t="s">
        <v>68</v>
      </c>
      <c r="H400" s="4" t="s">
        <v>903</v>
      </c>
      <c r="I400" s="4" t="s">
        <v>70</v>
      </c>
      <c r="J400" s="5">
        <v>188.17</v>
      </c>
      <c r="K400" s="3">
        <v>9</v>
      </c>
      <c r="L400" s="4" t="str">
        <f>IF(AND(J400&gt;350,K400&gt;6), "True","False")</f>
        <v>False</v>
      </c>
      <c r="M400" s="4" t="s">
        <v>56</v>
      </c>
      <c r="N400" s="3">
        <v>5</v>
      </c>
      <c r="O400" s="4" t="str" cm="1">
        <f t="array" ref="O400">_xlfn.IFS(P400&lt;=2,"Poor",P400=3,"Average",P400&gt;=4,"Good")</f>
        <v>Good</v>
      </c>
      <c r="P400" s="3">
        <v>5</v>
      </c>
      <c r="Q400" s="2">
        <v>0</v>
      </c>
      <c r="R400" s="4" t="s">
        <v>85</v>
      </c>
      <c r="S400" s="4" t="s">
        <v>58</v>
      </c>
      <c r="T400" s="3">
        <v>1</v>
      </c>
      <c r="U400" s="4" t="str" cm="1">
        <f t="array" ref="U400">_xlfn.IFS(V400&lt;=4, "Dissatisfied",V400&lt;=7,"Neutral",V400&gt;=8,"Satisfied")</f>
        <v>Neutral</v>
      </c>
      <c r="V400" s="3">
        <v>5</v>
      </c>
      <c r="W400" s="4" t="s">
        <v>59</v>
      </c>
      <c r="X400" s="4" t="s">
        <v>101</v>
      </c>
      <c r="Y400" s="4" t="s">
        <v>75</v>
      </c>
      <c r="Z400" s="1">
        <v>45438</v>
      </c>
      <c r="AA400" s="4" t="str" cm="1">
        <f t="array" ref="AA400">_xlfn.IFS(OR(AB400="December", AB400="February", AB400="January"), "Winter", OR(AB400="March", AB400="April", AB400="May"), "Spring", OR(AB400="June", AB400="July", AB400="August"), "Summer", TRUE, "Autumn")</f>
        <v>Spring</v>
      </c>
      <c r="AB400" s="7" t="str">
        <f>TEXT(Z400, "mmmm")</f>
        <v>May</v>
      </c>
      <c r="AC400" s="1" t="str">
        <f>TEXT(Z400, "dddd")</f>
        <v>Sunday</v>
      </c>
      <c r="AD400" s="4" t="s">
        <v>62</v>
      </c>
      <c r="AE400" s="4" t="s">
        <v>76</v>
      </c>
      <c r="AF400" s="4" t="s">
        <v>63</v>
      </c>
      <c r="AG400" s="4" t="s">
        <v>64</v>
      </c>
      <c r="AH400" s="3">
        <v>9</v>
      </c>
    </row>
    <row r="401" spans="1:34">
      <c r="A401" s="4" t="s">
        <v>904</v>
      </c>
      <c r="B401" s="3">
        <v>37</v>
      </c>
      <c r="C401" s="9" t="str" cm="1">
        <f t="array" ref="C401">_xlfn.IFS(B401&gt;65,"+65",B401&gt;54,"55-65",B401&gt;44,"45-54",B401&gt;35,"36-44",B401&gt;25,"26-35",B401&gt;=18,"18-25")</f>
        <v>36-44</v>
      </c>
      <c r="D401" s="4" t="s">
        <v>78</v>
      </c>
      <c r="E401" s="4" t="s">
        <v>51</v>
      </c>
      <c r="F401" s="4" t="s">
        <v>79</v>
      </c>
      <c r="G401" s="4" t="s">
        <v>80</v>
      </c>
      <c r="H401" s="4" t="s">
        <v>905</v>
      </c>
      <c r="I401" s="4" t="s">
        <v>172</v>
      </c>
      <c r="J401" s="5">
        <v>173.43</v>
      </c>
      <c r="K401" s="3">
        <v>4</v>
      </c>
      <c r="L401" s="4" t="str">
        <f>IF(AND(J401&gt;350,K401&gt;6), "True","False")</f>
        <v>False</v>
      </c>
      <c r="M401" s="4" t="s">
        <v>71</v>
      </c>
      <c r="N401" s="3">
        <v>3</v>
      </c>
      <c r="O401" s="4" t="str" cm="1">
        <f t="array" ref="O401">_xlfn.IFS(P401&lt;=2,"Poor",P401=3,"Average",P401&gt;=4,"Good")</f>
        <v>Average</v>
      </c>
      <c r="P401" s="3">
        <v>3</v>
      </c>
      <c r="Q401" s="2">
        <v>0</v>
      </c>
      <c r="R401" s="4" t="s">
        <v>85</v>
      </c>
      <c r="S401" s="4" t="s">
        <v>58</v>
      </c>
      <c r="T401" s="3">
        <v>2</v>
      </c>
      <c r="U401" s="4" t="str" cm="1">
        <f t="array" ref="U401">_xlfn.IFS(V401&lt;=4, "Dissatisfied",V401&lt;=7,"Neutral",V401&gt;=8,"Satisfied")</f>
        <v>Dissatisfied</v>
      </c>
      <c r="V401" s="3">
        <v>1</v>
      </c>
      <c r="W401" s="4" t="s">
        <v>59</v>
      </c>
      <c r="X401" s="4" t="s">
        <v>101</v>
      </c>
      <c r="Y401" s="4" t="s">
        <v>86</v>
      </c>
      <c r="Z401" s="1">
        <v>45439</v>
      </c>
      <c r="AA401" s="4" t="str" cm="1">
        <f t="array" ref="AA401">_xlfn.IFS(OR(AB401="December", AB401="February", AB401="January"), "Winter", OR(AB401="March", AB401="April", AB401="May"), "Spring", OR(AB401="June", AB401="July", AB401="August"), "Summer", TRUE, "Autumn")</f>
        <v>Spring</v>
      </c>
      <c r="AB401" s="7" t="str">
        <f>TEXT(Z401, "mmmm")</f>
        <v>May</v>
      </c>
      <c r="AC401" s="1" t="str">
        <f>TEXT(Z401, "dddd")</f>
        <v>Monday</v>
      </c>
      <c r="AD401" s="4" t="s">
        <v>62</v>
      </c>
      <c r="AE401" s="4" t="s">
        <v>62</v>
      </c>
      <c r="AF401" s="4" t="s">
        <v>63</v>
      </c>
      <c r="AG401" s="4" t="s">
        <v>88</v>
      </c>
      <c r="AH401" s="3">
        <v>14</v>
      </c>
    </row>
    <row r="402" spans="1:34">
      <c r="A402" s="4" t="s">
        <v>906</v>
      </c>
      <c r="B402" s="3">
        <v>32</v>
      </c>
      <c r="C402" s="9" t="str" cm="1">
        <f t="array" ref="C402">_xlfn.IFS(B402&gt;65,"+65",B402&gt;54,"55-65",B402&gt;44,"45-54",B402&gt;35,"36-44",B402&gt;25,"26-35",B402&gt;=18,"18-25")</f>
        <v>26-35</v>
      </c>
      <c r="D402" s="4" t="s">
        <v>66</v>
      </c>
      <c r="E402" s="4" t="s">
        <v>72</v>
      </c>
      <c r="F402" s="4" t="s">
        <v>95</v>
      </c>
      <c r="G402" s="4" t="s">
        <v>80</v>
      </c>
      <c r="H402" s="4" t="s">
        <v>907</v>
      </c>
      <c r="I402" s="4" t="s">
        <v>97</v>
      </c>
      <c r="J402" s="5">
        <v>363.98</v>
      </c>
      <c r="K402" s="3">
        <v>4</v>
      </c>
      <c r="L402" s="4" t="str">
        <f>IF(AND(J402&gt;350,K402&gt;6), "True","False")</f>
        <v>False</v>
      </c>
      <c r="M402" s="4" t="s">
        <v>56</v>
      </c>
      <c r="N402" s="3">
        <v>4</v>
      </c>
      <c r="O402" s="4" t="str" cm="1">
        <f t="array" ref="O402">_xlfn.IFS(P402&lt;=2,"Poor",P402=3,"Average",P402&gt;=4,"Good")</f>
        <v>Good</v>
      </c>
      <c r="P402" s="3">
        <v>4</v>
      </c>
      <c r="Q402" s="2">
        <v>1</v>
      </c>
      <c r="R402" s="4" t="s">
        <v>57</v>
      </c>
      <c r="S402" s="4" t="s">
        <v>84</v>
      </c>
      <c r="T402" s="3">
        <v>2</v>
      </c>
      <c r="U402" s="4" t="str" cm="1">
        <f t="array" ref="U402">_xlfn.IFS(V402&lt;=4, "Dissatisfied",V402&lt;=7,"Neutral",V402&gt;=8,"Satisfied")</f>
        <v>Neutral</v>
      </c>
      <c r="V402" s="3">
        <v>7</v>
      </c>
      <c r="W402" s="4" t="s">
        <v>57</v>
      </c>
      <c r="X402" s="4" t="s">
        <v>74</v>
      </c>
      <c r="Y402" s="4" t="s">
        <v>86</v>
      </c>
      <c r="Z402" s="1">
        <v>45439</v>
      </c>
      <c r="AA402" s="4" t="str" cm="1">
        <f t="array" ref="AA402">_xlfn.IFS(OR(AB402="December", AB402="February", AB402="January"), "Winter", OR(AB402="March", AB402="April", AB402="May"), "Spring", OR(AB402="June", AB402="July", AB402="August"), "Summer", TRUE, "Autumn")</f>
        <v>Spring</v>
      </c>
      <c r="AB402" s="7" t="str">
        <f>TEXT(Z402, "mmmm")</f>
        <v>May</v>
      </c>
      <c r="AC402" s="1" t="str">
        <f>TEXT(Z402, "dddd")</f>
        <v>Monday</v>
      </c>
      <c r="AD402" s="4" t="s">
        <v>62</v>
      </c>
      <c r="AE402" s="4" t="s">
        <v>62</v>
      </c>
      <c r="AF402" s="4" t="s">
        <v>87</v>
      </c>
      <c r="AG402" s="4" t="s">
        <v>93</v>
      </c>
      <c r="AH402" s="3">
        <v>1</v>
      </c>
    </row>
    <row r="403" spans="1:34">
      <c r="A403" s="4" t="s">
        <v>908</v>
      </c>
      <c r="B403" s="3">
        <v>21</v>
      </c>
      <c r="C403" s="9" t="str" cm="1">
        <f t="array" ref="C403">_xlfn.IFS(B403&gt;65,"+65",B403&gt;54,"55-65",B403&gt;44,"45-54",B403&gt;35,"36-44",B403&gt;25,"26-35",B403&gt;=18,"18-25")</f>
        <v>18-25</v>
      </c>
      <c r="D403" s="4" t="s">
        <v>78</v>
      </c>
      <c r="E403" s="4" t="s">
        <v>72</v>
      </c>
      <c r="F403" s="4" t="s">
        <v>79</v>
      </c>
      <c r="G403" s="4" t="s">
        <v>53</v>
      </c>
      <c r="H403" s="4" t="s">
        <v>909</v>
      </c>
      <c r="I403" s="4" t="s">
        <v>156</v>
      </c>
      <c r="J403" s="5">
        <v>129.63999999999999</v>
      </c>
      <c r="K403" s="3">
        <v>4</v>
      </c>
      <c r="L403" s="4" t="str">
        <f>IF(AND(J403&gt;350,K403&gt;6), "True","False")</f>
        <v>False</v>
      </c>
      <c r="M403" s="4" t="s">
        <v>71</v>
      </c>
      <c r="N403" s="3">
        <v>3</v>
      </c>
      <c r="O403" s="4" t="str" cm="1">
        <f t="array" ref="O403">_xlfn.IFS(P403&lt;=2,"Poor",P403=3,"Average",P403&gt;=4,"Good")</f>
        <v>Poor</v>
      </c>
      <c r="P403" s="3">
        <v>1</v>
      </c>
      <c r="Q403" s="2">
        <v>2</v>
      </c>
      <c r="R403" s="4" t="s">
        <v>57</v>
      </c>
      <c r="S403" s="4" t="s">
        <v>58</v>
      </c>
      <c r="T403" s="3">
        <v>1</v>
      </c>
      <c r="U403" s="4" t="str" cm="1">
        <f t="array" ref="U403">_xlfn.IFS(V403&lt;=4, "Dissatisfied",V403&lt;=7,"Neutral",V403&gt;=8,"Satisfied")</f>
        <v>Dissatisfied</v>
      </c>
      <c r="V403" s="3">
        <v>3</v>
      </c>
      <c r="W403" s="4" t="s">
        <v>59</v>
      </c>
      <c r="X403" s="4" t="s">
        <v>101</v>
      </c>
      <c r="Y403" s="4" t="s">
        <v>75</v>
      </c>
      <c r="Z403" s="1">
        <v>45439</v>
      </c>
      <c r="AA403" s="4" t="str" cm="1">
        <f t="array" ref="AA403">_xlfn.IFS(OR(AB403="December", AB403="February", AB403="January"), "Winter", OR(AB403="March", AB403="April", AB403="May"), "Spring", OR(AB403="June", AB403="July", AB403="August"), "Summer", TRUE, "Autumn")</f>
        <v>Spring</v>
      </c>
      <c r="AB403" s="7" t="str">
        <f>TEXT(Z403, "mmmm")</f>
        <v>May</v>
      </c>
      <c r="AC403" s="1" t="str">
        <f>TEXT(Z403, "dddd")</f>
        <v>Monday</v>
      </c>
      <c r="AD403" s="4" t="s">
        <v>76</v>
      </c>
      <c r="AE403" s="4" t="s">
        <v>62</v>
      </c>
      <c r="AF403" s="4" t="s">
        <v>63</v>
      </c>
      <c r="AG403" s="4" t="s">
        <v>93</v>
      </c>
      <c r="AH403" s="3">
        <v>3</v>
      </c>
    </row>
    <row r="404" spans="1:34">
      <c r="A404" s="4" t="s">
        <v>910</v>
      </c>
      <c r="B404" s="3">
        <v>50</v>
      </c>
      <c r="C404" s="9" t="str" cm="1">
        <f t="array" ref="C404">_xlfn.IFS(B404&gt;65,"+65",B404&gt;54,"55-65",B404&gt;44,"45-54",B404&gt;35,"36-44",B404&gt;25,"26-35",B404&gt;=18,"18-25")</f>
        <v>45-54</v>
      </c>
      <c r="D404" s="4" t="s">
        <v>66</v>
      </c>
      <c r="E404" s="4" t="s">
        <v>51</v>
      </c>
      <c r="F404" s="4" t="s">
        <v>52</v>
      </c>
      <c r="G404" s="4" t="s">
        <v>53</v>
      </c>
      <c r="H404" s="4" t="s">
        <v>911</v>
      </c>
      <c r="I404" s="4" t="s">
        <v>146</v>
      </c>
      <c r="J404" s="5">
        <v>50.79</v>
      </c>
      <c r="K404" s="3">
        <v>12</v>
      </c>
      <c r="L404" s="4" t="str">
        <f>IF(AND(J404&gt;350,K404&gt;6), "True","False")</f>
        <v>False</v>
      </c>
      <c r="M404" s="4" t="s">
        <v>83</v>
      </c>
      <c r="N404" s="3">
        <v>5</v>
      </c>
      <c r="O404" s="4" t="str" cm="1">
        <f t="array" ref="O404">_xlfn.IFS(P404&lt;=2,"Poor",P404=3,"Average",P404&gt;=4,"Good")</f>
        <v>Poor</v>
      </c>
      <c r="P404" s="3">
        <v>1</v>
      </c>
      <c r="Q404" s="2">
        <v>0</v>
      </c>
      <c r="R404" s="4" t="s">
        <v>85</v>
      </c>
      <c r="S404" s="4" t="s">
        <v>84</v>
      </c>
      <c r="T404" s="3">
        <v>0</v>
      </c>
      <c r="U404" s="4" t="str" cm="1">
        <f t="array" ref="U404">_xlfn.IFS(V404&lt;=4, "Dissatisfied",V404&lt;=7,"Neutral",V404&gt;=8,"Satisfied")</f>
        <v>Dissatisfied</v>
      </c>
      <c r="V404" s="3">
        <v>2</v>
      </c>
      <c r="W404" s="4" t="s">
        <v>85</v>
      </c>
      <c r="X404" s="4" t="s">
        <v>101</v>
      </c>
      <c r="Y404" s="4" t="s">
        <v>111</v>
      </c>
      <c r="Z404" s="1">
        <v>45440</v>
      </c>
      <c r="AA404" s="4" t="str" cm="1">
        <f t="array" ref="AA404">_xlfn.IFS(OR(AB404="December", AB404="February", AB404="January"), "Winter", OR(AB404="March", AB404="April", AB404="May"), "Spring", OR(AB404="June", AB404="July", AB404="August"), "Summer", TRUE, "Autumn")</f>
        <v>Spring</v>
      </c>
      <c r="AB404" s="7" t="str">
        <f>TEXT(Z404, "mmmm")</f>
        <v>May</v>
      </c>
      <c r="AC404" s="1" t="str">
        <f>TEXT(Z404, "dddd")</f>
        <v>Tuesday</v>
      </c>
      <c r="AD404" s="4" t="s">
        <v>62</v>
      </c>
      <c r="AE404" s="4" t="s">
        <v>76</v>
      </c>
      <c r="AF404" s="4" t="s">
        <v>87</v>
      </c>
      <c r="AG404" s="4" t="s">
        <v>64</v>
      </c>
      <c r="AH404" s="3">
        <v>3</v>
      </c>
    </row>
    <row r="405" spans="1:34">
      <c r="A405" s="4" t="s">
        <v>912</v>
      </c>
      <c r="B405" s="3">
        <v>44</v>
      </c>
      <c r="C405" s="9" t="str" cm="1">
        <f t="array" ref="C405">_xlfn.IFS(B405&gt;65,"+65",B405&gt;54,"55-65",B405&gt;44,"45-54",B405&gt;35,"36-44",B405&gt;25,"26-35",B405&gt;=18,"18-25")</f>
        <v>36-44</v>
      </c>
      <c r="D405" s="4" t="s">
        <v>232</v>
      </c>
      <c r="E405" s="4" t="s">
        <v>51</v>
      </c>
      <c r="F405" s="4" t="s">
        <v>67</v>
      </c>
      <c r="G405" s="4" t="s">
        <v>53</v>
      </c>
      <c r="H405" s="4" t="s">
        <v>913</v>
      </c>
      <c r="I405" s="4" t="s">
        <v>122</v>
      </c>
      <c r="J405" s="5">
        <v>491.49</v>
      </c>
      <c r="K405" s="3">
        <v>10</v>
      </c>
      <c r="L405" s="4" t="str">
        <f>IF(AND(J405&gt;350,K405&gt;6), "True","False")</f>
        <v>True</v>
      </c>
      <c r="M405" s="4" t="s">
        <v>83</v>
      </c>
      <c r="N405" s="3">
        <v>1</v>
      </c>
      <c r="O405" s="4" t="str" cm="1">
        <f t="array" ref="O405">_xlfn.IFS(P405&lt;=2,"Poor",P405=3,"Average",P405&gt;=4,"Good")</f>
        <v>Poor</v>
      </c>
      <c r="P405" s="3">
        <v>1</v>
      </c>
      <c r="Q405" s="2">
        <v>0</v>
      </c>
      <c r="R405" s="4" t="s">
        <v>59</v>
      </c>
      <c r="S405" s="4" t="s">
        <v>84</v>
      </c>
      <c r="T405" s="3">
        <v>2</v>
      </c>
      <c r="U405" s="4" t="str" cm="1">
        <f t="array" ref="U405">_xlfn.IFS(V405&lt;=4, "Dissatisfied",V405&lt;=7,"Neutral",V405&gt;=8,"Satisfied")</f>
        <v>Neutral</v>
      </c>
      <c r="V405" s="3">
        <v>7</v>
      </c>
      <c r="W405" s="4" t="s">
        <v>57</v>
      </c>
      <c r="X405" s="4" t="s">
        <v>101</v>
      </c>
      <c r="Y405" s="4" t="s">
        <v>86</v>
      </c>
      <c r="Z405" s="1">
        <v>45440</v>
      </c>
      <c r="AA405" s="4" t="str" cm="1">
        <f t="array" ref="AA405">_xlfn.IFS(OR(AB405="December", AB405="February", AB405="January"), "Winter", OR(AB405="March", AB405="April", AB405="May"), "Spring", OR(AB405="June", AB405="July", AB405="August"), "Summer", TRUE, "Autumn")</f>
        <v>Spring</v>
      </c>
      <c r="AB405" s="7" t="str">
        <f>TEXT(Z405, "mmmm")</f>
        <v>May</v>
      </c>
      <c r="AC405" s="1" t="str">
        <f>TEXT(Z405, "dddd")</f>
        <v>Tuesday</v>
      </c>
      <c r="AD405" s="4" t="s">
        <v>76</v>
      </c>
      <c r="AE405" s="4" t="s">
        <v>76</v>
      </c>
      <c r="AF405" s="4" t="s">
        <v>87</v>
      </c>
      <c r="AG405" s="4" t="s">
        <v>64</v>
      </c>
      <c r="AH405" s="3">
        <v>1</v>
      </c>
    </row>
    <row r="406" spans="1:34">
      <c r="A406" s="4" t="s">
        <v>914</v>
      </c>
      <c r="B406" s="3">
        <v>36</v>
      </c>
      <c r="C406" s="9" t="str" cm="1">
        <f t="array" ref="C406">_xlfn.IFS(B406&gt;65,"+65",B406&gt;54,"55-65",B406&gt;44,"45-54",B406&gt;35,"36-44",B406&gt;25,"26-35",B406&gt;=18,"18-25")</f>
        <v>36-44</v>
      </c>
      <c r="D406" s="4" t="s">
        <v>78</v>
      </c>
      <c r="E406" s="4" t="s">
        <v>51</v>
      </c>
      <c r="F406" s="4" t="s">
        <v>67</v>
      </c>
      <c r="G406" s="4" t="s">
        <v>53</v>
      </c>
      <c r="H406" s="4" t="s">
        <v>915</v>
      </c>
      <c r="I406" s="4" t="s">
        <v>70</v>
      </c>
      <c r="J406" s="5">
        <v>379.2</v>
      </c>
      <c r="K406" s="3">
        <v>7</v>
      </c>
      <c r="L406" s="4" t="str">
        <f>IF(AND(J406&gt;350,K406&gt;6), "True","False")</f>
        <v>True</v>
      </c>
      <c r="M406" s="4" t="s">
        <v>56</v>
      </c>
      <c r="N406" s="3">
        <v>5</v>
      </c>
      <c r="O406" s="4" t="str" cm="1">
        <f t="array" ref="O406">_xlfn.IFS(P406&lt;=2,"Poor",P406=3,"Average",P406&gt;=4,"Good")</f>
        <v>Poor</v>
      </c>
      <c r="P406" s="3">
        <v>1</v>
      </c>
      <c r="Q406" s="2">
        <v>0</v>
      </c>
      <c r="R406" s="4" t="s">
        <v>85</v>
      </c>
      <c r="S406" s="4" t="s">
        <v>73</v>
      </c>
      <c r="T406" s="3">
        <v>2</v>
      </c>
      <c r="U406" s="4" t="str" cm="1">
        <f t="array" ref="U406">_xlfn.IFS(V406&lt;=4, "Dissatisfied",V406&lt;=7,"Neutral",V406&gt;=8,"Satisfied")</f>
        <v>Dissatisfied</v>
      </c>
      <c r="V406" s="3">
        <v>2</v>
      </c>
      <c r="W406" s="4" t="s">
        <v>72</v>
      </c>
      <c r="X406" s="4" t="s">
        <v>60</v>
      </c>
      <c r="Y406" s="4" t="s">
        <v>75</v>
      </c>
      <c r="Z406" s="1">
        <v>45440</v>
      </c>
      <c r="AA406" s="4" t="str" cm="1">
        <f t="array" ref="AA406">_xlfn.IFS(OR(AB406="December", AB406="February", AB406="January"), "Winter", OR(AB406="March", AB406="April", AB406="May"), "Spring", OR(AB406="June", AB406="July", AB406="August"), "Summer", TRUE, "Autumn")</f>
        <v>Spring</v>
      </c>
      <c r="AB406" s="7" t="str">
        <f>TEXT(Z406, "mmmm")</f>
        <v>May</v>
      </c>
      <c r="AC406" s="1" t="str">
        <f>TEXT(Z406, "dddd")</f>
        <v>Tuesday</v>
      </c>
      <c r="AD406" s="4" t="s">
        <v>62</v>
      </c>
      <c r="AE406" s="4" t="s">
        <v>62</v>
      </c>
      <c r="AF406" s="4" t="s">
        <v>63</v>
      </c>
      <c r="AG406" s="4" t="s">
        <v>88</v>
      </c>
      <c r="AH406" s="3">
        <v>7</v>
      </c>
    </row>
    <row r="407" spans="1:34">
      <c r="A407" s="4" t="s">
        <v>916</v>
      </c>
      <c r="B407" s="3">
        <v>30</v>
      </c>
      <c r="C407" s="9" t="str" cm="1">
        <f t="array" ref="C407">_xlfn.IFS(B407&gt;65,"+65",B407&gt;54,"55-65",B407&gt;44,"45-54",B407&gt;35,"36-44",B407&gt;25,"26-35",B407&gt;=18,"18-25")</f>
        <v>26-35</v>
      </c>
      <c r="D407" s="4" t="s">
        <v>78</v>
      </c>
      <c r="E407" s="4" t="s">
        <v>72</v>
      </c>
      <c r="F407" s="4" t="s">
        <v>52</v>
      </c>
      <c r="G407" s="4" t="s">
        <v>80</v>
      </c>
      <c r="H407" s="4" t="s">
        <v>917</v>
      </c>
      <c r="I407" s="4" t="s">
        <v>100</v>
      </c>
      <c r="J407" s="5">
        <v>182.94</v>
      </c>
      <c r="K407" s="3">
        <v>7</v>
      </c>
      <c r="L407" s="4" t="str">
        <f>IF(AND(J407&gt;350,K407&gt;6), "True","False")</f>
        <v>False</v>
      </c>
      <c r="M407" s="4" t="s">
        <v>83</v>
      </c>
      <c r="N407" s="3">
        <v>1</v>
      </c>
      <c r="O407" s="4" t="str" cm="1">
        <f t="array" ref="O407">_xlfn.IFS(P407&lt;=2,"Poor",P407=3,"Average",P407&gt;=4,"Good")</f>
        <v>Good</v>
      </c>
      <c r="P407" s="3">
        <v>5</v>
      </c>
      <c r="Q407" s="2">
        <v>2</v>
      </c>
      <c r="R407" s="4" t="s">
        <v>57</v>
      </c>
      <c r="S407" s="4" t="s">
        <v>58</v>
      </c>
      <c r="T407" s="3">
        <v>2</v>
      </c>
      <c r="U407" s="4" t="str" cm="1">
        <f t="array" ref="U407">_xlfn.IFS(V407&lt;=4, "Dissatisfied",V407&lt;=7,"Neutral",V407&gt;=8,"Satisfied")</f>
        <v>Neutral</v>
      </c>
      <c r="V407" s="3">
        <v>7</v>
      </c>
      <c r="W407" s="4" t="s">
        <v>59</v>
      </c>
      <c r="X407" s="4" t="s">
        <v>101</v>
      </c>
      <c r="Y407" s="4" t="s">
        <v>111</v>
      </c>
      <c r="Z407" s="1">
        <v>45440</v>
      </c>
      <c r="AA407" s="4" t="str" cm="1">
        <f t="array" ref="AA407">_xlfn.IFS(OR(AB407="December", AB407="February", AB407="January"), "Winter", OR(AB407="March", AB407="April", AB407="May"), "Spring", OR(AB407="June", AB407="July", AB407="August"), "Summer", TRUE, "Autumn")</f>
        <v>Spring</v>
      </c>
      <c r="AB407" s="7" t="str">
        <f>TEXT(Z407, "mmmm")</f>
        <v>May</v>
      </c>
      <c r="AC407" s="1" t="str">
        <f>TEXT(Z407, "dddd")</f>
        <v>Tuesday</v>
      </c>
      <c r="AD407" s="4" t="s">
        <v>62</v>
      </c>
      <c r="AE407" s="4" t="s">
        <v>62</v>
      </c>
      <c r="AF407" s="4" t="s">
        <v>63</v>
      </c>
      <c r="AG407" s="4" t="s">
        <v>93</v>
      </c>
      <c r="AH407" s="3">
        <v>12</v>
      </c>
    </row>
    <row r="408" spans="1:34">
      <c r="A408" s="4" t="s">
        <v>918</v>
      </c>
      <c r="B408" s="3">
        <v>29</v>
      </c>
      <c r="C408" s="9" t="str" cm="1">
        <f t="array" ref="C408">_xlfn.IFS(B408&gt;65,"+65",B408&gt;54,"55-65",B408&gt;44,"45-54",B408&gt;35,"36-44",B408&gt;25,"26-35",B408&gt;=18,"18-25")</f>
        <v>26-35</v>
      </c>
      <c r="D408" s="4" t="s">
        <v>78</v>
      </c>
      <c r="E408" s="4" t="s">
        <v>72</v>
      </c>
      <c r="F408" s="4" t="s">
        <v>67</v>
      </c>
      <c r="G408" s="4" t="s">
        <v>53</v>
      </c>
      <c r="H408" s="4" t="s">
        <v>919</v>
      </c>
      <c r="I408" s="4" t="s">
        <v>234</v>
      </c>
      <c r="J408" s="5">
        <v>299.27999999999997</v>
      </c>
      <c r="K408" s="3">
        <v>12</v>
      </c>
      <c r="L408" s="4" t="str">
        <f>IF(AND(J408&gt;350,K408&gt;6), "True","False")</f>
        <v>False</v>
      </c>
      <c r="M408" s="4" t="s">
        <v>83</v>
      </c>
      <c r="N408" s="3">
        <v>4</v>
      </c>
      <c r="O408" s="4" t="str" cm="1">
        <f t="array" ref="O408">_xlfn.IFS(P408&lt;=2,"Poor",P408=3,"Average",P408&gt;=4,"Good")</f>
        <v>Good</v>
      </c>
      <c r="P408" s="3">
        <v>5</v>
      </c>
      <c r="Q408" s="2">
        <v>1</v>
      </c>
      <c r="R408" s="4" t="s">
        <v>72</v>
      </c>
      <c r="S408" s="4" t="s">
        <v>84</v>
      </c>
      <c r="T408" s="3">
        <v>0</v>
      </c>
      <c r="U408" s="4" t="str" cm="1">
        <f t="array" ref="U408">_xlfn.IFS(V408&lt;=4, "Dissatisfied",V408&lt;=7,"Neutral",V408&gt;=8,"Satisfied")</f>
        <v>Satisfied</v>
      </c>
      <c r="V408" s="3">
        <v>9</v>
      </c>
      <c r="W408" s="4" t="s">
        <v>72</v>
      </c>
      <c r="X408" s="4" t="s">
        <v>60</v>
      </c>
      <c r="Y408" s="4" t="s">
        <v>75</v>
      </c>
      <c r="Z408" s="1">
        <v>45441</v>
      </c>
      <c r="AA408" s="4" t="str" cm="1">
        <f t="array" ref="AA408">_xlfn.IFS(OR(AB408="December", AB408="February", AB408="January"), "Winter", OR(AB408="March", AB408="April", AB408="May"), "Spring", OR(AB408="June", AB408="July", AB408="August"), "Summer", TRUE, "Autumn")</f>
        <v>Spring</v>
      </c>
      <c r="AB408" s="7" t="str">
        <f>TEXT(Z408, "mmmm")</f>
        <v>May</v>
      </c>
      <c r="AC408" s="1" t="str">
        <f>TEXT(Z408, "dddd")</f>
        <v>Wednesday</v>
      </c>
      <c r="AD408" s="4" t="s">
        <v>76</v>
      </c>
      <c r="AE408" s="4" t="s">
        <v>76</v>
      </c>
      <c r="AF408" s="4" t="s">
        <v>102</v>
      </c>
      <c r="AG408" s="4" t="s">
        <v>64</v>
      </c>
      <c r="AH408" s="3">
        <v>3</v>
      </c>
    </row>
    <row r="409" spans="1:34">
      <c r="A409" s="4" t="s">
        <v>920</v>
      </c>
      <c r="B409" s="3">
        <v>19</v>
      </c>
      <c r="C409" s="9" t="str" cm="1">
        <f t="array" ref="C409">_xlfn.IFS(B409&gt;65,"+65",B409&gt;54,"55-65",B409&gt;44,"45-54",B409&gt;35,"36-44",B409&gt;25,"26-35",B409&gt;=18,"18-25")</f>
        <v>18-25</v>
      </c>
      <c r="D409" s="4" t="s">
        <v>232</v>
      </c>
      <c r="E409" s="4" t="s">
        <v>72</v>
      </c>
      <c r="F409" s="4" t="s">
        <v>52</v>
      </c>
      <c r="G409" s="4" t="s">
        <v>80</v>
      </c>
      <c r="H409" s="4" t="s">
        <v>921</v>
      </c>
      <c r="I409" s="4" t="s">
        <v>105</v>
      </c>
      <c r="J409" s="5">
        <v>241.72</v>
      </c>
      <c r="K409" s="3">
        <v>6</v>
      </c>
      <c r="L409" s="4" t="str">
        <f>IF(AND(J409&gt;350,K409&gt;6), "True","False")</f>
        <v>False</v>
      </c>
      <c r="M409" s="4" t="s">
        <v>83</v>
      </c>
      <c r="N409" s="3">
        <v>5</v>
      </c>
      <c r="O409" s="4" t="str" cm="1">
        <f t="array" ref="O409">_xlfn.IFS(P409&lt;=2,"Poor",P409=3,"Average",P409&gt;=4,"Good")</f>
        <v>Poor</v>
      </c>
      <c r="P409" s="3">
        <v>2</v>
      </c>
      <c r="Q409" s="2">
        <v>1</v>
      </c>
      <c r="R409" s="4" t="s">
        <v>85</v>
      </c>
      <c r="S409" s="4" t="s">
        <v>58</v>
      </c>
      <c r="T409" s="3">
        <v>0</v>
      </c>
      <c r="U409" s="4" t="str" cm="1">
        <f t="array" ref="U409">_xlfn.IFS(V409&lt;=4, "Dissatisfied",V409&lt;=7,"Neutral",V409&gt;=8,"Satisfied")</f>
        <v>Satisfied</v>
      </c>
      <c r="V409" s="3">
        <v>8</v>
      </c>
      <c r="W409" s="4" t="s">
        <v>72</v>
      </c>
      <c r="X409" s="4" t="s">
        <v>101</v>
      </c>
      <c r="Y409" s="4" t="s">
        <v>75</v>
      </c>
      <c r="Z409" s="1">
        <v>45441</v>
      </c>
      <c r="AA409" s="4" t="str" cm="1">
        <f t="array" ref="AA409">_xlfn.IFS(OR(AB409="December", AB409="February", AB409="January"), "Winter", OR(AB409="March", AB409="April", AB409="May"), "Spring", OR(AB409="June", AB409="July", AB409="August"), "Summer", TRUE, "Autumn")</f>
        <v>Spring</v>
      </c>
      <c r="AB409" s="7" t="str">
        <f>TEXT(Z409, "mmmm")</f>
        <v>May</v>
      </c>
      <c r="AC409" s="1" t="str">
        <f>TEXT(Z409, "dddd")</f>
        <v>Wednesday</v>
      </c>
      <c r="AD409" s="4" t="s">
        <v>76</v>
      </c>
      <c r="AE409" s="4" t="s">
        <v>62</v>
      </c>
      <c r="AF409" s="4" t="s">
        <v>87</v>
      </c>
      <c r="AG409" s="4" t="s">
        <v>93</v>
      </c>
      <c r="AH409" s="3">
        <v>2</v>
      </c>
    </row>
    <row r="410" spans="1:34">
      <c r="A410" s="4" t="s">
        <v>922</v>
      </c>
      <c r="B410" s="3">
        <v>48</v>
      </c>
      <c r="C410" s="9" t="str" cm="1">
        <f t="array" ref="C410">_xlfn.IFS(B410&gt;65,"+65",B410&gt;54,"55-65",B410&gt;44,"45-54",B410&gt;35,"36-44",B410&gt;25,"26-35",B410&gt;=18,"18-25")</f>
        <v>45-54</v>
      </c>
      <c r="D410" s="4" t="s">
        <v>66</v>
      </c>
      <c r="E410" s="4" t="s">
        <v>51</v>
      </c>
      <c r="F410" s="4" t="s">
        <v>52</v>
      </c>
      <c r="G410" s="4" t="s">
        <v>68</v>
      </c>
      <c r="H410" s="4" t="s">
        <v>923</v>
      </c>
      <c r="I410" s="4" t="s">
        <v>146</v>
      </c>
      <c r="J410" s="5">
        <v>436.54</v>
      </c>
      <c r="K410" s="3">
        <v>12</v>
      </c>
      <c r="L410" s="4" t="str">
        <f>IF(AND(J410&gt;350,K410&gt;6), "True","False")</f>
        <v>True</v>
      </c>
      <c r="M410" s="4" t="s">
        <v>56</v>
      </c>
      <c r="N410" s="3">
        <v>3</v>
      </c>
      <c r="O410" s="4" t="str" cm="1">
        <f t="array" ref="O410">_xlfn.IFS(P410&lt;=2,"Poor",P410=3,"Average",P410&gt;=4,"Good")</f>
        <v>Average</v>
      </c>
      <c r="P410" s="3">
        <v>3</v>
      </c>
      <c r="Q410" s="2">
        <v>0</v>
      </c>
      <c r="R410" s="4" t="s">
        <v>85</v>
      </c>
      <c r="S410" s="4" t="s">
        <v>73</v>
      </c>
      <c r="T410" s="3">
        <v>1</v>
      </c>
      <c r="U410" s="4" t="str" cm="1">
        <f t="array" ref="U410">_xlfn.IFS(V410&lt;=4, "Dissatisfied",V410&lt;=7,"Neutral",V410&gt;=8,"Satisfied")</f>
        <v>Satisfied</v>
      </c>
      <c r="V410" s="3">
        <v>8</v>
      </c>
      <c r="W410" s="4" t="s">
        <v>59</v>
      </c>
      <c r="X410" s="4" t="s">
        <v>60</v>
      </c>
      <c r="Y410" s="4" t="s">
        <v>75</v>
      </c>
      <c r="Z410" s="1">
        <v>45442</v>
      </c>
      <c r="AA410" s="4" t="str" cm="1">
        <f t="array" ref="AA410">_xlfn.IFS(OR(AB410="December", AB410="February", AB410="January"), "Winter", OR(AB410="March", AB410="April", AB410="May"), "Spring", OR(AB410="June", AB410="July", AB410="August"), "Summer", TRUE, "Autumn")</f>
        <v>Spring</v>
      </c>
      <c r="AB410" s="7" t="str">
        <f>TEXT(Z410, "mmmm")</f>
        <v>May</v>
      </c>
      <c r="AC410" s="1" t="str">
        <f>TEXT(Z410, "dddd")</f>
        <v>Thursday</v>
      </c>
      <c r="AD410" s="4" t="s">
        <v>62</v>
      </c>
      <c r="AE410" s="4" t="s">
        <v>76</v>
      </c>
      <c r="AF410" s="4" t="s">
        <v>102</v>
      </c>
      <c r="AG410" s="4" t="s">
        <v>88</v>
      </c>
      <c r="AH410" s="3">
        <v>9</v>
      </c>
    </row>
    <row r="411" spans="1:34">
      <c r="A411" s="4" t="s">
        <v>924</v>
      </c>
      <c r="B411" s="3">
        <v>41</v>
      </c>
      <c r="C411" s="9" t="str" cm="1">
        <f t="array" ref="C411">_xlfn.IFS(B411&gt;65,"+65",B411&gt;54,"55-65",B411&gt;44,"45-54",B411&gt;35,"36-44",B411&gt;25,"26-35",B411&gt;=18,"18-25")</f>
        <v>36-44</v>
      </c>
      <c r="D411" s="4" t="s">
        <v>66</v>
      </c>
      <c r="E411" s="4" t="s">
        <v>72</v>
      </c>
      <c r="F411" s="4" t="s">
        <v>79</v>
      </c>
      <c r="G411" s="4" t="s">
        <v>53</v>
      </c>
      <c r="H411" s="4" t="s">
        <v>925</v>
      </c>
      <c r="I411" s="4" t="s">
        <v>151</v>
      </c>
      <c r="J411" s="5">
        <v>341.91</v>
      </c>
      <c r="K411" s="3">
        <v>3</v>
      </c>
      <c r="L411" s="4" t="str">
        <f>IF(AND(J411&gt;350,K411&gt;6), "True","False")</f>
        <v>False</v>
      </c>
      <c r="M411" s="4" t="s">
        <v>56</v>
      </c>
      <c r="N411" s="3">
        <v>4</v>
      </c>
      <c r="O411" s="4" t="str" cm="1">
        <f t="array" ref="O411">_xlfn.IFS(P411&lt;=2,"Poor",P411=3,"Average",P411&gt;=4,"Good")</f>
        <v>Good</v>
      </c>
      <c r="P411" s="3">
        <v>4</v>
      </c>
      <c r="Q411" s="2">
        <v>0</v>
      </c>
      <c r="R411" s="4" t="s">
        <v>59</v>
      </c>
      <c r="S411" s="4" t="s">
        <v>58</v>
      </c>
      <c r="T411" s="3">
        <v>1</v>
      </c>
      <c r="U411" s="4" t="str" cm="1">
        <f t="array" ref="U411">_xlfn.IFS(V411&lt;=4, "Dissatisfied",V411&lt;=7,"Neutral",V411&gt;=8,"Satisfied")</f>
        <v>Satisfied</v>
      </c>
      <c r="V411" s="3">
        <v>9</v>
      </c>
      <c r="W411" s="4" t="s">
        <v>57</v>
      </c>
      <c r="X411" s="4" t="s">
        <v>74</v>
      </c>
      <c r="Y411" s="4" t="s">
        <v>61</v>
      </c>
      <c r="Z411" s="1">
        <v>45443</v>
      </c>
      <c r="AA411" s="4" t="str" cm="1">
        <f t="array" ref="AA411">_xlfn.IFS(OR(AB411="December", AB411="February", AB411="January"), "Winter", OR(AB411="March", AB411="April", AB411="May"), "Spring", OR(AB411="June", AB411="July", AB411="August"), "Summer", TRUE, "Autumn")</f>
        <v>Spring</v>
      </c>
      <c r="AB411" s="7" t="str">
        <f>TEXT(Z411, "mmmm")</f>
        <v>May</v>
      </c>
      <c r="AC411" s="1" t="str">
        <f>TEXT(Z411, "dddd")</f>
        <v>Friday</v>
      </c>
      <c r="AD411" s="4" t="s">
        <v>76</v>
      </c>
      <c r="AE411" s="4" t="s">
        <v>76</v>
      </c>
      <c r="AF411" s="4" t="s">
        <v>92</v>
      </c>
      <c r="AG411" s="4" t="s">
        <v>93</v>
      </c>
      <c r="AH411" s="3">
        <v>7</v>
      </c>
    </row>
    <row r="412" spans="1:34">
      <c r="A412" s="4" t="s">
        <v>926</v>
      </c>
      <c r="B412" s="3">
        <v>37</v>
      </c>
      <c r="C412" s="9" t="str" cm="1">
        <f t="array" ref="C412">_xlfn.IFS(B412&gt;65,"+65",B412&gt;54,"55-65",B412&gt;44,"45-54",B412&gt;35,"36-44",B412&gt;25,"26-35",B412&gt;=18,"18-25")</f>
        <v>36-44</v>
      </c>
      <c r="D412" s="4" t="s">
        <v>66</v>
      </c>
      <c r="E412" s="4" t="s">
        <v>72</v>
      </c>
      <c r="F412" s="4" t="s">
        <v>79</v>
      </c>
      <c r="G412" s="4" t="s">
        <v>80</v>
      </c>
      <c r="H412" s="4" t="s">
        <v>927</v>
      </c>
      <c r="I412" s="4" t="s">
        <v>169</v>
      </c>
      <c r="J412" s="5">
        <v>136.53</v>
      </c>
      <c r="K412" s="3">
        <v>3</v>
      </c>
      <c r="L412" s="4" t="str">
        <f>IF(AND(J412&gt;350,K412&gt;6), "True","False")</f>
        <v>False</v>
      </c>
      <c r="M412" s="4" t="s">
        <v>83</v>
      </c>
      <c r="N412" s="3">
        <v>2</v>
      </c>
      <c r="O412" s="4" t="str" cm="1">
        <f t="array" ref="O412">_xlfn.IFS(P412&lt;=2,"Poor",P412=3,"Average",P412&gt;=4,"Good")</f>
        <v>Good</v>
      </c>
      <c r="P412" s="3">
        <v>4</v>
      </c>
      <c r="Q412" s="2">
        <v>2</v>
      </c>
      <c r="R412" s="4" t="s">
        <v>72</v>
      </c>
      <c r="S412" s="4" t="s">
        <v>58</v>
      </c>
      <c r="T412" s="3">
        <v>1</v>
      </c>
      <c r="U412" s="4" t="str" cm="1">
        <f t="array" ref="U412">_xlfn.IFS(V412&lt;=4, "Dissatisfied",V412&lt;=7,"Neutral",V412&gt;=8,"Satisfied")</f>
        <v>Dissatisfied</v>
      </c>
      <c r="V412" s="3">
        <v>3</v>
      </c>
      <c r="W412" s="4" t="s">
        <v>72</v>
      </c>
      <c r="X412" s="4" t="s">
        <v>60</v>
      </c>
      <c r="Y412" s="4" t="s">
        <v>86</v>
      </c>
      <c r="Z412" s="1">
        <v>45443</v>
      </c>
      <c r="AA412" s="4" t="str" cm="1">
        <f t="array" ref="AA412">_xlfn.IFS(OR(AB412="December", AB412="February", AB412="January"), "Winter", OR(AB412="March", AB412="April", AB412="May"), "Spring", OR(AB412="June", AB412="July", AB412="August"), "Summer", TRUE, "Autumn")</f>
        <v>Spring</v>
      </c>
      <c r="AB412" s="7" t="str">
        <f>TEXT(Z412, "mmmm")</f>
        <v>May</v>
      </c>
      <c r="AC412" s="1" t="str">
        <f>TEXT(Z412, "dddd")</f>
        <v>Friday</v>
      </c>
      <c r="AD412" s="4" t="s">
        <v>62</v>
      </c>
      <c r="AE412" s="4" t="s">
        <v>62</v>
      </c>
      <c r="AF412" s="4" t="s">
        <v>87</v>
      </c>
      <c r="AG412" s="4" t="s">
        <v>64</v>
      </c>
      <c r="AH412" s="3">
        <v>10</v>
      </c>
    </row>
    <row r="413" spans="1:34">
      <c r="A413" s="4" t="s">
        <v>928</v>
      </c>
      <c r="B413" s="3">
        <v>31</v>
      </c>
      <c r="C413" s="9" t="str" cm="1">
        <f t="array" ref="C413">_xlfn.IFS(B413&gt;65,"+65",B413&gt;54,"55-65",B413&gt;44,"45-54",B413&gt;35,"36-44",B413&gt;25,"26-35",B413&gt;=18,"18-25")</f>
        <v>26-35</v>
      </c>
      <c r="D413" s="4" t="s">
        <v>78</v>
      </c>
      <c r="E413" s="4" t="s">
        <v>51</v>
      </c>
      <c r="F413" s="4" t="s">
        <v>52</v>
      </c>
      <c r="G413" s="4" t="s">
        <v>68</v>
      </c>
      <c r="H413" s="4" t="s">
        <v>929</v>
      </c>
      <c r="I413" s="4" t="s">
        <v>110</v>
      </c>
      <c r="J413" s="5">
        <v>182.6</v>
      </c>
      <c r="K413" s="3">
        <v>4</v>
      </c>
      <c r="L413" s="4" t="str">
        <f>IF(AND(J413&gt;350,K413&gt;6), "True","False")</f>
        <v>False</v>
      </c>
      <c r="M413" s="4" t="s">
        <v>56</v>
      </c>
      <c r="N413" s="3">
        <v>5</v>
      </c>
      <c r="O413" s="4" t="str" cm="1">
        <f t="array" ref="O413">_xlfn.IFS(P413&lt;=2,"Poor",P413=3,"Average",P413&gt;=4,"Good")</f>
        <v>Poor</v>
      </c>
      <c r="P413" s="3">
        <v>2</v>
      </c>
      <c r="Q413" s="2">
        <v>0.3</v>
      </c>
      <c r="R413" s="4" t="s">
        <v>59</v>
      </c>
      <c r="S413" s="4" t="s">
        <v>58</v>
      </c>
      <c r="T413" s="3">
        <v>2</v>
      </c>
      <c r="U413" s="4" t="str" cm="1">
        <f t="array" ref="U413">_xlfn.IFS(V413&lt;=4, "Dissatisfied",V413&lt;=7,"Neutral",V413&gt;=8,"Satisfied")</f>
        <v>Satisfied</v>
      </c>
      <c r="V413" s="3">
        <v>9</v>
      </c>
      <c r="W413" s="4" t="s">
        <v>72</v>
      </c>
      <c r="X413" s="4" t="s">
        <v>74</v>
      </c>
      <c r="Y413" s="4" t="s">
        <v>86</v>
      </c>
      <c r="Z413" s="1">
        <v>45443</v>
      </c>
      <c r="AA413" s="4" t="str" cm="1">
        <f t="array" ref="AA413">_xlfn.IFS(OR(AB413="December", AB413="February", AB413="January"), "Winter", OR(AB413="March", AB413="April", AB413="May"), "Spring", OR(AB413="June", AB413="July", AB413="August"), "Summer", TRUE, "Autumn")</f>
        <v>Spring</v>
      </c>
      <c r="AB413" s="7" t="str">
        <f>TEXT(Z413, "mmmm")</f>
        <v>May</v>
      </c>
      <c r="AC413" s="1" t="str">
        <f>TEXT(Z413, "dddd")</f>
        <v>Friday</v>
      </c>
      <c r="AD413" s="4" t="s">
        <v>76</v>
      </c>
      <c r="AE413" s="4" t="s">
        <v>62</v>
      </c>
      <c r="AF413" s="4" t="s">
        <v>102</v>
      </c>
      <c r="AG413" s="4" t="s">
        <v>93</v>
      </c>
      <c r="AH413" s="3">
        <v>5</v>
      </c>
    </row>
    <row r="414" spans="1:34">
      <c r="A414" s="4" t="s">
        <v>930</v>
      </c>
      <c r="B414" s="3">
        <v>43</v>
      </c>
      <c r="C414" s="9" t="str" cm="1">
        <f t="array" ref="C414">_xlfn.IFS(B414&gt;65,"+65",B414&gt;54,"55-65",B414&gt;44,"45-54",B414&gt;35,"36-44",B414&gt;25,"26-35",B414&gt;=18,"18-25")</f>
        <v>36-44</v>
      </c>
      <c r="D414" s="4" t="s">
        <v>66</v>
      </c>
      <c r="E414" s="4" t="s">
        <v>72</v>
      </c>
      <c r="F414" s="4" t="s">
        <v>67</v>
      </c>
      <c r="G414" s="4" t="s">
        <v>80</v>
      </c>
      <c r="H414" s="4" t="s">
        <v>931</v>
      </c>
      <c r="I414" s="4" t="s">
        <v>110</v>
      </c>
      <c r="J414" s="5">
        <v>201.53</v>
      </c>
      <c r="K414" s="3">
        <v>5</v>
      </c>
      <c r="L414" s="4" t="str">
        <f>IF(AND(J414&gt;350,K414&gt;6), "True","False")</f>
        <v>False</v>
      </c>
      <c r="M414" s="4" t="s">
        <v>56</v>
      </c>
      <c r="N414" s="3">
        <v>2</v>
      </c>
      <c r="O414" s="4" t="str" cm="1">
        <f t="array" ref="O414">_xlfn.IFS(P414&lt;=2,"Poor",P414=3,"Average",P414&gt;=4,"Good")</f>
        <v>Average</v>
      </c>
      <c r="P414" s="3">
        <v>3</v>
      </c>
      <c r="Q414" s="2">
        <v>1</v>
      </c>
      <c r="R414" s="4" t="s">
        <v>57</v>
      </c>
      <c r="S414" s="4" t="s">
        <v>58</v>
      </c>
      <c r="T414" s="3">
        <v>1</v>
      </c>
      <c r="U414" s="4" t="str" cm="1">
        <f t="array" ref="U414">_xlfn.IFS(V414&lt;=4, "Dissatisfied",V414&lt;=7,"Neutral",V414&gt;=8,"Satisfied")</f>
        <v>Neutral</v>
      </c>
      <c r="V414" s="3">
        <v>6</v>
      </c>
      <c r="W414" s="4" t="s">
        <v>72</v>
      </c>
      <c r="X414" s="4" t="s">
        <v>74</v>
      </c>
      <c r="Y414" s="4" t="s">
        <v>111</v>
      </c>
      <c r="Z414" s="1">
        <v>45444</v>
      </c>
      <c r="AA414" s="4" t="str" cm="1">
        <f t="array" ref="AA414">_xlfn.IFS(OR(AB414="December", AB414="February", AB414="January"), "Winter", OR(AB414="March", AB414="April", AB414="May"), "Spring", OR(AB414="June", AB414="July", AB414="August"), "Summer", TRUE, "Autumn")</f>
        <v>Summer</v>
      </c>
      <c r="AB414" s="7" t="str">
        <f>TEXT(Z414, "mmmm")</f>
        <v>June</v>
      </c>
      <c r="AC414" s="1" t="str">
        <f>TEXT(Z414, "dddd")</f>
        <v>Saturday</v>
      </c>
      <c r="AD414" s="4" t="s">
        <v>76</v>
      </c>
      <c r="AE414" s="4" t="s">
        <v>62</v>
      </c>
      <c r="AF414" s="4" t="s">
        <v>102</v>
      </c>
      <c r="AG414" s="4" t="s">
        <v>88</v>
      </c>
      <c r="AH414" s="3">
        <v>11</v>
      </c>
    </row>
    <row r="415" spans="1:34">
      <c r="A415" s="4" t="s">
        <v>932</v>
      </c>
      <c r="B415" s="3">
        <v>33</v>
      </c>
      <c r="C415" s="9" t="str" cm="1">
        <f t="array" ref="C415">_xlfn.IFS(B415&gt;65,"+65",B415&gt;54,"55-65",B415&gt;44,"45-54",B415&gt;35,"36-44",B415&gt;25,"26-35",B415&gt;=18,"18-25")</f>
        <v>26-35</v>
      </c>
      <c r="D415" s="4" t="s">
        <v>78</v>
      </c>
      <c r="E415" s="4" t="s">
        <v>72</v>
      </c>
      <c r="F415" s="4" t="s">
        <v>95</v>
      </c>
      <c r="G415" s="4" t="s">
        <v>53</v>
      </c>
      <c r="H415" s="4" t="s">
        <v>422</v>
      </c>
      <c r="I415" s="4" t="s">
        <v>133</v>
      </c>
      <c r="J415" s="5">
        <v>254.73</v>
      </c>
      <c r="K415" s="3">
        <v>6</v>
      </c>
      <c r="L415" s="4" t="str">
        <f>IF(AND(J415&gt;350,K415&gt;6), "True","False")</f>
        <v>False</v>
      </c>
      <c r="M415" s="4" t="s">
        <v>56</v>
      </c>
      <c r="N415" s="3">
        <v>4</v>
      </c>
      <c r="O415" s="4" t="str" cm="1">
        <f t="array" ref="O415">_xlfn.IFS(P415&lt;=2,"Poor",P415=3,"Average",P415&gt;=4,"Good")</f>
        <v>Average</v>
      </c>
      <c r="P415" s="3">
        <v>3</v>
      </c>
      <c r="Q415" s="2">
        <v>0</v>
      </c>
      <c r="R415" s="4" t="s">
        <v>85</v>
      </c>
      <c r="S415" s="4" t="s">
        <v>73</v>
      </c>
      <c r="T415" s="3">
        <v>0</v>
      </c>
      <c r="U415" s="4" t="str" cm="1">
        <f t="array" ref="U415">_xlfn.IFS(V415&lt;=4, "Dissatisfied",V415&lt;=7,"Neutral",V415&gt;=8,"Satisfied")</f>
        <v>Dissatisfied</v>
      </c>
      <c r="V415" s="3">
        <v>3</v>
      </c>
      <c r="W415" s="4" t="s">
        <v>59</v>
      </c>
      <c r="X415" s="4" t="s">
        <v>60</v>
      </c>
      <c r="Y415" s="4" t="s">
        <v>111</v>
      </c>
      <c r="Z415" s="1">
        <v>45444</v>
      </c>
      <c r="AA415" s="4" t="str" cm="1">
        <f t="array" ref="AA415">_xlfn.IFS(OR(AB415="December", AB415="February", AB415="January"), "Winter", OR(AB415="March", AB415="April", AB415="May"), "Spring", OR(AB415="June", AB415="July", AB415="August"), "Summer", TRUE, "Autumn")</f>
        <v>Summer</v>
      </c>
      <c r="AB415" s="7" t="str">
        <f>TEXT(Z415, "mmmm")</f>
        <v>June</v>
      </c>
      <c r="AC415" s="1" t="str">
        <f>TEXT(Z415, "dddd")</f>
        <v>Saturday</v>
      </c>
      <c r="AD415" s="4" t="s">
        <v>62</v>
      </c>
      <c r="AE415" s="4" t="s">
        <v>62</v>
      </c>
      <c r="AF415" s="4" t="s">
        <v>92</v>
      </c>
      <c r="AG415" s="4" t="s">
        <v>93</v>
      </c>
      <c r="AH415" s="3">
        <v>3</v>
      </c>
    </row>
    <row r="416" spans="1:34">
      <c r="A416" s="4" t="s">
        <v>933</v>
      </c>
      <c r="B416" s="3">
        <v>50</v>
      </c>
      <c r="C416" s="9" t="str" cm="1">
        <f t="array" ref="C416">_xlfn.IFS(B416&gt;65,"+65",B416&gt;54,"55-65",B416&gt;44,"45-54",B416&gt;35,"36-44",B416&gt;25,"26-35",B416&gt;=18,"18-25")</f>
        <v>45-54</v>
      </c>
      <c r="D416" s="4" t="s">
        <v>66</v>
      </c>
      <c r="E416" s="4" t="s">
        <v>51</v>
      </c>
      <c r="F416" s="4" t="s">
        <v>52</v>
      </c>
      <c r="G416" s="4" t="s">
        <v>53</v>
      </c>
      <c r="H416" s="4" t="s">
        <v>934</v>
      </c>
      <c r="I416" s="4" t="s">
        <v>55</v>
      </c>
      <c r="J416" s="5">
        <v>346.58</v>
      </c>
      <c r="K416" s="3">
        <v>6</v>
      </c>
      <c r="L416" s="4" t="str">
        <f>IF(AND(J416&gt;350,K416&gt;6), "True","False")</f>
        <v>False</v>
      </c>
      <c r="M416" s="4" t="s">
        <v>83</v>
      </c>
      <c r="N416" s="3">
        <v>5</v>
      </c>
      <c r="O416" s="4" t="str" cm="1">
        <f t="array" ref="O416">_xlfn.IFS(P416&lt;=2,"Poor",P416=3,"Average",P416&gt;=4,"Good")</f>
        <v>Poor</v>
      </c>
      <c r="P416" s="3">
        <v>1</v>
      </c>
      <c r="Q416" s="2">
        <v>1</v>
      </c>
      <c r="R416" s="4" t="s">
        <v>72</v>
      </c>
      <c r="S416" s="4" t="s">
        <v>84</v>
      </c>
      <c r="T416" s="3">
        <v>0</v>
      </c>
      <c r="U416" s="4" t="str" cm="1">
        <f t="array" ref="U416">_xlfn.IFS(V416&lt;=4, "Dissatisfied",V416&lt;=7,"Neutral",V416&gt;=8,"Satisfied")</f>
        <v>Satisfied</v>
      </c>
      <c r="V416" s="3">
        <v>9</v>
      </c>
      <c r="W416" s="4" t="s">
        <v>59</v>
      </c>
      <c r="X416" s="4" t="s">
        <v>74</v>
      </c>
      <c r="Y416" s="4" t="s">
        <v>111</v>
      </c>
      <c r="Z416" s="1">
        <v>45446</v>
      </c>
      <c r="AA416" s="4" t="str" cm="1">
        <f t="array" ref="AA416">_xlfn.IFS(OR(AB416="December", AB416="February", AB416="January"), "Winter", OR(AB416="March", AB416="April", AB416="May"), "Spring", OR(AB416="June", AB416="July", AB416="August"), "Summer", TRUE, "Autumn")</f>
        <v>Summer</v>
      </c>
      <c r="AB416" s="7" t="str">
        <f>TEXT(Z416, "mmmm")</f>
        <v>June</v>
      </c>
      <c r="AC416" s="1" t="str">
        <f>TEXT(Z416, "dddd")</f>
        <v>Monday</v>
      </c>
      <c r="AD416" s="4" t="s">
        <v>76</v>
      </c>
      <c r="AE416" s="4" t="s">
        <v>76</v>
      </c>
      <c r="AF416" s="4" t="s">
        <v>92</v>
      </c>
      <c r="AG416" s="4" t="s">
        <v>93</v>
      </c>
      <c r="AH416" s="3">
        <v>7</v>
      </c>
    </row>
    <row r="417" spans="1:34">
      <c r="A417" s="4" t="s">
        <v>935</v>
      </c>
      <c r="B417" s="3">
        <v>49</v>
      </c>
      <c r="C417" s="9" t="str" cm="1">
        <f t="array" ref="C417">_xlfn.IFS(B417&gt;65,"+65",B417&gt;54,"55-65",B417&gt;44,"45-54",B417&gt;35,"36-44",B417&gt;25,"26-35",B417&gt;=18,"18-25")</f>
        <v>45-54</v>
      </c>
      <c r="D417" s="4" t="s">
        <v>66</v>
      </c>
      <c r="E417" s="4" t="s">
        <v>51</v>
      </c>
      <c r="F417" s="4" t="s">
        <v>52</v>
      </c>
      <c r="G417" s="4" t="s">
        <v>80</v>
      </c>
      <c r="H417" s="4" t="s">
        <v>936</v>
      </c>
      <c r="I417" s="4" t="s">
        <v>100</v>
      </c>
      <c r="J417" s="5">
        <v>190.25</v>
      </c>
      <c r="K417" s="3">
        <v>6</v>
      </c>
      <c r="L417" s="4" t="str">
        <f>IF(AND(J417&gt;350,K417&gt;6), "True","False")</f>
        <v>False</v>
      </c>
      <c r="M417" s="4" t="s">
        <v>83</v>
      </c>
      <c r="N417" s="3">
        <v>4</v>
      </c>
      <c r="O417" s="4" t="str" cm="1">
        <f t="array" ref="O417">_xlfn.IFS(P417&lt;=2,"Poor",P417=3,"Average",P417&gt;=4,"Good")</f>
        <v>Poor</v>
      </c>
      <c r="P417" s="3">
        <v>2</v>
      </c>
      <c r="Q417" s="2">
        <v>2</v>
      </c>
      <c r="R417" s="4" t="s">
        <v>57</v>
      </c>
      <c r="S417" s="4" t="s">
        <v>73</v>
      </c>
      <c r="T417" s="3">
        <v>2</v>
      </c>
      <c r="U417" s="4" t="str" cm="1">
        <f t="array" ref="U417">_xlfn.IFS(V417&lt;=4, "Dissatisfied",V417&lt;=7,"Neutral",V417&gt;=8,"Satisfied")</f>
        <v>Satisfied</v>
      </c>
      <c r="V417" s="3">
        <v>9</v>
      </c>
      <c r="W417" s="4" t="s">
        <v>57</v>
      </c>
      <c r="X417" s="4" t="s">
        <v>74</v>
      </c>
      <c r="Y417" s="4" t="s">
        <v>86</v>
      </c>
      <c r="Z417" s="1">
        <v>45446</v>
      </c>
      <c r="AA417" s="4" t="str" cm="1">
        <f t="array" ref="AA417">_xlfn.IFS(OR(AB417="December", AB417="February", AB417="January"), "Winter", OR(AB417="March", AB417="April", AB417="May"), "Spring", OR(AB417="June", AB417="July", AB417="August"), "Summer", TRUE, "Autumn")</f>
        <v>Summer</v>
      </c>
      <c r="AB417" s="7" t="str">
        <f>TEXT(Z417, "mmmm")</f>
        <v>June</v>
      </c>
      <c r="AC417" s="1" t="str">
        <f>TEXT(Z417, "dddd")</f>
        <v>Monday</v>
      </c>
      <c r="AD417" s="4" t="s">
        <v>76</v>
      </c>
      <c r="AE417" s="4" t="s">
        <v>76</v>
      </c>
      <c r="AF417" s="4" t="s">
        <v>87</v>
      </c>
      <c r="AG417" s="4" t="s">
        <v>93</v>
      </c>
      <c r="AH417" s="3">
        <v>13</v>
      </c>
    </row>
    <row r="418" spans="1:34">
      <c r="A418" s="4" t="s">
        <v>937</v>
      </c>
      <c r="B418" s="3">
        <v>43</v>
      </c>
      <c r="C418" s="9" t="str" cm="1">
        <f t="array" ref="C418">_xlfn.IFS(B418&gt;65,"+65",B418&gt;54,"55-65",B418&gt;44,"45-54",B418&gt;35,"36-44",B418&gt;25,"26-35",B418&gt;=18,"18-25")</f>
        <v>36-44</v>
      </c>
      <c r="D418" s="4" t="s">
        <v>78</v>
      </c>
      <c r="E418" s="4" t="s">
        <v>72</v>
      </c>
      <c r="F418" s="4" t="s">
        <v>79</v>
      </c>
      <c r="G418" s="4" t="s">
        <v>53</v>
      </c>
      <c r="H418" s="4" t="s">
        <v>938</v>
      </c>
      <c r="I418" s="4" t="s">
        <v>172</v>
      </c>
      <c r="J418" s="5">
        <v>120.56</v>
      </c>
      <c r="K418" s="3">
        <v>5</v>
      </c>
      <c r="L418" s="4" t="str">
        <f>IF(AND(J418&gt;350,K418&gt;6), "True","False")</f>
        <v>False</v>
      </c>
      <c r="M418" s="4" t="s">
        <v>56</v>
      </c>
      <c r="N418" s="3">
        <v>4</v>
      </c>
      <c r="O418" s="4" t="str" cm="1">
        <f t="array" ref="O418">_xlfn.IFS(P418&lt;=2,"Poor",P418=3,"Average",P418&gt;=4,"Good")</f>
        <v>Average</v>
      </c>
      <c r="P418" s="3">
        <v>3</v>
      </c>
      <c r="Q418" s="2">
        <v>2</v>
      </c>
      <c r="R418" s="4" t="s">
        <v>57</v>
      </c>
      <c r="S418" s="4" t="s">
        <v>58</v>
      </c>
      <c r="T418" s="3">
        <v>2</v>
      </c>
      <c r="U418" s="4" t="str" cm="1">
        <f t="array" ref="U418">_xlfn.IFS(V418&lt;=4, "Dissatisfied",V418&lt;=7,"Neutral",V418&gt;=8,"Satisfied")</f>
        <v>Neutral</v>
      </c>
      <c r="V418" s="3">
        <v>7</v>
      </c>
      <c r="W418" s="4" t="s">
        <v>59</v>
      </c>
      <c r="X418" s="4" t="s">
        <v>74</v>
      </c>
      <c r="Y418" s="4" t="s">
        <v>75</v>
      </c>
      <c r="Z418" s="1">
        <v>45446</v>
      </c>
      <c r="AA418" s="4" t="str" cm="1">
        <f t="array" ref="AA418">_xlfn.IFS(OR(AB418="December", AB418="February", AB418="January"), "Winter", OR(AB418="March", AB418="April", AB418="May"), "Spring", OR(AB418="June", AB418="July", AB418="August"), "Summer", TRUE, "Autumn")</f>
        <v>Summer</v>
      </c>
      <c r="AB418" s="7" t="str">
        <f>TEXT(Z418, "mmmm")</f>
        <v>June</v>
      </c>
      <c r="AC418" s="1" t="str">
        <f>TEXT(Z418, "dddd")</f>
        <v>Monday</v>
      </c>
      <c r="AD418" s="4" t="s">
        <v>76</v>
      </c>
      <c r="AE418" s="4" t="s">
        <v>76</v>
      </c>
      <c r="AF418" s="4" t="s">
        <v>63</v>
      </c>
      <c r="AG418" s="4" t="s">
        <v>93</v>
      </c>
      <c r="AH418" s="3">
        <v>7</v>
      </c>
    </row>
    <row r="419" spans="1:34">
      <c r="A419" s="4" t="s">
        <v>939</v>
      </c>
      <c r="B419" s="3">
        <v>39</v>
      </c>
      <c r="C419" s="9" t="str" cm="1">
        <f t="array" ref="C419">_xlfn.IFS(B419&gt;65,"+65",B419&gt;54,"55-65",B419&gt;44,"45-54",B419&gt;35,"36-44",B419&gt;25,"26-35",B419&gt;=18,"18-25")</f>
        <v>36-44</v>
      </c>
      <c r="D419" s="4" t="s">
        <v>66</v>
      </c>
      <c r="E419" s="4" t="s">
        <v>72</v>
      </c>
      <c r="F419" s="4" t="s">
        <v>95</v>
      </c>
      <c r="G419" s="4" t="s">
        <v>53</v>
      </c>
      <c r="H419" s="4" t="s">
        <v>940</v>
      </c>
      <c r="I419" s="4" t="s">
        <v>146</v>
      </c>
      <c r="J419" s="5">
        <v>129.82</v>
      </c>
      <c r="K419" s="3">
        <v>12</v>
      </c>
      <c r="L419" s="4" t="str">
        <f>IF(AND(J419&gt;350,K419&gt;6), "True","False")</f>
        <v>False</v>
      </c>
      <c r="M419" s="4" t="s">
        <v>83</v>
      </c>
      <c r="N419" s="3">
        <v>1</v>
      </c>
      <c r="O419" s="4" t="str" cm="1">
        <f t="array" ref="O419">_xlfn.IFS(P419&lt;=2,"Poor",P419=3,"Average",P419&gt;=4,"Good")</f>
        <v>Poor</v>
      </c>
      <c r="P419" s="3">
        <v>2</v>
      </c>
      <c r="Q419" s="2">
        <v>0</v>
      </c>
      <c r="R419" s="4" t="s">
        <v>72</v>
      </c>
      <c r="S419" s="4" t="s">
        <v>58</v>
      </c>
      <c r="T419" s="3">
        <v>2</v>
      </c>
      <c r="U419" s="4" t="str" cm="1">
        <f t="array" ref="U419">_xlfn.IFS(V419&lt;=4, "Dissatisfied",V419&lt;=7,"Neutral",V419&gt;=8,"Satisfied")</f>
        <v>Dissatisfied</v>
      </c>
      <c r="V419" s="3">
        <v>1</v>
      </c>
      <c r="W419" s="4" t="s">
        <v>72</v>
      </c>
      <c r="X419" s="4" t="s">
        <v>74</v>
      </c>
      <c r="Y419" s="4" t="s">
        <v>61</v>
      </c>
      <c r="Z419" s="1">
        <v>45446</v>
      </c>
      <c r="AA419" s="4" t="str" cm="1">
        <f t="array" ref="AA419">_xlfn.IFS(OR(AB419="December", AB419="February", AB419="January"), "Winter", OR(AB419="March", AB419="April", AB419="May"), "Spring", OR(AB419="June", AB419="July", AB419="August"), "Summer", TRUE, "Autumn")</f>
        <v>Summer</v>
      </c>
      <c r="AB419" s="7" t="str">
        <f>TEXT(Z419, "mmmm")</f>
        <v>June</v>
      </c>
      <c r="AC419" s="1" t="str">
        <f>TEXT(Z419, "dddd")</f>
        <v>Monday</v>
      </c>
      <c r="AD419" s="4" t="s">
        <v>76</v>
      </c>
      <c r="AE419" s="4" t="s">
        <v>76</v>
      </c>
      <c r="AF419" s="4" t="s">
        <v>92</v>
      </c>
      <c r="AG419" s="4" t="s">
        <v>64</v>
      </c>
      <c r="AH419" s="3">
        <v>8</v>
      </c>
    </row>
    <row r="420" spans="1:34">
      <c r="A420" s="4" t="s">
        <v>941</v>
      </c>
      <c r="B420" s="3">
        <v>38</v>
      </c>
      <c r="C420" s="9" t="str" cm="1">
        <f t="array" ref="C420">_xlfn.IFS(B420&gt;65,"+65",B420&gt;54,"55-65",B420&gt;44,"45-54",B420&gt;35,"36-44",B420&gt;25,"26-35",B420&gt;=18,"18-25")</f>
        <v>36-44</v>
      </c>
      <c r="D420" s="4" t="s">
        <v>78</v>
      </c>
      <c r="E420" s="4" t="s">
        <v>51</v>
      </c>
      <c r="F420" s="4" t="s">
        <v>52</v>
      </c>
      <c r="G420" s="4" t="s">
        <v>80</v>
      </c>
      <c r="H420" s="4" t="s">
        <v>942</v>
      </c>
      <c r="I420" s="4" t="s">
        <v>146</v>
      </c>
      <c r="J420" s="5">
        <v>485.76</v>
      </c>
      <c r="K420" s="3">
        <v>10</v>
      </c>
      <c r="L420" s="4" t="str">
        <f>IF(AND(J420&gt;350,K420&gt;6), "True","False")</f>
        <v>True</v>
      </c>
      <c r="M420" s="4" t="s">
        <v>71</v>
      </c>
      <c r="N420" s="3">
        <v>3</v>
      </c>
      <c r="O420" s="4" t="str" cm="1">
        <f t="array" ref="O420">_xlfn.IFS(P420&lt;=2,"Poor",P420=3,"Average",P420&gt;=4,"Good")</f>
        <v>Good</v>
      </c>
      <c r="P420" s="3">
        <v>4</v>
      </c>
      <c r="Q420" s="2">
        <v>0</v>
      </c>
      <c r="R420" s="4" t="s">
        <v>85</v>
      </c>
      <c r="S420" s="4" t="s">
        <v>84</v>
      </c>
      <c r="T420" s="3">
        <v>0</v>
      </c>
      <c r="U420" s="4" t="str" cm="1">
        <f t="array" ref="U420">_xlfn.IFS(V420&lt;=4, "Dissatisfied",V420&lt;=7,"Neutral",V420&gt;=8,"Satisfied")</f>
        <v>Dissatisfied</v>
      </c>
      <c r="V420" s="3">
        <v>4</v>
      </c>
      <c r="W420" s="4" t="s">
        <v>72</v>
      </c>
      <c r="X420" s="4" t="s">
        <v>101</v>
      </c>
      <c r="Y420" s="4" t="s">
        <v>75</v>
      </c>
      <c r="Z420" s="1">
        <v>45446</v>
      </c>
      <c r="AA420" s="4" t="str" cm="1">
        <f t="array" ref="AA420">_xlfn.IFS(OR(AB420="December", AB420="February", AB420="January"), "Winter", OR(AB420="March", AB420="April", AB420="May"), "Spring", OR(AB420="June", AB420="July", AB420="August"), "Summer", TRUE, "Autumn")</f>
        <v>Summer</v>
      </c>
      <c r="AB420" s="7" t="str">
        <f>TEXT(Z420, "mmmm")</f>
        <v>June</v>
      </c>
      <c r="AC420" s="1" t="str">
        <f>TEXT(Z420, "dddd")</f>
        <v>Monday</v>
      </c>
      <c r="AD420" s="4" t="s">
        <v>62</v>
      </c>
      <c r="AE420" s="4" t="s">
        <v>62</v>
      </c>
      <c r="AF420" s="4" t="s">
        <v>102</v>
      </c>
      <c r="AG420" s="4" t="s">
        <v>88</v>
      </c>
      <c r="AH420" s="3">
        <v>4</v>
      </c>
    </row>
    <row r="421" spans="1:34">
      <c r="A421" s="4" t="s">
        <v>943</v>
      </c>
      <c r="B421" s="3">
        <v>21</v>
      </c>
      <c r="C421" s="9" t="str" cm="1">
        <f t="array" ref="C421">_xlfn.IFS(B421&gt;65,"+65",B421&gt;54,"55-65",B421&gt;44,"45-54",B421&gt;35,"36-44",B421&gt;25,"26-35",B421&gt;=18,"18-25")</f>
        <v>18-25</v>
      </c>
      <c r="D421" s="4" t="s">
        <v>78</v>
      </c>
      <c r="E421" s="4" t="s">
        <v>51</v>
      </c>
      <c r="F421" s="4" t="s">
        <v>79</v>
      </c>
      <c r="G421" s="4" t="s">
        <v>68</v>
      </c>
      <c r="H421" s="4" t="s">
        <v>944</v>
      </c>
      <c r="I421" s="4" t="s">
        <v>70</v>
      </c>
      <c r="J421" s="5">
        <v>170.35</v>
      </c>
      <c r="K421" s="3">
        <v>10</v>
      </c>
      <c r="L421" s="4" t="str">
        <f>IF(AND(J421&gt;350,K421&gt;6), "True","False")</f>
        <v>False</v>
      </c>
      <c r="M421" s="4" t="s">
        <v>71</v>
      </c>
      <c r="N421" s="3">
        <v>2</v>
      </c>
      <c r="O421" s="4" t="str" cm="1">
        <f t="array" ref="O421">_xlfn.IFS(P421&lt;=2,"Poor",P421=3,"Average",P421&gt;=4,"Good")</f>
        <v>Poor</v>
      </c>
      <c r="P421" s="3">
        <v>1</v>
      </c>
      <c r="Q421" s="2">
        <v>1</v>
      </c>
      <c r="R421" s="4" t="s">
        <v>85</v>
      </c>
      <c r="S421" s="4" t="s">
        <v>73</v>
      </c>
      <c r="T421" s="3">
        <v>1</v>
      </c>
      <c r="U421" s="4" t="str" cm="1">
        <f t="array" ref="U421">_xlfn.IFS(V421&lt;=4, "Dissatisfied",V421&lt;=7,"Neutral",V421&gt;=8,"Satisfied")</f>
        <v>Satisfied</v>
      </c>
      <c r="V421" s="3">
        <v>10</v>
      </c>
      <c r="W421" s="4" t="s">
        <v>59</v>
      </c>
      <c r="X421" s="4" t="s">
        <v>101</v>
      </c>
      <c r="Y421" s="4" t="s">
        <v>61</v>
      </c>
      <c r="Z421" s="1">
        <v>45446</v>
      </c>
      <c r="AA421" s="4" t="str" cm="1">
        <f t="array" ref="AA421">_xlfn.IFS(OR(AB421="December", AB421="February", AB421="January"), "Winter", OR(AB421="March", AB421="April", AB421="May"), "Spring", OR(AB421="June", AB421="July", AB421="August"), "Summer", TRUE, "Autumn")</f>
        <v>Summer</v>
      </c>
      <c r="AB421" s="7" t="str">
        <f>TEXT(Z421, "mmmm")</f>
        <v>June</v>
      </c>
      <c r="AC421" s="1" t="str">
        <f>TEXT(Z421, "dddd")</f>
        <v>Monday</v>
      </c>
      <c r="AD421" s="4" t="s">
        <v>62</v>
      </c>
      <c r="AE421" s="4" t="s">
        <v>62</v>
      </c>
      <c r="AF421" s="4" t="s">
        <v>63</v>
      </c>
      <c r="AG421" s="4" t="s">
        <v>64</v>
      </c>
      <c r="AH421" s="3">
        <v>1</v>
      </c>
    </row>
    <row r="422" spans="1:34">
      <c r="A422" s="4" t="s">
        <v>945</v>
      </c>
      <c r="B422" s="3">
        <v>21</v>
      </c>
      <c r="C422" s="9" t="str" cm="1">
        <f t="array" ref="C422">_xlfn.IFS(B422&gt;65,"+65",B422&gt;54,"55-65",B422&gt;44,"45-54",B422&gt;35,"36-44",B422&gt;25,"26-35",B422&gt;=18,"18-25")</f>
        <v>18-25</v>
      </c>
      <c r="D422" s="4" t="s">
        <v>78</v>
      </c>
      <c r="E422" s="4" t="s">
        <v>51</v>
      </c>
      <c r="F422" s="4" t="s">
        <v>95</v>
      </c>
      <c r="G422" s="4" t="s">
        <v>68</v>
      </c>
      <c r="H422" s="4" t="s">
        <v>946</v>
      </c>
      <c r="I422" s="4" t="s">
        <v>91</v>
      </c>
      <c r="J422" s="5">
        <v>193.3</v>
      </c>
      <c r="K422" s="3">
        <v>11</v>
      </c>
      <c r="L422" s="4" t="str">
        <f>IF(AND(J422&gt;350,K422&gt;6), "True","False")</f>
        <v>False</v>
      </c>
      <c r="M422" s="4" t="s">
        <v>83</v>
      </c>
      <c r="N422" s="3">
        <v>4</v>
      </c>
      <c r="O422" s="4" t="str" cm="1">
        <f t="array" ref="O422">_xlfn.IFS(P422&lt;=2,"Poor",P422=3,"Average",P422&gt;=4,"Good")</f>
        <v>Poor</v>
      </c>
      <c r="P422" s="3">
        <v>2</v>
      </c>
      <c r="Q422" s="2">
        <v>2</v>
      </c>
      <c r="R422" s="4" t="s">
        <v>57</v>
      </c>
      <c r="S422" s="4" t="s">
        <v>73</v>
      </c>
      <c r="T422" s="3">
        <v>2</v>
      </c>
      <c r="U422" s="4" t="str" cm="1">
        <f t="array" ref="U422">_xlfn.IFS(V422&lt;=4, "Dissatisfied",V422&lt;=7,"Neutral",V422&gt;=8,"Satisfied")</f>
        <v>Dissatisfied</v>
      </c>
      <c r="V422" s="3">
        <v>1</v>
      </c>
      <c r="W422" s="4" t="s">
        <v>85</v>
      </c>
      <c r="X422" s="4" t="s">
        <v>74</v>
      </c>
      <c r="Y422" s="4" t="s">
        <v>111</v>
      </c>
      <c r="Z422" s="1">
        <v>45446</v>
      </c>
      <c r="AA422" s="4" t="str" cm="1">
        <f t="array" ref="AA422">_xlfn.IFS(OR(AB422="December", AB422="February", AB422="January"), "Winter", OR(AB422="March", AB422="April", AB422="May"), "Spring", OR(AB422="June", AB422="July", AB422="August"), "Summer", TRUE, "Autumn")</f>
        <v>Summer</v>
      </c>
      <c r="AB422" s="7" t="str">
        <f>TEXT(Z422, "mmmm")</f>
        <v>June</v>
      </c>
      <c r="AC422" s="1" t="str">
        <f>TEXT(Z422, "dddd")</f>
        <v>Monday</v>
      </c>
      <c r="AD422" s="4" t="s">
        <v>62</v>
      </c>
      <c r="AE422" s="4" t="s">
        <v>62</v>
      </c>
      <c r="AF422" s="4" t="s">
        <v>87</v>
      </c>
      <c r="AG422" s="4" t="s">
        <v>88</v>
      </c>
      <c r="AH422" s="3">
        <v>12</v>
      </c>
    </row>
    <row r="423" spans="1:34">
      <c r="A423" s="4" t="s">
        <v>947</v>
      </c>
      <c r="B423" s="3">
        <v>36</v>
      </c>
      <c r="C423" s="9" t="str" cm="1">
        <f t="array" ref="C423">_xlfn.IFS(B423&gt;65,"+65",B423&gt;54,"55-65",B423&gt;44,"45-54",B423&gt;35,"36-44",B423&gt;25,"26-35",B423&gt;=18,"18-25")</f>
        <v>36-44</v>
      </c>
      <c r="D423" s="4" t="s">
        <v>66</v>
      </c>
      <c r="E423" s="4" t="s">
        <v>51</v>
      </c>
      <c r="F423" s="4" t="s">
        <v>79</v>
      </c>
      <c r="G423" s="4" t="s">
        <v>68</v>
      </c>
      <c r="H423" s="4" t="s">
        <v>948</v>
      </c>
      <c r="I423" s="4" t="s">
        <v>275</v>
      </c>
      <c r="J423" s="5">
        <v>182.72</v>
      </c>
      <c r="K423" s="3">
        <v>5</v>
      </c>
      <c r="L423" s="4" t="str">
        <f>IF(AND(J423&gt;350,K423&gt;6), "True","False")</f>
        <v>False</v>
      </c>
      <c r="M423" s="4" t="s">
        <v>56</v>
      </c>
      <c r="N423" s="3">
        <v>2</v>
      </c>
      <c r="O423" s="4" t="str" cm="1">
        <f t="array" ref="O423">_xlfn.IFS(P423&lt;=2,"Poor",P423=3,"Average",P423&gt;=4,"Good")</f>
        <v>Poor</v>
      </c>
      <c r="P423" s="3">
        <v>1</v>
      </c>
      <c r="Q423" s="2">
        <v>2</v>
      </c>
      <c r="R423" s="4" t="s">
        <v>72</v>
      </c>
      <c r="S423" s="4" t="s">
        <v>73</v>
      </c>
      <c r="T423" s="3">
        <v>1</v>
      </c>
      <c r="U423" s="4" t="str" cm="1">
        <f t="array" ref="U423">_xlfn.IFS(V423&lt;=4, "Dissatisfied",V423&lt;=7,"Neutral",V423&gt;=8,"Satisfied")</f>
        <v>Neutral</v>
      </c>
      <c r="V423" s="3">
        <v>7</v>
      </c>
      <c r="W423" s="4" t="s">
        <v>57</v>
      </c>
      <c r="X423" s="4" t="s">
        <v>101</v>
      </c>
      <c r="Y423" s="4" t="s">
        <v>111</v>
      </c>
      <c r="Z423" s="1">
        <v>45447</v>
      </c>
      <c r="AA423" s="4" t="str" cm="1">
        <f t="array" ref="AA423">_xlfn.IFS(OR(AB423="December", AB423="February", AB423="January"), "Winter", OR(AB423="March", AB423="April", AB423="May"), "Spring", OR(AB423="June", AB423="July", AB423="August"), "Summer", TRUE, "Autumn")</f>
        <v>Summer</v>
      </c>
      <c r="AB423" s="7" t="str">
        <f>TEXT(Z423, "mmmm")</f>
        <v>June</v>
      </c>
      <c r="AC423" s="1" t="str">
        <f>TEXT(Z423, "dddd")</f>
        <v>Tuesday</v>
      </c>
      <c r="AD423" s="4" t="s">
        <v>76</v>
      </c>
      <c r="AE423" s="4" t="s">
        <v>76</v>
      </c>
      <c r="AF423" s="4" t="s">
        <v>92</v>
      </c>
      <c r="AG423" s="4" t="s">
        <v>88</v>
      </c>
      <c r="AH423" s="3">
        <v>13</v>
      </c>
    </row>
    <row r="424" spans="1:34">
      <c r="A424" s="4" t="s">
        <v>949</v>
      </c>
      <c r="B424" s="3">
        <v>33</v>
      </c>
      <c r="C424" s="9" t="str" cm="1">
        <f t="array" ref="C424">_xlfn.IFS(B424&gt;65,"+65",B424&gt;54,"55-65",B424&gt;44,"45-54",B424&gt;35,"36-44",B424&gt;25,"26-35",B424&gt;=18,"18-25")</f>
        <v>26-35</v>
      </c>
      <c r="D424" s="4" t="s">
        <v>50</v>
      </c>
      <c r="E424" s="4" t="s">
        <v>51</v>
      </c>
      <c r="F424" s="4" t="s">
        <v>79</v>
      </c>
      <c r="G424" s="4" t="s">
        <v>80</v>
      </c>
      <c r="H424" s="4" t="s">
        <v>950</v>
      </c>
      <c r="I424" s="4" t="s">
        <v>172</v>
      </c>
      <c r="J424" s="5">
        <v>444.05</v>
      </c>
      <c r="K424" s="3">
        <v>10</v>
      </c>
      <c r="L424" s="4" t="str">
        <f>IF(AND(J424&gt;350,K424&gt;6), "True","False")</f>
        <v>True</v>
      </c>
      <c r="M424" s="4" t="s">
        <v>56</v>
      </c>
      <c r="N424" s="3">
        <v>5</v>
      </c>
      <c r="O424" s="4" t="str" cm="1">
        <f t="array" ref="O424">_xlfn.IFS(P424&lt;=2,"Poor",P424=3,"Average",P424&gt;=4,"Good")</f>
        <v>Good</v>
      </c>
      <c r="P424" s="3">
        <v>4</v>
      </c>
      <c r="Q424" s="2">
        <v>0</v>
      </c>
      <c r="R424" s="4" t="s">
        <v>59</v>
      </c>
      <c r="S424" s="4" t="s">
        <v>58</v>
      </c>
      <c r="T424" s="3">
        <v>1</v>
      </c>
      <c r="U424" s="4" t="str" cm="1">
        <f t="array" ref="U424">_xlfn.IFS(V424&lt;=4, "Dissatisfied",V424&lt;=7,"Neutral",V424&gt;=8,"Satisfied")</f>
        <v>Satisfied</v>
      </c>
      <c r="V424" s="3">
        <v>8</v>
      </c>
      <c r="W424" s="4" t="s">
        <v>85</v>
      </c>
      <c r="X424" s="4" t="s">
        <v>101</v>
      </c>
      <c r="Y424" s="4" t="s">
        <v>86</v>
      </c>
      <c r="Z424" s="1">
        <v>45447</v>
      </c>
      <c r="AA424" s="4" t="str" cm="1">
        <f t="array" ref="AA424">_xlfn.IFS(OR(AB424="December", AB424="February", AB424="January"), "Winter", OR(AB424="March", AB424="April", AB424="May"), "Spring", OR(AB424="June", AB424="July", AB424="August"), "Summer", TRUE, "Autumn")</f>
        <v>Summer</v>
      </c>
      <c r="AB424" s="7" t="str">
        <f>TEXT(Z424, "mmmm")</f>
        <v>June</v>
      </c>
      <c r="AC424" s="1" t="str">
        <f>TEXT(Z424, "dddd")</f>
        <v>Tuesday</v>
      </c>
      <c r="AD424" s="4" t="s">
        <v>62</v>
      </c>
      <c r="AE424" s="4" t="s">
        <v>62</v>
      </c>
      <c r="AF424" s="4" t="s">
        <v>102</v>
      </c>
      <c r="AG424" s="4" t="s">
        <v>64</v>
      </c>
      <c r="AH424" s="3">
        <v>8</v>
      </c>
    </row>
    <row r="425" spans="1:34">
      <c r="A425" s="4" t="s">
        <v>951</v>
      </c>
      <c r="B425" s="3">
        <v>29</v>
      </c>
      <c r="C425" s="9" t="str" cm="1">
        <f t="array" ref="C425">_xlfn.IFS(B425&gt;65,"+65",B425&gt;54,"55-65",B425&gt;44,"45-54",B425&gt;35,"36-44",B425&gt;25,"26-35",B425&gt;=18,"18-25")</f>
        <v>26-35</v>
      </c>
      <c r="D425" s="4" t="s">
        <v>78</v>
      </c>
      <c r="E425" s="4" t="s">
        <v>51</v>
      </c>
      <c r="F425" s="4" t="s">
        <v>67</v>
      </c>
      <c r="G425" s="4" t="s">
        <v>80</v>
      </c>
      <c r="H425" s="4" t="s">
        <v>952</v>
      </c>
      <c r="I425" s="4" t="s">
        <v>151</v>
      </c>
      <c r="J425" s="5">
        <v>187.22</v>
      </c>
      <c r="K425" s="3">
        <v>10</v>
      </c>
      <c r="L425" s="4" t="str">
        <f>IF(AND(J425&gt;350,K425&gt;6), "True","False")</f>
        <v>False</v>
      </c>
      <c r="M425" s="4" t="s">
        <v>56</v>
      </c>
      <c r="N425" s="3">
        <v>5</v>
      </c>
      <c r="O425" s="4" t="str" cm="1">
        <f t="array" ref="O425">_xlfn.IFS(P425&lt;=2,"Poor",P425=3,"Average",P425&gt;=4,"Good")</f>
        <v>Average</v>
      </c>
      <c r="P425" s="3">
        <v>3</v>
      </c>
      <c r="Q425" s="2">
        <v>0</v>
      </c>
      <c r="R425" s="4" t="s">
        <v>85</v>
      </c>
      <c r="S425" s="4" t="s">
        <v>73</v>
      </c>
      <c r="T425" s="3">
        <v>1</v>
      </c>
      <c r="U425" s="4" t="str" cm="1">
        <f t="array" ref="U425">_xlfn.IFS(V425&lt;=4, "Dissatisfied",V425&lt;=7,"Neutral",V425&gt;=8,"Satisfied")</f>
        <v>Dissatisfied</v>
      </c>
      <c r="V425" s="3">
        <v>4</v>
      </c>
      <c r="W425" s="4" t="s">
        <v>59</v>
      </c>
      <c r="X425" s="4" t="s">
        <v>101</v>
      </c>
      <c r="Y425" s="4" t="s">
        <v>119</v>
      </c>
      <c r="Z425" s="1">
        <v>45447</v>
      </c>
      <c r="AA425" s="4" t="str" cm="1">
        <f t="array" ref="AA425">_xlfn.IFS(OR(AB425="December", AB425="February", AB425="January"), "Winter", OR(AB425="March", AB425="April", AB425="May"), "Spring", OR(AB425="June", AB425="July", AB425="August"), "Summer", TRUE, "Autumn")</f>
        <v>Summer</v>
      </c>
      <c r="AB425" s="7" t="str">
        <f>TEXT(Z425, "mmmm")</f>
        <v>June</v>
      </c>
      <c r="AC425" s="1" t="str">
        <f>TEXT(Z425, "dddd")</f>
        <v>Tuesday</v>
      </c>
      <c r="AD425" s="4" t="s">
        <v>76</v>
      </c>
      <c r="AE425" s="4" t="s">
        <v>76</v>
      </c>
      <c r="AF425" s="4" t="s">
        <v>102</v>
      </c>
      <c r="AG425" s="4" t="s">
        <v>64</v>
      </c>
      <c r="AH425" s="3">
        <v>4</v>
      </c>
    </row>
    <row r="426" spans="1:34">
      <c r="A426" s="4" t="s">
        <v>953</v>
      </c>
      <c r="B426" s="3">
        <v>41</v>
      </c>
      <c r="C426" s="9" t="str" cm="1">
        <f t="array" ref="C426">_xlfn.IFS(B426&gt;65,"+65",B426&gt;54,"55-65",B426&gt;44,"45-54",B426&gt;35,"36-44",B426&gt;25,"26-35",B426&gt;=18,"18-25")</f>
        <v>36-44</v>
      </c>
      <c r="D426" s="4" t="s">
        <v>78</v>
      </c>
      <c r="E426" s="4" t="s">
        <v>72</v>
      </c>
      <c r="F426" s="4" t="s">
        <v>67</v>
      </c>
      <c r="G426" s="4" t="s">
        <v>53</v>
      </c>
      <c r="H426" s="4" t="s">
        <v>954</v>
      </c>
      <c r="I426" s="4" t="s">
        <v>169</v>
      </c>
      <c r="J426" s="5">
        <v>446.11</v>
      </c>
      <c r="K426" s="3">
        <v>9</v>
      </c>
      <c r="L426" s="4" t="str">
        <f>IF(AND(J426&gt;350,K426&gt;6), "True","False")</f>
        <v>True</v>
      </c>
      <c r="M426" s="4" t="s">
        <v>83</v>
      </c>
      <c r="N426" s="3">
        <v>3</v>
      </c>
      <c r="O426" s="4" t="str" cm="1">
        <f t="array" ref="O426">_xlfn.IFS(P426&lt;=2,"Poor",P426=3,"Average",P426&gt;=4,"Good")</f>
        <v>Poor</v>
      </c>
      <c r="P426" s="3">
        <v>1</v>
      </c>
      <c r="Q426" s="2">
        <v>1</v>
      </c>
      <c r="R426" s="4" t="s">
        <v>85</v>
      </c>
      <c r="S426" s="4" t="s">
        <v>73</v>
      </c>
      <c r="T426" s="3">
        <v>0</v>
      </c>
      <c r="U426" s="4" t="str" cm="1">
        <f t="array" ref="U426">_xlfn.IFS(V426&lt;=4, "Dissatisfied",V426&lt;=7,"Neutral",V426&gt;=8,"Satisfied")</f>
        <v>Satisfied</v>
      </c>
      <c r="V426" s="3">
        <v>10</v>
      </c>
      <c r="W426" s="4" t="s">
        <v>85</v>
      </c>
      <c r="X426" s="4" t="s">
        <v>101</v>
      </c>
      <c r="Y426" s="4" t="s">
        <v>86</v>
      </c>
      <c r="Z426" s="1">
        <v>45449</v>
      </c>
      <c r="AA426" s="4" t="str" cm="1">
        <f t="array" ref="AA426">_xlfn.IFS(OR(AB426="December", AB426="February", AB426="January"), "Winter", OR(AB426="March", AB426="April", AB426="May"), "Spring", OR(AB426="June", AB426="July", AB426="August"), "Summer", TRUE, "Autumn")</f>
        <v>Summer</v>
      </c>
      <c r="AB426" s="7" t="str">
        <f>TEXT(Z426, "mmmm")</f>
        <v>June</v>
      </c>
      <c r="AC426" s="1" t="str">
        <f>TEXT(Z426, "dddd")</f>
        <v>Thursday</v>
      </c>
      <c r="AD426" s="4" t="s">
        <v>62</v>
      </c>
      <c r="AE426" s="4" t="s">
        <v>62</v>
      </c>
      <c r="AF426" s="4" t="s">
        <v>102</v>
      </c>
      <c r="AG426" s="4" t="s">
        <v>93</v>
      </c>
      <c r="AH426" s="3">
        <v>11</v>
      </c>
    </row>
    <row r="427" spans="1:34">
      <c r="A427" s="4" t="s">
        <v>955</v>
      </c>
      <c r="B427" s="3">
        <v>29</v>
      </c>
      <c r="C427" s="9" t="str" cm="1">
        <f t="array" ref="C427">_xlfn.IFS(B427&gt;65,"+65",B427&gt;54,"55-65",B427&gt;44,"45-54",B427&gt;35,"36-44",B427&gt;25,"26-35",B427&gt;=18,"18-25")</f>
        <v>26-35</v>
      </c>
      <c r="D427" s="4" t="s">
        <v>66</v>
      </c>
      <c r="E427" s="4" t="s">
        <v>51</v>
      </c>
      <c r="F427" s="4" t="s">
        <v>95</v>
      </c>
      <c r="G427" s="4" t="s">
        <v>68</v>
      </c>
      <c r="H427" s="4" t="s">
        <v>956</v>
      </c>
      <c r="I427" s="4" t="s">
        <v>234</v>
      </c>
      <c r="J427" s="5">
        <v>266.61</v>
      </c>
      <c r="K427" s="3">
        <v>3</v>
      </c>
      <c r="L427" s="4" t="str">
        <f>IF(AND(J427&gt;350,K427&gt;6), "True","False")</f>
        <v>False</v>
      </c>
      <c r="M427" s="4" t="s">
        <v>56</v>
      </c>
      <c r="N427" s="3">
        <v>3</v>
      </c>
      <c r="O427" s="4" t="str" cm="1">
        <f t="array" ref="O427">_xlfn.IFS(P427&lt;=2,"Poor",P427=3,"Average",P427&gt;=4,"Good")</f>
        <v>Poor</v>
      </c>
      <c r="P427" s="3">
        <v>1</v>
      </c>
      <c r="Q427" s="2">
        <v>1</v>
      </c>
      <c r="R427" s="4" t="s">
        <v>85</v>
      </c>
      <c r="S427" s="4" t="s">
        <v>73</v>
      </c>
      <c r="T427" s="3">
        <v>2</v>
      </c>
      <c r="U427" s="4" t="str" cm="1">
        <f t="array" ref="U427">_xlfn.IFS(V427&lt;=4, "Dissatisfied",V427&lt;=7,"Neutral",V427&gt;=8,"Satisfied")</f>
        <v>Satisfied</v>
      </c>
      <c r="V427" s="3">
        <v>8</v>
      </c>
      <c r="W427" s="4" t="s">
        <v>57</v>
      </c>
      <c r="X427" s="4" t="s">
        <v>74</v>
      </c>
      <c r="Y427" s="4" t="s">
        <v>75</v>
      </c>
      <c r="Z427" s="1">
        <v>45449</v>
      </c>
      <c r="AA427" s="4" t="str" cm="1">
        <f t="array" ref="AA427">_xlfn.IFS(OR(AB427="December", AB427="February", AB427="January"), "Winter", OR(AB427="March", AB427="April", AB427="May"), "Spring", OR(AB427="June", AB427="July", AB427="August"), "Summer", TRUE, "Autumn")</f>
        <v>Summer</v>
      </c>
      <c r="AB427" s="7" t="str">
        <f>TEXT(Z427, "mmmm")</f>
        <v>June</v>
      </c>
      <c r="AC427" s="1" t="str">
        <f>TEXT(Z427, "dddd")</f>
        <v>Thursday</v>
      </c>
      <c r="AD427" s="4" t="s">
        <v>62</v>
      </c>
      <c r="AE427" s="4" t="s">
        <v>76</v>
      </c>
      <c r="AF427" s="4" t="s">
        <v>63</v>
      </c>
      <c r="AG427" s="4" t="s">
        <v>64</v>
      </c>
      <c r="AH427" s="3">
        <v>7</v>
      </c>
    </row>
    <row r="428" spans="1:34">
      <c r="A428" s="4" t="s">
        <v>957</v>
      </c>
      <c r="B428" s="3">
        <v>29</v>
      </c>
      <c r="C428" s="9" t="str" cm="1">
        <f t="array" ref="C428">_xlfn.IFS(B428&gt;65,"+65",B428&gt;54,"55-65",B428&gt;44,"45-54",B428&gt;35,"36-44",B428&gt;25,"26-35",B428&gt;=18,"18-25")</f>
        <v>26-35</v>
      </c>
      <c r="D428" s="4" t="s">
        <v>66</v>
      </c>
      <c r="E428" s="4" t="s">
        <v>51</v>
      </c>
      <c r="F428" s="4" t="s">
        <v>79</v>
      </c>
      <c r="G428" s="4" t="s">
        <v>68</v>
      </c>
      <c r="H428" s="4" t="s">
        <v>958</v>
      </c>
      <c r="I428" s="4" t="s">
        <v>105</v>
      </c>
      <c r="J428" s="5">
        <v>430.9</v>
      </c>
      <c r="K428" s="3">
        <v>8</v>
      </c>
      <c r="L428" s="4" t="str">
        <f>IF(AND(J428&gt;350,K428&gt;6), "True","False")</f>
        <v>True</v>
      </c>
      <c r="M428" s="4" t="s">
        <v>56</v>
      </c>
      <c r="N428" s="3">
        <v>4</v>
      </c>
      <c r="O428" s="4" t="str" cm="1">
        <f t="array" ref="O428">_xlfn.IFS(P428&lt;=2,"Poor",P428=3,"Average",P428&gt;=4,"Good")</f>
        <v>Good</v>
      </c>
      <c r="P428" s="3">
        <v>5</v>
      </c>
      <c r="Q428" s="2">
        <v>1</v>
      </c>
      <c r="R428" s="4" t="s">
        <v>72</v>
      </c>
      <c r="S428" s="4" t="s">
        <v>58</v>
      </c>
      <c r="T428" s="3">
        <v>0</v>
      </c>
      <c r="U428" s="4" t="str" cm="1">
        <f t="array" ref="U428">_xlfn.IFS(V428&lt;=4, "Dissatisfied",V428&lt;=7,"Neutral",V428&gt;=8,"Satisfied")</f>
        <v>Neutral</v>
      </c>
      <c r="V428" s="3">
        <v>6</v>
      </c>
      <c r="W428" s="4" t="s">
        <v>57</v>
      </c>
      <c r="X428" s="4" t="s">
        <v>74</v>
      </c>
      <c r="Y428" s="4" t="s">
        <v>119</v>
      </c>
      <c r="Z428" s="1">
        <v>45449</v>
      </c>
      <c r="AA428" s="4" t="str" cm="1">
        <f t="array" ref="AA428">_xlfn.IFS(OR(AB428="December", AB428="February", AB428="January"), "Winter", OR(AB428="March", AB428="April", AB428="May"), "Spring", OR(AB428="June", AB428="July", AB428="August"), "Summer", TRUE, "Autumn")</f>
        <v>Summer</v>
      </c>
      <c r="AB428" s="7" t="str">
        <f>TEXT(Z428, "mmmm")</f>
        <v>June</v>
      </c>
      <c r="AC428" s="1" t="str">
        <f>TEXT(Z428, "dddd")</f>
        <v>Thursday</v>
      </c>
      <c r="AD428" s="4" t="s">
        <v>76</v>
      </c>
      <c r="AE428" s="4" t="s">
        <v>76</v>
      </c>
      <c r="AF428" s="4" t="s">
        <v>102</v>
      </c>
      <c r="AG428" s="4" t="s">
        <v>64</v>
      </c>
      <c r="AH428" s="3">
        <v>11</v>
      </c>
    </row>
    <row r="429" spans="1:34">
      <c r="A429" s="4" t="s">
        <v>959</v>
      </c>
      <c r="B429" s="3">
        <v>26</v>
      </c>
      <c r="C429" s="9" t="str" cm="1">
        <f t="array" ref="C429">_xlfn.IFS(B429&gt;65,"+65",B429&gt;54,"55-65",B429&gt;44,"45-54",B429&gt;35,"36-44",B429&gt;25,"26-35",B429&gt;=18,"18-25")</f>
        <v>26-35</v>
      </c>
      <c r="D429" s="4" t="s">
        <v>66</v>
      </c>
      <c r="E429" s="4" t="s">
        <v>51</v>
      </c>
      <c r="F429" s="4" t="s">
        <v>67</v>
      </c>
      <c r="G429" s="4" t="s">
        <v>80</v>
      </c>
      <c r="H429" s="4" t="s">
        <v>960</v>
      </c>
      <c r="I429" s="4" t="s">
        <v>110</v>
      </c>
      <c r="J429" s="5">
        <v>121.57</v>
      </c>
      <c r="K429" s="3">
        <v>4</v>
      </c>
      <c r="L429" s="4" t="str">
        <f>IF(AND(J429&gt;350,K429&gt;6), "True","False")</f>
        <v>False</v>
      </c>
      <c r="M429" s="4" t="s">
        <v>83</v>
      </c>
      <c r="N429" s="3">
        <v>1</v>
      </c>
      <c r="O429" s="4" t="str" cm="1">
        <f t="array" ref="O429">_xlfn.IFS(P429&lt;=2,"Poor",P429=3,"Average",P429&gt;=4,"Good")</f>
        <v>Good</v>
      </c>
      <c r="P429" s="3">
        <v>5</v>
      </c>
      <c r="Q429" s="2">
        <v>0</v>
      </c>
      <c r="R429" s="4" t="s">
        <v>72</v>
      </c>
      <c r="S429" s="4" t="s">
        <v>58</v>
      </c>
      <c r="T429" s="3">
        <v>0</v>
      </c>
      <c r="U429" s="4" t="str" cm="1">
        <f t="array" ref="U429">_xlfn.IFS(V429&lt;=4, "Dissatisfied",V429&lt;=7,"Neutral",V429&gt;=8,"Satisfied")</f>
        <v>Dissatisfied</v>
      </c>
      <c r="V429" s="3">
        <v>4</v>
      </c>
      <c r="W429" s="4" t="s">
        <v>72</v>
      </c>
      <c r="X429" s="4" t="s">
        <v>101</v>
      </c>
      <c r="Y429" s="4" t="s">
        <v>111</v>
      </c>
      <c r="Z429" s="1">
        <v>45449</v>
      </c>
      <c r="AA429" s="4" t="str" cm="1">
        <f t="array" ref="AA429">_xlfn.IFS(OR(AB429="December", AB429="February", AB429="January"), "Winter", OR(AB429="March", AB429="April", AB429="May"), "Spring", OR(AB429="June", AB429="July", AB429="August"), "Summer", TRUE, "Autumn")</f>
        <v>Summer</v>
      </c>
      <c r="AB429" s="7" t="str">
        <f>TEXT(Z429, "mmmm")</f>
        <v>June</v>
      </c>
      <c r="AC429" s="1" t="str">
        <f>TEXT(Z429, "dddd")</f>
        <v>Thursday</v>
      </c>
      <c r="AD429" s="4" t="s">
        <v>76</v>
      </c>
      <c r="AE429" s="4" t="s">
        <v>62</v>
      </c>
      <c r="AF429" s="4" t="s">
        <v>92</v>
      </c>
      <c r="AG429" s="4" t="s">
        <v>88</v>
      </c>
      <c r="AH429" s="3">
        <v>13</v>
      </c>
    </row>
    <row r="430" spans="1:34">
      <c r="A430" s="4" t="s">
        <v>961</v>
      </c>
      <c r="B430" s="3">
        <v>27</v>
      </c>
      <c r="C430" s="9" t="str" cm="1">
        <f t="array" ref="C430">_xlfn.IFS(B430&gt;65,"+65",B430&gt;54,"55-65",B430&gt;44,"45-54",B430&gt;35,"36-44",B430&gt;25,"26-35",B430&gt;=18,"18-25")</f>
        <v>26-35</v>
      </c>
      <c r="D430" s="4" t="s">
        <v>66</v>
      </c>
      <c r="E430" s="4" t="s">
        <v>72</v>
      </c>
      <c r="F430" s="4" t="s">
        <v>52</v>
      </c>
      <c r="G430" s="4" t="s">
        <v>68</v>
      </c>
      <c r="H430" s="4" t="s">
        <v>962</v>
      </c>
      <c r="I430" s="4" t="s">
        <v>118</v>
      </c>
      <c r="J430" s="5">
        <v>461.81</v>
      </c>
      <c r="K430" s="3">
        <v>12</v>
      </c>
      <c r="L430" s="4" t="str">
        <f>IF(AND(J430&gt;350,K430&gt;6), "True","False")</f>
        <v>True</v>
      </c>
      <c r="M430" s="4" t="s">
        <v>83</v>
      </c>
      <c r="N430" s="3">
        <v>4</v>
      </c>
      <c r="O430" s="4" t="str" cm="1">
        <f t="array" ref="O430">_xlfn.IFS(P430&lt;=2,"Poor",P430=3,"Average",P430&gt;=4,"Good")</f>
        <v>Average</v>
      </c>
      <c r="P430" s="3">
        <v>3</v>
      </c>
      <c r="Q430" s="2">
        <v>0</v>
      </c>
      <c r="R430" s="4" t="s">
        <v>85</v>
      </c>
      <c r="S430" s="4" t="s">
        <v>73</v>
      </c>
      <c r="T430" s="3">
        <v>0</v>
      </c>
      <c r="U430" s="4" t="str" cm="1">
        <f t="array" ref="U430">_xlfn.IFS(V430&lt;=4, "Dissatisfied",V430&lt;=7,"Neutral",V430&gt;=8,"Satisfied")</f>
        <v>Satisfied</v>
      </c>
      <c r="V430" s="3">
        <v>8</v>
      </c>
      <c r="W430" s="4" t="s">
        <v>59</v>
      </c>
      <c r="X430" s="4" t="s">
        <v>101</v>
      </c>
      <c r="Y430" s="4" t="s">
        <v>111</v>
      </c>
      <c r="Z430" s="1">
        <v>45450</v>
      </c>
      <c r="AA430" s="4" t="str" cm="1">
        <f t="array" ref="AA430">_xlfn.IFS(OR(AB430="December", AB430="February", AB430="January"), "Winter", OR(AB430="March", AB430="April", AB430="May"), "Spring", OR(AB430="June", AB430="July", AB430="August"), "Summer", TRUE, "Autumn")</f>
        <v>Summer</v>
      </c>
      <c r="AB430" s="7" t="str">
        <f>TEXT(Z430, "mmmm")</f>
        <v>June</v>
      </c>
      <c r="AC430" s="1" t="str">
        <f>TEXT(Z430, "dddd")</f>
        <v>Friday</v>
      </c>
      <c r="AD430" s="4" t="s">
        <v>62</v>
      </c>
      <c r="AE430" s="4" t="s">
        <v>76</v>
      </c>
      <c r="AF430" s="4" t="s">
        <v>102</v>
      </c>
      <c r="AG430" s="4" t="s">
        <v>88</v>
      </c>
      <c r="AH430" s="3">
        <v>8</v>
      </c>
    </row>
    <row r="431" spans="1:34">
      <c r="A431" s="4" t="s">
        <v>963</v>
      </c>
      <c r="B431" s="3">
        <v>38</v>
      </c>
      <c r="C431" s="9" t="str" cm="1">
        <f t="array" ref="C431">_xlfn.IFS(B431&gt;65,"+65",B431&gt;54,"55-65",B431&gt;44,"45-54",B431&gt;35,"36-44",B431&gt;25,"26-35",B431&gt;=18,"18-25")</f>
        <v>36-44</v>
      </c>
      <c r="D431" s="4" t="s">
        <v>66</v>
      </c>
      <c r="E431" s="4" t="s">
        <v>72</v>
      </c>
      <c r="F431" s="4" t="s">
        <v>52</v>
      </c>
      <c r="G431" s="4" t="s">
        <v>53</v>
      </c>
      <c r="H431" s="4" t="s">
        <v>964</v>
      </c>
      <c r="I431" s="4" t="s">
        <v>97</v>
      </c>
      <c r="J431" s="5">
        <v>496.11</v>
      </c>
      <c r="K431" s="3">
        <v>2</v>
      </c>
      <c r="L431" s="4" t="str">
        <f>IF(AND(J431&gt;350,K431&gt;6), "True","False")</f>
        <v>False</v>
      </c>
      <c r="M431" s="4" t="s">
        <v>83</v>
      </c>
      <c r="N431" s="3">
        <v>2</v>
      </c>
      <c r="O431" s="4" t="str" cm="1">
        <f t="array" ref="O431">_xlfn.IFS(P431&lt;=2,"Poor",P431=3,"Average",P431&gt;=4,"Good")</f>
        <v>Average</v>
      </c>
      <c r="P431" s="3">
        <v>3</v>
      </c>
      <c r="Q431" s="2">
        <v>1</v>
      </c>
      <c r="R431" s="4" t="s">
        <v>72</v>
      </c>
      <c r="S431" s="4" t="s">
        <v>84</v>
      </c>
      <c r="T431" s="3">
        <v>2</v>
      </c>
      <c r="U431" s="4" t="str" cm="1">
        <f t="array" ref="U431">_xlfn.IFS(V431&lt;=4, "Dissatisfied",V431&lt;=7,"Neutral",V431&gt;=8,"Satisfied")</f>
        <v>Satisfied</v>
      </c>
      <c r="V431" s="3">
        <v>8</v>
      </c>
      <c r="W431" s="4" t="s">
        <v>72</v>
      </c>
      <c r="X431" s="4" t="s">
        <v>60</v>
      </c>
      <c r="Y431" s="4" t="s">
        <v>86</v>
      </c>
      <c r="Z431" s="1">
        <v>45451</v>
      </c>
      <c r="AA431" s="4" t="str" cm="1">
        <f t="array" ref="AA431">_xlfn.IFS(OR(AB431="December", AB431="February", AB431="January"), "Winter", OR(AB431="March", AB431="April", AB431="May"), "Spring", OR(AB431="June", AB431="July", AB431="August"), "Summer", TRUE, "Autumn")</f>
        <v>Summer</v>
      </c>
      <c r="AB431" s="7" t="str">
        <f>TEXT(Z431, "mmmm")</f>
        <v>June</v>
      </c>
      <c r="AC431" s="1" t="str">
        <f>TEXT(Z431, "dddd")</f>
        <v>Saturday</v>
      </c>
      <c r="AD431" s="4" t="s">
        <v>62</v>
      </c>
      <c r="AE431" s="4" t="s">
        <v>76</v>
      </c>
      <c r="AF431" s="4" t="s">
        <v>92</v>
      </c>
      <c r="AG431" s="4" t="s">
        <v>64</v>
      </c>
      <c r="AH431" s="3">
        <v>12</v>
      </c>
    </row>
    <row r="432" spans="1:34">
      <c r="A432" s="4" t="s">
        <v>965</v>
      </c>
      <c r="B432" s="3">
        <v>25</v>
      </c>
      <c r="C432" s="9" t="str" cm="1">
        <f t="array" ref="C432">_xlfn.IFS(B432&gt;65,"+65",B432&gt;54,"55-65",B432&gt;44,"45-54",B432&gt;35,"36-44",B432&gt;25,"26-35",B432&gt;=18,"18-25")</f>
        <v>18-25</v>
      </c>
      <c r="D432" s="4" t="s">
        <v>66</v>
      </c>
      <c r="E432" s="4" t="s">
        <v>51</v>
      </c>
      <c r="F432" s="4" t="s">
        <v>67</v>
      </c>
      <c r="G432" s="4" t="s">
        <v>80</v>
      </c>
      <c r="H432" s="4" t="s">
        <v>966</v>
      </c>
      <c r="I432" s="4" t="s">
        <v>234</v>
      </c>
      <c r="J432" s="5">
        <v>138.88</v>
      </c>
      <c r="K432" s="3">
        <v>7</v>
      </c>
      <c r="L432" s="4" t="str">
        <f>IF(AND(J432&gt;350,K432&gt;6), "True","False")</f>
        <v>False</v>
      </c>
      <c r="M432" s="4" t="s">
        <v>71</v>
      </c>
      <c r="N432" s="3">
        <v>2</v>
      </c>
      <c r="O432" s="4" t="str" cm="1">
        <f t="array" ref="O432">_xlfn.IFS(P432&lt;=2,"Poor",P432=3,"Average",P432&gt;=4,"Good")</f>
        <v>Good</v>
      </c>
      <c r="P432" s="3">
        <v>4</v>
      </c>
      <c r="Q432" s="2">
        <v>1</v>
      </c>
      <c r="R432" s="4" t="s">
        <v>57</v>
      </c>
      <c r="S432" s="4" t="s">
        <v>58</v>
      </c>
      <c r="T432" s="3">
        <v>1</v>
      </c>
      <c r="U432" s="4" t="str" cm="1">
        <f t="array" ref="U432">_xlfn.IFS(V432&lt;=4, "Dissatisfied",V432&lt;=7,"Neutral",V432&gt;=8,"Satisfied")</f>
        <v>Dissatisfied</v>
      </c>
      <c r="V432" s="3">
        <v>3</v>
      </c>
      <c r="W432" s="4" t="s">
        <v>57</v>
      </c>
      <c r="X432" s="4" t="s">
        <v>74</v>
      </c>
      <c r="Y432" s="4" t="s">
        <v>61</v>
      </c>
      <c r="Z432" s="1">
        <v>45451</v>
      </c>
      <c r="AA432" s="4" t="str" cm="1">
        <f t="array" ref="AA432">_xlfn.IFS(OR(AB432="December", AB432="February", AB432="January"), "Winter", OR(AB432="March", AB432="April", AB432="May"), "Spring", OR(AB432="June", AB432="July", AB432="August"), "Summer", TRUE, "Autumn")</f>
        <v>Summer</v>
      </c>
      <c r="AB432" s="7" t="str">
        <f>TEXT(Z432, "mmmm")</f>
        <v>June</v>
      </c>
      <c r="AC432" s="1" t="str">
        <f>TEXT(Z432, "dddd")</f>
        <v>Saturday</v>
      </c>
      <c r="AD432" s="4" t="s">
        <v>62</v>
      </c>
      <c r="AE432" s="4" t="s">
        <v>76</v>
      </c>
      <c r="AF432" s="4" t="s">
        <v>87</v>
      </c>
      <c r="AG432" s="4" t="s">
        <v>88</v>
      </c>
      <c r="AH432" s="3">
        <v>4</v>
      </c>
    </row>
    <row r="433" spans="1:34">
      <c r="A433" s="4" t="s">
        <v>967</v>
      </c>
      <c r="B433" s="3">
        <v>36</v>
      </c>
      <c r="C433" s="9" t="str" cm="1">
        <f t="array" ref="C433">_xlfn.IFS(B433&gt;65,"+65",B433&gt;54,"55-65",B433&gt;44,"45-54",B433&gt;35,"36-44",B433&gt;25,"26-35",B433&gt;=18,"18-25")</f>
        <v>36-44</v>
      </c>
      <c r="D433" s="4" t="s">
        <v>78</v>
      </c>
      <c r="E433" s="4" t="s">
        <v>51</v>
      </c>
      <c r="F433" s="4" t="s">
        <v>95</v>
      </c>
      <c r="G433" s="4" t="s">
        <v>53</v>
      </c>
      <c r="H433" s="4" t="s">
        <v>968</v>
      </c>
      <c r="I433" s="4" t="s">
        <v>91</v>
      </c>
      <c r="J433" s="5">
        <v>235.32</v>
      </c>
      <c r="K433" s="3">
        <v>7</v>
      </c>
      <c r="L433" s="4" t="str">
        <f>IF(AND(J433&gt;350,K433&gt;6), "True","False")</f>
        <v>False</v>
      </c>
      <c r="M433" s="4" t="s">
        <v>56</v>
      </c>
      <c r="N433" s="3">
        <v>2</v>
      </c>
      <c r="O433" s="4" t="str" cm="1">
        <f t="array" ref="O433">_xlfn.IFS(P433&lt;=2,"Poor",P433=3,"Average",P433&gt;=4,"Good")</f>
        <v>Poor</v>
      </c>
      <c r="P433" s="3">
        <v>1</v>
      </c>
      <c r="Q433" s="2">
        <v>1</v>
      </c>
      <c r="R433" s="4" t="s">
        <v>85</v>
      </c>
      <c r="S433" s="4" t="s">
        <v>73</v>
      </c>
      <c r="T433" s="3">
        <v>1</v>
      </c>
      <c r="U433" s="4" t="str" cm="1">
        <f t="array" ref="U433">_xlfn.IFS(V433&lt;=4, "Dissatisfied",V433&lt;=7,"Neutral",V433&gt;=8,"Satisfied")</f>
        <v>Satisfied</v>
      </c>
      <c r="V433" s="3">
        <v>10</v>
      </c>
      <c r="W433" s="4" t="s">
        <v>72</v>
      </c>
      <c r="X433" s="4" t="s">
        <v>101</v>
      </c>
      <c r="Y433" s="4" t="s">
        <v>86</v>
      </c>
      <c r="Z433" s="1">
        <v>45452</v>
      </c>
      <c r="AA433" s="4" t="str" cm="1">
        <f t="array" ref="AA433">_xlfn.IFS(OR(AB433="December", AB433="February", AB433="January"), "Winter", OR(AB433="March", AB433="April", AB433="May"), "Spring", OR(AB433="June", AB433="July", AB433="August"), "Summer", TRUE, "Autumn")</f>
        <v>Summer</v>
      </c>
      <c r="AB433" s="7" t="str">
        <f>TEXT(Z433, "mmmm")</f>
        <v>June</v>
      </c>
      <c r="AC433" s="1" t="str">
        <f>TEXT(Z433, "dddd")</f>
        <v>Sunday</v>
      </c>
      <c r="AD433" s="4" t="s">
        <v>76</v>
      </c>
      <c r="AE433" s="4" t="s">
        <v>62</v>
      </c>
      <c r="AF433" s="4" t="s">
        <v>92</v>
      </c>
      <c r="AG433" s="4" t="s">
        <v>93</v>
      </c>
      <c r="AH433" s="3">
        <v>11</v>
      </c>
    </row>
    <row r="434" spans="1:34">
      <c r="A434" s="4" t="s">
        <v>969</v>
      </c>
      <c r="B434" s="3">
        <v>29</v>
      </c>
      <c r="C434" s="9" t="str" cm="1">
        <f t="array" ref="C434">_xlfn.IFS(B434&gt;65,"+65",B434&gt;54,"55-65",B434&gt;44,"45-54",B434&gt;35,"36-44",B434&gt;25,"26-35",B434&gt;=18,"18-25")</f>
        <v>26-35</v>
      </c>
      <c r="D434" s="4" t="s">
        <v>78</v>
      </c>
      <c r="E434" s="4" t="s">
        <v>51</v>
      </c>
      <c r="F434" s="4" t="s">
        <v>52</v>
      </c>
      <c r="G434" s="4" t="s">
        <v>68</v>
      </c>
      <c r="H434" s="4" t="s">
        <v>970</v>
      </c>
      <c r="I434" s="4" t="s">
        <v>97</v>
      </c>
      <c r="J434" s="5">
        <v>483.38</v>
      </c>
      <c r="K434" s="3">
        <v>9</v>
      </c>
      <c r="L434" s="4" t="str">
        <f>IF(AND(J434&gt;350,K434&gt;6), "True","False")</f>
        <v>True</v>
      </c>
      <c r="M434" s="4" t="s">
        <v>56</v>
      </c>
      <c r="N434" s="3">
        <v>2</v>
      </c>
      <c r="O434" s="4" t="str" cm="1">
        <f t="array" ref="O434">_xlfn.IFS(P434&lt;=2,"Poor",P434=3,"Average",P434&gt;=4,"Good")</f>
        <v>Poor</v>
      </c>
      <c r="P434" s="3">
        <v>1</v>
      </c>
      <c r="Q434" s="2">
        <v>0</v>
      </c>
      <c r="R434" s="4" t="s">
        <v>72</v>
      </c>
      <c r="S434" s="4" t="s">
        <v>84</v>
      </c>
      <c r="T434" s="3">
        <v>2</v>
      </c>
      <c r="U434" s="4" t="str" cm="1">
        <f t="array" ref="U434">_xlfn.IFS(V434&lt;=4, "Dissatisfied",V434&lt;=7,"Neutral",V434&gt;=8,"Satisfied")</f>
        <v>Dissatisfied</v>
      </c>
      <c r="V434" s="3">
        <v>3</v>
      </c>
      <c r="W434" s="4" t="s">
        <v>72</v>
      </c>
      <c r="X434" s="4" t="s">
        <v>101</v>
      </c>
      <c r="Y434" s="4" t="s">
        <v>111</v>
      </c>
      <c r="Z434" s="1">
        <v>45452</v>
      </c>
      <c r="AA434" s="4" t="str" cm="1">
        <f t="array" ref="AA434">_xlfn.IFS(OR(AB434="December", AB434="February", AB434="January"), "Winter", OR(AB434="March", AB434="April", AB434="May"), "Spring", OR(AB434="June", AB434="July", AB434="August"), "Summer", TRUE, "Autumn")</f>
        <v>Summer</v>
      </c>
      <c r="AB434" s="7" t="str">
        <f>TEXT(Z434, "mmmm")</f>
        <v>June</v>
      </c>
      <c r="AC434" s="1" t="str">
        <f>TEXT(Z434, "dddd")</f>
        <v>Sunday</v>
      </c>
      <c r="AD434" s="4" t="s">
        <v>76</v>
      </c>
      <c r="AE434" s="4" t="s">
        <v>62</v>
      </c>
      <c r="AF434" s="4" t="s">
        <v>63</v>
      </c>
      <c r="AG434" s="4" t="s">
        <v>64</v>
      </c>
      <c r="AH434" s="3">
        <v>8</v>
      </c>
    </row>
    <row r="435" spans="1:34">
      <c r="A435" s="4" t="s">
        <v>971</v>
      </c>
      <c r="B435" s="3">
        <v>28</v>
      </c>
      <c r="C435" s="9" t="str" cm="1">
        <f t="array" ref="C435">_xlfn.IFS(B435&gt;65,"+65",B435&gt;54,"55-65",B435&gt;44,"45-54",B435&gt;35,"36-44",B435&gt;25,"26-35",B435&gt;=18,"18-25")</f>
        <v>26-35</v>
      </c>
      <c r="D435" s="4" t="s">
        <v>66</v>
      </c>
      <c r="E435" s="4" t="s">
        <v>51</v>
      </c>
      <c r="F435" s="4" t="s">
        <v>52</v>
      </c>
      <c r="G435" s="4" t="s">
        <v>68</v>
      </c>
      <c r="H435" s="4" t="s">
        <v>972</v>
      </c>
      <c r="I435" s="4" t="s">
        <v>194</v>
      </c>
      <c r="J435" s="5">
        <v>327.32</v>
      </c>
      <c r="K435" s="3">
        <v>6</v>
      </c>
      <c r="L435" s="4" t="str">
        <f>IF(AND(J435&gt;350,K435&gt;6), "True","False")</f>
        <v>False</v>
      </c>
      <c r="M435" s="4" t="s">
        <v>83</v>
      </c>
      <c r="N435" s="3">
        <v>4</v>
      </c>
      <c r="O435" s="4" t="str" cm="1">
        <f t="array" ref="O435">_xlfn.IFS(P435&lt;=2,"Poor",P435=3,"Average",P435&gt;=4,"Good")</f>
        <v>Good</v>
      </c>
      <c r="P435" s="3">
        <v>5</v>
      </c>
      <c r="Q435" s="2">
        <v>0</v>
      </c>
      <c r="R435" s="4" t="s">
        <v>57</v>
      </c>
      <c r="S435" s="4" t="s">
        <v>84</v>
      </c>
      <c r="T435" s="3">
        <v>0</v>
      </c>
      <c r="U435" s="4" t="str" cm="1">
        <f t="array" ref="U435">_xlfn.IFS(V435&lt;=4, "Dissatisfied",V435&lt;=7,"Neutral",V435&gt;=8,"Satisfied")</f>
        <v>Dissatisfied</v>
      </c>
      <c r="V435" s="3">
        <v>4</v>
      </c>
      <c r="W435" s="4" t="s">
        <v>72</v>
      </c>
      <c r="X435" s="4" t="s">
        <v>74</v>
      </c>
      <c r="Y435" s="4" t="s">
        <v>111</v>
      </c>
      <c r="Z435" s="1">
        <v>45452</v>
      </c>
      <c r="AA435" s="4" t="str" cm="1">
        <f t="array" ref="AA435">_xlfn.IFS(OR(AB435="December", AB435="February", AB435="January"), "Winter", OR(AB435="March", AB435="April", AB435="May"), "Spring", OR(AB435="June", AB435="July", AB435="August"), "Summer", TRUE, "Autumn")</f>
        <v>Summer</v>
      </c>
      <c r="AB435" s="7" t="str">
        <f>TEXT(Z435, "mmmm")</f>
        <v>June</v>
      </c>
      <c r="AC435" s="1" t="str">
        <f>TEXT(Z435, "dddd")</f>
        <v>Sunday</v>
      </c>
      <c r="AD435" s="4" t="s">
        <v>62</v>
      </c>
      <c r="AE435" s="4" t="s">
        <v>62</v>
      </c>
      <c r="AF435" s="4" t="s">
        <v>92</v>
      </c>
      <c r="AG435" s="4" t="s">
        <v>93</v>
      </c>
      <c r="AH435" s="3">
        <v>13</v>
      </c>
    </row>
    <row r="436" spans="1:34">
      <c r="A436" s="4" t="s">
        <v>973</v>
      </c>
      <c r="B436" s="3">
        <v>41</v>
      </c>
      <c r="C436" s="9" t="str" cm="1">
        <f t="array" ref="C436">_xlfn.IFS(B436&gt;65,"+65",B436&gt;54,"55-65",B436&gt;44,"45-54",B436&gt;35,"36-44",B436&gt;25,"26-35",B436&gt;=18,"18-25")</f>
        <v>36-44</v>
      </c>
      <c r="D436" s="4" t="s">
        <v>66</v>
      </c>
      <c r="E436" s="4" t="s">
        <v>72</v>
      </c>
      <c r="F436" s="4" t="s">
        <v>67</v>
      </c>
      <c r="G436" s="4" t="s">
        <v>80</v>
      </c>
      <c r="H436" s="4" t="s">
        <v>974</v>
      </c>
      <c r="I436" s="4" t="s">
        <v>151</v>
      </c>
      <c r="J436" s="5">
        <v>356.22</v>
      </c>
      <c r="K436" s="3">
        <v>7</v>
      </c>
      <c r="L436" s="4" t="str">
        <f>IF(AND(J436&gt;350,K436&gt;6), "True","False")</f>
        <v>True</v>
      </c>
      <c r="M436" s="4" t="s">
        <v>71</v>
      </c>
      <c r="N436" s="3">
        <v>2</v>
      </c>
      <c r="O436" s="4" t="str" cm="1">
        <f t="array" ref="O436">_xlfn.IFS(P436&lt;=2,"Poor",P436=3,"Average",P436&gt;=4,"Good")</f>
        <v>Good</v>
      </c>
      <c r="P436" s="3">
        <v>5</v>
      </c>
      <c r="Q436" s="2">
        <v>0</v>
      </c>
      <c r="R436" s="4" t="s">
        <v>85</v>
      </c>
      <c r="S436" s="4" t="s">
        <v>73</v>
      </c>
      <c r="T436" s="3">
        <v>1</v>
      </c>
      <c r="U436" s="4" t="str" cm="1">
        <f t="array" ref="U436">_xlfn.IFS(V436&lt;=4, "Dissatisfied",V436&lt;=7,"Neutral",V436&gt;=8,"Satisfied")</f>
        <v>Neutral</v>
      </c>
      <c r="V436" s="3">
        <v>7</v>
      </c>
      <c r="W436" s="4" t="s">
        <v>72</v>
      </c>
      <c r="X436" s="4" t="s">
        <v>60</v>
      </c>
      <c r="Y436" s="4" t="s">
        <v>119</v>
      </c>
      <c r="Z436" s="1">
        <v>45453</v>
      </c>
      <c r="AA436" s="4" t="str" cm="1">
        <f t="array" ref="AA436">_xlfn.IFS(OR(AB436="December", AB436="February", AB436="January"), "Winter", OR(AB436="March", AB436="April", AB436="May"), "Spring", OR(AB436="June", AB436="July", AB436="August"), "Summer", TRUE, "Autumn")</f>
        <v>Summer</v>
      </c>
      <c r="AB436" s="7" t="str">
        <f>TEXT(Z436, "mmmm")</f>
        <v>June</v>
      </c>
      <c r="AC436" s="1" t="str">
        <f>TEXT(Z436, "dddd")</f>
        <v>Monday</v>
      </c>
      <c r="AD436" s="4" t="s">
        <v>76</v>
      </c>
      <c r="AE436" s="4" t="s">
        <v>62</v>
      </c>
      <c r="AF436" s="4" t="s">
        <v>87</v>
      </c>
      <c r="AG436" s="4" t="s">
        <v>93</v>
      </c>
      <c r="AH436" s="3">
        <v>6</v>
      </c>
    </row>
    <row r="437" spans="1:34">
      <c r="A437" s="4" t="s">
        <v>975</v>
      </c>
      <c r="B437" s="3">
        <v>24</v>
      </c>
      <c r="C437" s="9" t="str" cm="1">
        <f t="array" ref="C437">_xlfn.IFS(B437&gt;65,"+65",B437&gt;54,"55-65",B437&gt;44,"45-54",B437&gt;35,"36-44",B437&gt;25,"26-35",B437&gt;=18,"18-25")</f>
        <v>18-25</v>
      </c>
      <c r="D437" s="4" t="s">
        <v>78</v>
      </c>
      <c r="E437" s="4" t="s">
        <v>72</v>
      </c>
      <c r="F437" s="4" t="s">
        <v>95</v>
      </c>
      <c r="G437" s="4" t="s">
        <v>68</v>
      </c>
      <c r="H437" s="4" t="s">
        <v>976</v>
      </c>
      <c r="I437" s="4" t="s">
        <v>105</v>
      </c>
      <c r="J437" s="5">
        <v>201.96</v>
      </c>
      <c r="K437" s="3">
        <v>8</v>
      </c>
      <c r="L437" s="4" t="str">
        <f>IF(AND(J437&gt;350,K437&gt;6), "True","False")</f>
        <v>False</v>
      </c>
      <c r="M437" s="4" t="s">
        <v>71</v>
      </c>
      <c r="N437" s="3">
        <v>3</v>
      </c>
      <c r="O437" s="4" t="str" cm="1">
        <f t="array" ref="O437">_xlfn.IFS(P437&lt;=2,"Poor",P437=3,"Average",P437&gt;=4,"Good")</f>
        <v>Good</v>
      </c>
      <c r="P437" s="3">
        <v>5</v>
      </c>
      <c r="Q437" s="2">
        <v>0</v>
      </c>
      <c r="R437" s="4" t="s">
        <v>59</v>
      </c>
      <c r="S437" s="4" t="s">
        <v>73</v>
      </c>
      <c r="T437" s="3">
        <v>1</v>
      </c>
      <c r="U437" s="4" t="str" cm="1">
        <f t="array" ref="U437">_xlfn.IFS(V437&lt;=4, "Dissatisfied",V437&lt;=7,"Neutral",V437&gt;=8,"Satisfied")</f>
        <v>Dissatisfied</v>
      </c>
      <c r="V437" s="3">
        <v>2</v>
      </c>
      <c r="W437" s="4" t="s">
        <v>72</v>
      </c>
      <c r="X437" s="4" t="s">
        <v>101</v>
      </c>
      <c r="Y437" s="4" t="s">
        <v>61</v>
      </c>
      <c r="Z437" s="1">
        <v>45453</v>
      </c>
      <c r="AA437" s="4" t="str" cm="1">
        <f t="array" ref="AA437">_xlfn.IFS(OR(AB437="December", AB437="February", AB437="January"), "Winter", OR(AB437="March", AB437="April", AB437="May"), "Spring", OR(AB437="June", AB437="July", AB437="August"), "Summer", TRUE, "Autumn")</f>
        <v>Summer</v>
      </c>
      <c r="AB437" s="7" t="str">
        <f>TEXT(Z437, "mmmm")</f>
        <v>June</v>
      </c>
      <c r="AC437" s="1" t="str">
        <f>TEXT(Z437, "dddd")</f>
        <v>Monday</v>
      </c>
      <c r="AD437" s="4" t="s">
        <v>76</v>
      </c>
      <c r="AE437" s="4" t="s">
        <v>76</v>
      </c>
      <c r="AF437" s="4" t="s">
        <v>63</v>
      </c>
      <c r="AG437" s="4" t="s">
        <v>64</v>
      </c>
      <c r="AH437" s="3">
        <v>7</v>
      </c>
    </row>
    <row r="438" spans="1:34">
      <c r="A438" s="4" t="s">
        <v>977</v>
      </c>
      <c r="B438" s="3">
        <v>41</v>
      </c>
      <c r="C438" s="9" t="str" cm="1">
        <f t="array" ref="C438">_xlfn.IFS(B438&gt;65,"+65",B438&gt;54,"55-65",B438&gt;44,"45-54",B438&gt;35,"36-44",B438&gt;25,"26-35",B438&gt;=18,"18-25")</f>
        <v>36-44</v>
      </c>
      <c r="D438" s="4" t="s">
        <v>66</v>
      </c>
      <c r="E438" s="4" t="s">
        <v>51</v>
      </c>
      <c r="F438" s="4" t="s">
        <v>79</v>
      </c>
      <c r="G438" s="4" t="s">
        <v>80</v>
      </c>
      <c r="H438" s="4" t="s">
        <v>978</v>
      </c>
      <c r="I438" s="4" t="s">
        <v>133</v>
      </c>
      <c r="J438" s="5">
        <v>144.38999999999999</v>
      </c>
      <c r="K438" s="3">
        <v>12</v>
      </c>
      <c r="L438" s="4" t="str">
        <f>IF(AND(J438&gt;350,K438&gt;6), "True","False")</f>
        <v>False</v>
      </c>
      <c r="M438" s="4" t="s">
        <v>71</v>
      </c>
      <c r="N438" s="3">
        <v>5</v>
      </c>
      <c r="O438" s="4" t="str" cm="1">
        <f t="array" ref="O438">_xlfn.IFS(P438&lt;=2,"Poor",P438=3,"Average",P438&gt;=4,"Good")</f>
        <v>Average</v>
      </c>
      <c r="P438" s="3">
        <v>3</v>
      </c>
      <c r="Q438" s="2">
        <v>2</v>
      </c>
      <c r="R438" s="4" t="s">
        <v>72</v>
      </c>
      <c r="S438" s="4" t="s">
        <v>73</v>
      </c>
      <c r="T438" s="3">
        <v>0</v>
      </c>
      <c r="U438" s="4" t="str" cm="1">
        <f t="array" ref="U438">_xlfn.IFS(V438&lt;=4, "Dissatisfied",V438&lt;=7,"Neutral",V438&gt;=8,"Satisfied")</f>
        <v>Dissatisfied</v>
      </c>
      <c r="V438" s="3">
        <v>4</v>
      </c>
      <c r="W438" s="4" t="s">
        <v>59</v>
      </c>
      <c r="X438" s="4" t="s">
        <v>101</v>
      </c>
      <c r="Y438" s="4" t="s">
        <v>61</v>
      </c>
      <c r="Z438" s="1">
        <v>45454</v>
      </c>
      <c r="AA438" s="4" t="str" cm="1">
        <f t="array" ref="AA438">_xlfn.IFS(OR(AB438="December", AB438="February", AB438="January"), "Winter", OR(AB438="March", AB438="April", AB438="May"), "Spring", OR(AB438="June", AB438="July", AB438="August"), "Summer", TRUE, "Autumn")</f>
        <v>Summer</v>
      </c>
      <c r="AB438" s="7" t="str">
        <f>TEXT(Z438, "mmmm")</f>
        <v>June</v>
      </c>
      <c r="AC438" s="1" t="str">
        <f>TEXT(Z438, "dddd")</f>
        <v>Tuesday</v>
      </c>
      <c r="AD438" s="4" t="s">
        <v>62</v>
      </c>
      <c r="AE438" s="4" t="s">
        <v>62</v>
      </c>
      <c r="AF438" s="4" t="s">
        <v>92</v>
      </c>
      <c r="AG438" s="4" t="s">
        <v>64</v>
      </c>
      <c r="AH438" s="3">
        <v>12</v>
      </c>
    </row>
    <row r="439" spans="1:34">
      <c r="A439" s="4" t="s">
        <v>979</v>
      </c>
      <c r="B439" s="3">
        <v>31</v>
      </c>
      <c r="C439" s="9" t="str" cm="1">
        <f t="array" ref="C439">_xlfn.IFS(B439&gt;65,"+65",B439&gt;54,"55-65",B439&gt;44,"45-54",B439&gt;35,"36-44",B439&gt;25,"26-35",B439&gt;=18,"18-25")</f>
        <v>26-35</v>
      </c>
      <c r="D439" s="4" t="s">
        <v>78</v>
      </c>
      <c r="E439" s="4" t="s">
        <v>51</v>
      </c>
      <c r="F439" s="4" t="s">
        <v>79</v>
      </c>
      <c r="G439" s="4" t="s">
        <v>80</v>
      </c>
      <c r="H439" s="4" t="s">
        <v>980</v>
      </c>
      <c r="I439" s="4" t="s">
        <v>55</v>
      </c>
      <c r="J439" s="5">
        <v>238.58</v>
      </c>
      <c r="K439" s="3">
        <v>6</v>
      </c>
      <c r="L439" s="4" t="str">
        <f>IF(AND(J439&gt;350,K439&gt;6), "True","False")</f>
        <v>False</v>
      </c>
      <c r="M439" s="4" t="s">
        <v>56</v>
      </c>
      <c r="N439" s="3">
        <v>3</v>
      </c>
      <c r="O439" s="4" t="str" cm="1">
        <f t="array" ref="O439">_xlfn.IFS(P439&lt;=2,"Poor",P439=3,"Average",P439&gt;=4,"Good")</f>
        <v>Poor</v>
      </c>
      <c r="P439" s="3">
        <v>2</v>
      </c>
      <c r="Q439" s="2">
        <v>2</v>
      </c>
      <c r="R439" s="4" t="s">
        <v>85</v>
      </c>
      <c r="S439" s="4" t="s">
        <v>73</v>
      </c>
      <c r="T439" s="3">
        <v>2</v>
      </c>
      <c r="U439" s="4" t="str" cm="1">
        <f t="array" ref="U439">_xlfn.IFS(V439&lt;=4, "Dissatisfied",V439&lt;=7,"Neutral",V439&gt;=8,"Satisfied")</f>
        <v>Satisfied</v>
      </c>
      <c r="V439" s="3">
        <v>9</v>
      </c>
      <c r="W439" s="4" t="s">
        <v>85</v>
      </c>
      <c r="X439" s="4" t="s">
        <v>74</v>
      </c>
      <c r="Y439" s="4" t="s">
        <v>86</v>
      </c>
      <c r="Z439" s="1">
        <v>45454</v>
      </c>
      <c r="AA439" s="4" t="str" cm="1">
        <f t="array" ref="AA439">_xlfn.IFS(OR(AB439="December", AB439="February", AB439="January"), "Winter", OR(AB439="March", AB439="April", AB439="May"), "Spring", OR(AB439="June", AB439="July", AB439="August"), "Summer", TRUE, "Autumn")</f>
        <v>Summer</v>
      </c>
      <c r="AB439" s="7" t="str">
        <f>TEXT(Z439, "mmmm")</f>
        <v>June</v>
      </c>
      <c r="AC439" s="1" t="str">
        <f>TEXT(Z439, "dddd")</f>
        <v>Tuesday</v>
      </c>
      <c r="AD439" s="4" t="s">
        <v>62</v>
      </c>
      <c r="AE439" s="4" t="s">
        <v>62</v>
      </c>
      <c r="AF439" s="4" t="s">
        <v>102</v>
      </c>
      <c r="AG439" s="4" t="s">
        <v>64</v>
      </c>
      <c r="AH439" s="3">
        <v>8</v>
      </c>
    </row>
    <row r="440" spans="1:34">
      <c r="A440" s="4" t="s">
        <v>981</v>
      </c>
      <c r="B440" s="3">
        <v>25</v>
      </c>
      <c r="C440" s="9" t="str" cm="1">
        <f t="array" ref="C440">_xlfn.IFS(B440&gt;65,"+65",B440&gt;54,"55-65",B440&gt;44,"45-54",B440&gt;35,"36-44",B440&gt;25,"26-35",B440&gt;=18,"18-25")</f>
        <v>18-25</v>
      </c>
      <c r="D440" s="4" t="s">
        <v>78</v>
      </c>
      <c r="E440" s="4" t="s">
        <v>51</v>
      </c>
      <c r="F440" s="4" t="s">
        <v>67</v>
      </c>
      <c r="G440" s="4" t="s">
        <v>53</v>
      </c>
      <c r="H440" s="4" t="s">
        <v>982</v>
      </c>
      <c r="I440" s="4" t="s">
        <v>110</v>
      </c>
      <c r="J440" s="5">
        <v>166</v>
      </c>
      <c r="K440" s="3">
        <v>10</v>
      </c>
      <c r="L440" s="4" t="str">
        <f>IF(AND(J440&gt;350,K440&gt;6), "True","False")</f>
        <v>False</v>
      </c>
      <c r="M440" s="4" t="s">
        <v>56</v>
      </c>
      <c r="N440" s="3">
        <v>5</v>
      </c>
      <c r="O440" s="4" t="str" cm="1">
        <f t="array" ref="O440">_xlfn.IFS(P440&lt;=2,"Poor",P440=3,"Average",P440&gt;=4,"Good")</f>
        <v>Average</v>
      </c>
      <c r="P440" s="3">
        <v>3</v>
      </c>
      <c r="Q440" s="2">
        <v>0</v>
      </c>
      <c r="R440" s="4" t="s">
        <v>72</v>
      </c>
      <c r="S440" s="4" t="s">
        <v>58</v>
      </c>
      <c r="T440" s="3">
        <v>2</v>
      </c>
      <c r="U440" s="4" t="str" cm="1">
        <f t="array" ref="U440">_xlfn.IFS(V440&lt;=4, "Dissatisfied",V440&lt;=7,"Neutral",V440&gt;=8,"Satisfied")</f>
        <v>Satisfied</v>
      </c>
      <c r="V440" s="3">
        <v>10</v>
      </c>
      <c r="W440" s="4" t="s">
        <v>85</v>
      </c>
      <c r="X440" s="4" t="s">
        <v>60</v>
      </c>
      <c r="Y440" s="4" t="s">
        <v>86</v>
      </c>
      <c r="Z440" s="1">
        <v>45454</v>
      </c>
      <c r="AA440" s="4" t="str" cm="1">
        <f t="array" ref="AA440">_xlfn.IFS(OR(AB440="December", AB440="February", AB440="January"), "Winter", OR(AB440="March", AB440="April", AB440="May"), "Spring", OR(AB440="June", AB440="July", AB440="August"), "Summer", TRUE, "Autumn")</f>
        <v>Summer</v>
      </c>
      <c r="AB440" s="7" t="str">
        <f>TEXT(Z440, "mmmm")</f>
        <v>June</v>
      </c>
      <c r="AC440" s="1" t="str">
        <f>TEXT(Z440, "dddd")</f>
        <v>Tuesday</v>
      </c>
      <c r="AD440" s="4" t="s">
        <v>76</v>
      </c>
      <c r="AE440" s="4" t="s">
        <v>76</v>
      </c>
      <c r="AF440" s="4" t="s">
        <v>92</v>
      </c>
      <c r="AG440" s="4" t="s">
        <v>93</v>
      </c>
      <c r="AH440" s="3">
        <v>5</v>
      </c>
    </row>
    <row r="441" spans="1:34">
      <c r="A441" s="4" t="s">
        <v>983</v>
      </c>
      <c r="B441" s="3">
        <v>45</v>
      </c>
      <c r="C441" s="9" t="str" cm="1">
        <f t="array" ref="C441">_xlfn.IFS(B441&gt;65,"+65",B441&gt;54,"55-65",B441&gt;44,"45-54",B441&gt;35,"36-44",B441&gt;25,"26-35",B441&gt;=18,"18-25")</f>
        <v>45-54</v>
      </c>
      <c r="D441" s="4" t="s">
        <v>66</v>
      </c>
      <c r="E441" s="4" t="s">
        <v>51</v>
      </c>
      <c r="F441" s="4" t="s">
        <v>95</v>
      </c>
      <c r="G441" s="4" t="s">
        <v>80</v>
      </c>
      <c r="H441" s="4" t="s">
        <v>984</v>
      </c>
      <c r="I441" s="4" t="s">
        <v>133</v>
      </c>
      <c r="J441" s="5">
        <v>257.86</v>
      </c>
      <c r="K441" s="3">
        <v>6</v>
      </c>
      <c r="L441" s="4" t="str">
        <f>IF(AND(J441&gt;350,K441&gt;6), "True","False")</f>
        <v>False</v>
      </c>
      <c r="M441" s="4" t="s">
        <v>56</v>
      </c>
      <c r="N441" s="3">
        <v>2</v>
      </c>
      <c r="O441" s="4" t="str" cm="1">
        <f t="array" ref="O441">_xlfn.IFS(P441&lt;=2,"Poor",P441=3,"Average",P441&gt;=4,"Good")</f>
        <v>Poor</v>
      </c>
      <c r="P441" s="3">
        <v>2</v>
      </c>
      <c r="Q441" s="2">
        <v>0</v>
      </c>
      <c r="R441" s="4" t="s">
        <v>57</v>
      </c>
      <c r="S441" s="4" t="s">
        <v>84</v>
      </c>
      <c r="T441" s="3">
        <v>0</v>
      </c>
      <c r="U441" s="4" t="str" cm="1">
        <f t="array" ref="U441">_xlfn.IFS(V441&lt;=4, "Dissatisfied",V441&lt;=7,"Neutral",V441&gt;=8,"Satisfied")</f>
        <v>Dissatisfied</v>
      </c>
      <c r="V441" s="3">
        <v>4</v>
      </c>
      <c r="W441" s="4" t="s">
        <v>72</v>
      </c>
      <c r="X441" s="4" t="s">
        <v>74</v>
      </c>
      <c r="Y441" s="4" t="s">
        <v>86</v>
      </c>
      <c r="Z441" s="1">
        <v>45455</v>
      </c>
      <c r="AA441" s="4" t="str" cm="1">
        <f t="array" ref="AA441">_xlfn.IFS(OR(AB441="December", AB441="February", AB441="January"), "Winter", OR(AB441="March", AB441="April", AB441="May"), "Spring", OR(AB441="June", AB441="July", AB441="August"), "Summer", TRUE, "Autumn")</f>
        <v>Summer</v>
      </c>
      <c r="AB441" s="7" t="str">
        <f>TEXT(Z441, "mmmm")</f>
        <v>June</v>
      </c>
      <c r="AC441" s="1" t="str">
        <f>TEXT(Z441, "dddd")</f>
        <v>Wednesday</v>
      </c>
      <c r="AD441" s="4" t="s">
        <v>62</v>
      </c>
      <c r="AE441" s="4" t="s">
        <v>62</v>
      </c>
      <c r="AF441" s="4" t="s">
        <v>63</v>
      </c>
      <c r="AG441" s="4" t="s">
        <v>93</v>
      </c>
      <c r="AH441" s="3">
        <v>1</v>
      </c>
    </row>
    <row r="442" spans="1:34">
      <c r="A442" s="4" t="s">
        <v>985</v>
      </c>
      <c r="B442" s="3">
        <v>29</v>
      </c>
      <c r="C442" s="9" t="str" cm="1">
        <f t="array" ref="C442">_xlfn.IFS(B442&gt;65,"+65",B442&gt;54,"55-65",B442&gt;44,"45-54",B442&gt;35,"36-44",B442&gt;25,"26-35",B442&gt;=18,"18-25")</f>
        <v>26-35</v>
      </c>
      <c r="D442" s="4" t="s">
        <v>66</v>
      </c>
      <c r="E442" s="4" t="s">
        <v>51</v>
      </c>
      <c r="F442" s="4" t="s">
        <v>79</v>
      </c>
      <c r="G442" s="4" t="s">
        <v>80</v>
      </c>
      <c r="H442" s="4" t="s">
        <v>986</v>
      </c>
      <c r="I442" s="4" t="s">
        <v>105</v>
      </c>
      <c r="J442" s="5">
        <v>449.13</v>
      </c>
      <c r="K442" s="3">
        <v>9</v>
      </c>
      <c r="L442" s="4" t="str">
        <f>IF(AND(J442&gt;350,K442&gt;6), "True","False")</f>
        <v>True</v>
      </c>
      <c r="M442" s="4" t="s">
        <v>71</v>
      </c>
      <c r="N442" s="3">
        <v>2</v>
      </c>
      <c r="O442" s="4" t="str" cm="1">
        <f t="array" ref="O442">_xlfn.IFS(P442&lt;=2,"Poor",P442=3,"Average",P442&gt;=4,"Good")</f>
        <v>Poor</v>
      </c>
      <c r="P442" s="3">
        <v>1</v>
      </c>
      <c r="Q442" s="2">
        <v>0.5</v>
      </c>
      <c r="R442" s="4" t="s">
        <v>85</v>
      </c>
      <c r="S442" s="4" t="s">
        <v>58</v>
      </c>
      <c r="T442" s="3">
        <v>2</v>
      </c>
      <c r="U442" s="4" t="str" cm="1">
        <f t="array" ref="U442">_xlfn.IFS(V442&lt;=4, "Dissatisfied",V442&lt;=7,"Neutral",V442&gt;=8,"Satisfied")</f>
        <v>Dissatisfied</v>
      </c>
      <c r="V442" s="3">
        <v>2</v>
      </c>
      <c r="W442" s="4" t="s">
        <v>59</v>
      </c>
      <c r="X442" s="4" t="s">
        <v>74</v>
      </c>
      <c r="Y442" s="4" t="s">
        <v>119</v>
      </c>
      <c r="Z442" s="1">
        <v>45455</v>
      </c>
      <c r="AA442" s="4" t="str" cm="1">
        <f t="array" ref="AA442">_xlfn.IFS(OR(AB442="December", AB442="February", AB442="January"), "Winter", OR(AB442="March", AB442="April", AB442="May"), "Spring", OR(AB442="June", AB442="July", AB442="August"), "Summer", TRUE, "Autumn")</f>
        <v>Summer</v>
      </c>
      <c r="AB442" s="7" t="str">
        <f>TEXT(Z442, "mmmm")</f>
        <v>June</v>
      </c>
      <c r="AC442" s="1" t="str">
        <f>TEXT(Z442, "dddd")</f>
        <v>Wednesday</v>
      </c>
      <c r="AD442" s="4" t="s">
        <v>76</v>
      </c>
      <c r="AE442" s="4" t="s">
        <v>76</v>
      </c>
      <c r="AF442" s="4" t="s">
        <v>87</v>
      </c>
      <c r="AG442" s="4" t="s">
        <v>88</v>
      </c>
      <c r="AH442" s="3">
        <v>14</v>
      </c>
    </row>
    <row r="443" spans="1:34">
      <c r="A443" s="4" t="s">
        <v>987</v>
      </c>
      <c r="B443" s="3">
        <v>28</v>
      </c>
      <c r="C443" s="9" t="str" cm="1">
        <f t="array" ref="C443">_xlfn.IFS(B443&gt;65,"+65",B443&gt;54,"55-65",B443&gt;44,"45-54",B443&gt;35,"36-44",B443&gt;25,"26-35",B443&gt;=18,"18-25")</f>
        <v>26-35</v>
      </c>
      <c r="D443" s="4" t="s">
        <v>78</v>
      </c>
      <c r="E443" s="4" t="s">
        <v>72</v>
      </c>
      <c r="F443" s="4" t="s">
        <v>67</v>
      </c>
      <c r="G443" s="4" t="s">
        <v>53</v>
      </c>
      <c r="H443" s="4" t="s">
        <v>988</v>
      </c>
      <c r="I443" s="4" t="s">
        <v>151</v>
      </c>
      <c r="J443" s="5">
        <v>446.69</v>
      </c>
      <c r="K443" s="3">
        <v>7</v>
      </c>
      <c r="L443" s="4" t="str">
        <f>IF(AND(J443&gt;350,K443&gt;6), "True","False")</f>
        <v>True</v>
      </c>
      <c r="M443" s="4" t="s">
        <v>71</v>
      </c>
      <c r="N443" s="3">
        <v>4</v>
      </c>
      <c r="O443" s="4" t="str" cm="1">
        <f t="array" ref="O443">_xlfn.IFS(P443&lt;=2,"Poor",P443=3,"Average",P443&gt;=4,"Good")</f>
        <v>Good</v>
      </c>
      <c r="P443" s="3">
        <v>5</v>
      </c>
      <c r="Q443" s="2">
        <v>2</v>
      </c>
      <c r="R443" s="4" t="s">
        <v>85</v>
      </c>
      <c r="S443" s="4" t="s">
        <v>84</v>
      </c>
      <c r="T443" s="3">
        <v>1</v>
      </c>
      <c r="U443" s="4" t="str" cm="1">
        <f t="array" ref="U443">_xlfn.IFS(V443&lt;=4, "Dissatisfied",V443&lt;=7,"Neutral",V443&gt;=8,"Satisfied")</f>
        <v>Neutral</v>
      </c>
      <c r="V443" s="3">
        <v>5</v>
      </c>
      <c r="W443" s="4" t="s">
        <v>72</v>
      </c>
      <c r="X443" s="4" t="s">
        <v>60</v>
      </c>
      <c r="Y443" s="4" t="s">
        <v>61</v>
      </c>
      <c r="Z443" s="1">
        <v>45455</v>
      </c>
      <c r="AA443" s="4" t="str" cm="1">
        <f t="array" ref="AA443">_xlfn.IFS(OR(AB443="December", AB443="February", AB443="January"), "Winter", OR(AB443="March", AB443="April", AB443="May"), "Spring", OR(AB443="June", AB443="July", AB443="August"), "Summer", TRUE, "Autumn")</f>
        <v>Summer</v>
      </c>
      <c r="AB443" s="7" t="str">
        <f>TEXT(Z443, "mmmm")</f>
        <v>June</v>
      </c>
      <c r="AC443" s="1" t="str">
        <f>TEXT(Z443, "dddd")</f>
        <v>Wednesday</v>
      </c>
      <c r="AD443" s="4" t="s">
        <v>76</v>
      </c>
      <c r="AE443" s="4" t="s">
        <v>62</v>
      </c>
      <c r="AF443" s="4" t="s">
        <v>87</v>
      </c>
      <c r="AG443" s="4" t="s">
        <v>88</v>
      </c>
      <c r="AH443" s="3">
        <v>13</v>
      </c>
    </row>
    <row r="444" spans="1:34">
      <c r="A444" s="4" t="s">
        <v>989</v>
      </c>
      <c r="B444" s="3">
        <v>42</v>
      </c>
      <c r="C444" s="9" t="str" cm="1">
        <f t="array" ref="C444">_xlfn.IFS(B444&gt;65,"+65",B444&gt;54,"55-65",B444&gt;44,"45-54",B444&gt;35,"36-44",B444&gt;25,"26-35",B444&gt;=18,"18-25")</f>
        <v>36-44</v>
      </c>
      <c r="D444" s="4" t="s">
        <v>160</v>
      </c>
      <c r="E444" s="4" t="s">
        <v>51</v>
      </c>
      <c r="F444" s="4" t="s">
        <v>52</v>
      </c>
      <c r="G444" s="4" t="s">
        <v>80</v>
      </c>
      <c r="H444" s="4" t="s">
        <v>990</v>
      </c>
      <c r="I444" s="4" t="s">
        <v>100</v>
      </c>
      <c r="J444" s="5">
        <v>354.16</v>
      </c>
      <c r="K444" s="3">
        <v>8</v>
      </c>
      <c r="L444" s="4" t="str">
        <f>IF(AND(J444&gt;350,K444&gt;6), "True","False")</f>
        <v>True</v>
      </c>
      <c r="M444" s="4" t="s">
        <v>71</v>
      </c>
      <c r="N444" s="3">
        <v>1</v>
      </c>
      <c r="O444" s="4" t="str" cm="1">
        <f t="array" ref="O444">_xlfn.IFS(P444&lt;=2,"Poor",P444=3,"Average",P444&gt;=4,"Good")</f>
        <v>Poor</v>
      </c>
      <c r="P444" s="3">
        <v>1</v>
      </c>
      <c r="Q444" s="2">
        <v>1</v>
      </c>
      <c r="R444" s="4" t="s">
        <v>59</v>
      </c>
      <c r="S444" s="4" t="s">
        <v>58</v>
      </c>
      <c r="T444" s="3">
        <v>2</v>
      </c>
      <c r="U444" s="4" t="str" cm="1">
        <f t="array" ref="U444">_xlfn.IFS(V444&lt;=4, "Dissatisfied",V444&lt;=7,"Neutral",V444&gt;=8,"Satisfied")</f>
        <v>Dissatisfied</v>
      </c>
      <c r="V444" s="3">
        <v>3</v>
      </c>
      <c r="W444" s="4" t="s">
        <v>59</v>
      </c>
      <c r="X444" s="4" t="s">
        <v>101</v>
      </c>
      <c r="Y444" s="4" t="s">
        <v>119</v>
      </c>
      <c r="Z444" s="1">
        <v>45456</v>
      </c>
      <c r="AA444" s="4" t="str" cm="1">
        <f t="array" ref="AA444">_xlfn.IFS(OR(AB444="December", AB444="February", AB444="January"), "Winter", OR(AB444="March", AB444="April", AB444="May"), "Spring", OR(AB444="June", AB444="July", AB444="August"), "Summer", TRUE, "Autumn")</f>
        <v>Summer</v>
      </c>
      <c r="AB444" s="7" t="str">
        <f>TEXT(Z444, "mmmm")</f>
        <v>June</v>
      </c>
      <c r="AC444" s="1" t="str">
        <f>TEXT(Z444, "dddd")</f>
        <v>Thursday</v>
      </c>
      <c r="AD444" s="4" t="s">
        <v>62</v>
      </c>
      <c r="AE444" s="4" t="s">
        <v>76</v>
      </c>
      <c r="AF444" s="4" t="s">
        <v>87</v>
      </c>
      <c r="AG444" s="4" t="s">
        <v>93</v>
      </c>
      <c r="AH444" s="3">
        <v>5</v>
      </c>
    </row>
    <row r="445" spans="1:34">
      <c r="A445" s="4" t="s">
        <v>991</v>
      </c>
      <c r="B445" s="3">
        <v>40</v>
      </c>
      <c r="C445" s="9" t="str" cm="1">
        <f t="array" ref="C445">_xlfn.IFS(B445&gt;65,"+65",B445&gt;54,"55-65",B445&gt;44,"45-54",B445&gt;35,"36-44",B445&gt;25,"26-35",B445&gt;=18,"18-25")</f>
        <v>36-44</v>
      </c>
      <c r="D445" s="4" t="s">
        <v>66</v>
      </c>
      <c r="E445" s="4" t="s">
        <v>72</v>
      </c>
      <c r="F445" s="4" t="s">
        <v>95</v>
      </c>
      <c r="G445" s="4" t="s">
        <v>53</v>
      </c>
      <c r="H445" s="4" t="s">
        <v>992</v>
      </c>
      <c r="I445" s="4" t="s">
        <v>118</v>
      </c>
      <c r="J445" s="5">
        <v>321.26</v>
      </c>
      <c r="K445" s="3">
        <v>12</v>
      </c>
      <c r="L445" s="4" t="str">
        <f>IF(AND(J445&gt;350,K445&gt;6), "True","False")</f>
        <v>False</v>
      </c>
      <c r="M445" s="4" t="s">
        <v>56</v>
      </c>
      <c r="N445" s="3">
        <v>4</v>
      </c>
      <c r="O445" s="4" t="str" cm="1">
        <f t="array" ref="O445">_xlfn.IFS(P445&lt;=2,"Poor",P445=3,"Average",P445&gt;=4,"Good")</f>
        <v>Poor</v>
      </c>
      <c r="P445" s="3">
        <v>1</v>
      </c>
      <c r="Q445" s="2">
        <v>0</v>
      </c>
      <c r="R445" s="4" t="s">
        <v>57</v>
      </c>
      <c r="S445" s="4" t="s">
        <v>73</v>
      </c>
      <c r="T445" s="3">
        <v>0</v>
      </c>
      <c r="U445" s="4" t="str" cm="1">
        <f t="array" ref="U445">_xlfn.IFS(V445&lt;=4, "Dissatisfied",V445&lt;=7,"Neutral",V445&gt;=8,"Satisfied")</f>
        <v>Neutral</v>
      </c>
      <c r="V445" s="3">
        <v>6</v>
      </c>
      <c r="W445" s="4" t="s">
        <v>57</v>
      </c>
      <c r="X445" s="4" t="s">
        <v>101</v>
      </c>
      <c r="Y445" s="4" t="s">
        <v>75</v>
      </c>
      <c r="Z445" s="1">
        <v>45456</v>
      </c>
      <c r="AA445" s="4" t="str" cm="1">
        <f t="array" ref="AA445">_xlfn.IFS(OR(AB445="December", AB445="February", AB445="January"), "Winter", OR(AB445="March", AB445="April", AB445="May"), "Spring", OR(AB445="June", AB445="July", AB445="August"), "Summer", TRUE, "Autumn")</f>
        <v>Summer</v>
      </c>
      <c r="AB445" s="7" t="str">
        <f>TEXT(Z445, "mmmm")</f>
        <v>June</v>
      </c>
      <c r="AC445" s="1" t="str">
        <f>TEXT(Z445, "dddd")</f>
        <v>Thursday</v>
      </c>
      <c r="AD445" s="4" t="s">
        <v>76</v>
      </c>
      <c r="AE445" s="4" t="s">
        <v>76</v>
      </c>
      <c r="AF445" s="4" t="s">
        <v>63</v>
      </c>
      <c r="AG445" s="4" t="s">
        <v>64</v>
      </c>
      <c r="AH445" s="3">
        <v>14</v>
      </c>
    </row>
    <row r="446" spans="1:34">
      <c r="A446" s="4" t="s">
        <v>993</v>
      </c>
      <c r="B446" s="3">
        <v>28</v>
      </c>
      <c r="C446" s="9" t="str" cm="1">
        <f t="array" ref="C446">_xlfn.IFS(B446&gt;65,"+65",B446&gt;54,"55-65",B446&gt;44,"45-54",B446&gt;35,"36-44",B446&gt;25,"26-35",B446&gt;=18,"18-25")</f>
        <v>26-35</v>
      </c>
      <c r="D446" s="4" t="s">
        <v>78</v>
      </c>
      <c r="E446" s="4" t="s">
        <v>51</v>
      </c>
      <c r="F446" s="4" t="s">
        <v>67</v>
      </c>
      <c r="G446" s="4" t="s">
        <v>68</v>
      </c>
      <c r="H446" s="4" t="s">
        <v>994</v>
      </c>
      <c r="I446" s="4" t="s">
        <v>133</v>
      </c>
      <c r="J446" s="5">
        <v>450.66</v>
      </c>
      <c r="K446" s="3">
        <v>7</v>
      </c>
      <c r="L446" s="4" t="str">
        <f>IF(AND(J446&gt;350,K446&gt;6), "True","False")</f>
        <v>True</v>
      </c>
      <c r="M446" s="4" t="s">
        <v>71</v>
      </c>
      <c r="N446" s="3">
        <v>2</v>
      </c>
      <c r="O446" s="4" t="str" cm="1">
        <f t="array" ref="O446">_xlfn.IFS(P446&lt;=2,"Poor",P446=3,"Average",P446&gt;=4,"Good")</f>
        <v>Good</v>
      </c>
      <c r="P446" s="3">
        <v>5</v>
      </c>
      <c r="Q446" s="2">
        <v>0</v>
      </c>
      <c r="R446" s="4" t="s">
        <v>72</v>
      </c>
      <c r="S446" s="4" t="s">
        <v>84</v>
      </c>
      <c r="T446" s="3">
        <v>2</v>
      </c>
      <c r="U446" s="4" t="str" cm="1">
        <f t="array" ref="U446">_xlfn.IFS(V446&lt;=4, "Dissatisfied",V446&lt;=7,"Neutral",V446&gt;=8,"Satisfied")</f>
        <v>Dissatisfied</v>
      </c>
      <c r="V446" s="3">
        <v>4</v>
      </c>
      <c r="W446" s="4" t="s">
        <v>85</v>
      </c>
      <c r="X446" s="4" t="s">
        <v>74</v>
      </c>
      <c r="Y446" s="4" t="s">
        <v>119</v>
      </c>
      <c r="Z446" s="1">
        <v>45456</v>
      </c>
      <c r="AA446" s="4" t="str" cm="1">
        <f t="array" ref="AA446">_xlfn.IFS(OR(AB446="December", AB446="February", AB446="January"), "Winter", OR(AB446="March", AB446="April", AB446="May"), "Spring", OR(AB446="June", AB446="July", AB446="August"), "Summer", TRUE, "Autumn")</f>
        <v>Summer</v>
      </c>
      <c r="AB446" s="7" t="str">
        <f>TEXT(Z446, "mmmm")</f>
        <v>June</v>
      </c>
      <c r="AC446" s="1" t="str">
        <f>TEXT(Z446, "dddd")</f>
        <v>Thursday</v>
      </c>
      <c r="AD446" s="4" t="s">
        <v>76</v>
      </c>
      <c r="AE446" s="4" t="s">
        <v>62</v>
      </c>
      <c r="AF446" s="4" t="s">
        <v>63</v>
      </c>
      <c r="AG446" s="4" t="s">
        <v>88</v>
      </c>
      <c r="AH446" s="3">
        <v>9</v>
      </c>
    </row>
    <row r="447" spans="1:34">
      <c r="A447" s="4" t="s">
        <v>995</v>
      </c>
      <c r="B447" s="3">
        <v>48</v>
      </c>
      <c r="C447" s="9" t="str" cm="1">
        <f t="array" ref="C447">_xlfn.IFS(B447&gt;65,"+65",B447&gt;54,"55-65",B447&gt;44,"45-54",B447&gt;35,"36-44",B447&gt;25,"26-35",B447&gt;=18,"18-25")</f>
        <v>45-54</v>
      </c>
      <c r="D447" s="4" t="s">
        <v>78</v>
      </c>
      <c r="E447" s="4" t="s">
        <v>51</v>
      </c>
      <c r="F447" s="4" t="s">
        <v>95</v>
      </c>
      <c r="G447" s="4" t="s">
        <v>53</v>
      </c>
      <c r="H447" s="4" t="s">
        <v>996</v>
      </c>
      <c r="I447" s="4" t="s">
        <v>194</v>
      </c>
      <c r="J447" s="5">
        <v>468.6</v>
      </c>
      <c r="K447" s="3">
        <v>4</v>
      </c>
      <c r="L447" s="4" t="str">
        <f>IF(AND(J447&gt;350,K447&gt;6), "True","False")</f>
        <v>False</v>
      </c>
      <c r="M447" s="4" t="s">
        <v>83</v>
      </c>
      <c r="N447" s="3">
        <v>3</v>
      </c>
      <c r="O447" s="4" t="str" cm="1">
        <f t="array" ref="O447">_xlfn.IFS(P447&lt;=2,"Poor",P447=3,"Average",P447&gt;=4,"Good")</f>
        <v>Good</v>
      </c>
      <c r="P447" s="3">
        <v>4</v>
      </c>
      <c r="Q447" s="2">
        <v>2</v>
      </c>
      <c r="R447" s="4" t="s">
        <v>85</v>
      </c>
      <c r="S447" s="4" t="s">
        <v>84</v>
      </c>
      <c r="T447" s="3">
        <v>0</v>
      </c>
      <c r="U447" s="4" t="str" cm="1">
        <f t="array" ref="U447">_xlfn.IFS(V447&lt;=4, "Dissatisfied",V447&lt;=7,"Neutral",V447&gt;=8,"Satisfied")</f>
        <v>Neutral</v>
      </c>
      <c r="V447" s="3">
        <v>6</v>
      </c>
      <c r="W447" s="4" t="s">
        <v>57</v>
      </c>
      <c r="X447" s="4" t="s">
        <v>101</v>
      </c>
      <c r="Y447" s="4" t="s">
        <v>86</v>
      </c>
      <c r="Z447" s="1">
        <v>45457</v>
      </c>
      <c r="AA447" s="4" t="str" cm="1">
        <f t="array" ref="AA447">_xlfn.IFS(OR(AB447="December", AB447="February", AB447="January"), "Winter", OR(AB447="March", AB447="April", AB447="May"), "Spring", OR(AB447="June", AB447="July", AB447="August"), "Summer", TRUE, "Autumn")</f>
        <v>Summer</v>
      </c>
      <c r="AB447" s="7" t="str">
        <f>TEXT(Z447, "mmmm")</f>
        <v>June</v>
      </c>
      <c r="AC447" s="1" t="str">
        <f>TEXT(Z447, "dddd")</f>
        <v>Friday</v>
      </c>
      <c r="AD447" s="4" t="s">
        <v>76</v>
      </c>
      <c r="AE447" s="4" t="s">
        <v>62</v>
      </c>
      <c r="AF447" s="4" t="s">
        <v>63</v>
      </c>
      <c r="AG447" s="4" t="s">
        <v>88</v>
      </c>
      <c r="AH447" s="3">
        <v>2</v>
      </c>
    </row>
    <row r="448" spans="1:34">
      <c r="A448" s="4" t="s">
        <v>997</v>
      </c>
      <c r="B448" s="3">
        <v>47</v>
      </c>
      <c r="C448" s="9" t="str" cm="1">
        <f t="array" ref="C448">_xlfn.IFS(B448&gt;65,"+65",B448&gt;54,"55-65",B448&gt;44,"45-54",B448&gt;35,"36-44",B448&gt;25,"26-35",B448&gt;=18,"18-25")</f>
        <v>45-54</v>
      </c>
      <c r="D448" s="4" t="s">
        <v>66</v>
      </c>
      <c r="E448" s="4" t="s">
        <v>72</v>
      </c>
      <c r="F448" s="4" t="s">
        <v>67</v>
      </c>
      <c r="G448" s="4" t="s">
        <v>80</v>
      </c>
      <c r="H448" s="4" t="s">
        <v>998</v>
      </c>
      <c r="I448" s="4" t="s">
        <v>100</v>
      </c>
      <c r="J448" s="5">
        <v>197.12</v>
      </c>
      <c r="K448" s="3">
        <v>10</v>
      </c>
      <c r="L448" s="4" t="str">
        <f>IF(AND(J448&gt;350,K448&gt;6), "True","False")</f>
        <v>False</v>
      </c>
      <c r="M448" s="4" t="s">
        <v>71</v>
      </c>
      <c r="N448" s="3">
        <v>4</v>
      </c>
      <c r="O448" s="4" t="str" cm="1">
        <f t="array" ref="O448">_xlfn.IFS(P448&lt;=2,"Poor",P448=3,"Average",P448&gt;=4,"Good")</f>
        <v>Good</v>
      </c>
      <c r="P448" s="3">
        <v>4</v>
      </c>
      <c r="Q448" s="2">
        <v>0</v>
      </c>
      <c r="R448" s="4" t="s">
        <v>59</v>
      </c>
      <c r="S448" s="4" t="s">
        <v>84</v>
      </c>
      <c r="T448" s="3">
        <v>1</v>
      </c>
      <c r="U448" s="4" t="str" cm="1">
        <f t="array" ref="U448">_xlfn.IFS(V448&lt;=4, "Dissatisfied",V448&lt;=7,"Neutral",V448&gt;=8,"Satisfied")</f>
        <v>Dissatisfied</v>
      </c>
      <c r="V448" s="3">
        <v>1</v>
      </c>
      <c r="W448" s="4" t="s">
        <v>85</v>
      </c>
      <c r="X448" s="4" t="s">
        <v>74</v>
      </c>
      <c r="Y448" s="4" t="s">
        <v>111</v>
      </c>
      <c r="Z448" s="1">
        <v>45457</v>
      </c>
      <c r="AA448" s="4" t="str" cm="1">
        <f t="array" ref="AA448">_xlfn.IFS(OR(AB448="December", AB448="February", AB448="January"), "Winter", OR(AB448="March", AB448="April", AB448="May"), "Spring", OR(AB448="June", AB448="July", AB448="August"), "Summer", TRUE, "Autumn")</f>
        <v>Summer</v>
      </c>
      <c r="AB448" s="7" t="str">
        <f>TEXT(Z448, "mmmm")</f>
        <v>June</v>
      </c>
      <c r="AC448" s="1" t="str">
        <f>TEXT(Z448, "dddd")</f>
        <v>Friday</v>
      </c>
      <c r="AD448" s="4" t="s">
        <v>62</v>
      </c>
      <c r="AE448" s="4" t="s">
        <v>62</v>
      </c>
      <c r="AF448" s="4" t="s">
        <v>102</v>
      </c>
      <c r="AG448" s="4" t="s">
        <v>64</v>
      </c>
      <c r="AH448" s="3">
        <v>10</v>
      </c>
    </row>
    <row r="449" spans="1:34">
      <c r="A449" s="4" t="s">
        <v>999</v>
      </c>
      <c r="B449" s="3">
        <v>46</v>
      </c>
      <c r="C449" s="9" t="str" cm="1">
        <f t="array" ref="C449">_xlfn.IFS(B449&gt;65,"+65",B449&gt;54,"55-65",B449&gt;44,"45-54",B449&gt;35,"36-44",B449&gt;25,"26-35",B449&gt;=18,"18-25")</f>
        <v>45-54</v>
      </c>
      <c r="D449" s="4" t="s">
        <v>78</v>
      </c>
      <c r="E449" s="4" t="s">
        <v>72</v>
      </c>
      <c r="F449" s="4" t="s">
        <v>79</v>
      </c>
      <c r="G449" s="4" t="s">
        <v>80</v>
      </c>
      <c r="H449" s="4" t="s">
        <v>1000</v>
      </c>
      <c r="I449" s="4" t="s">
        <v>70</v>
      </c>
      <c r="J449" s="5">
        <v>159.44999999999999</v>
      </c>
      <c r="K449" s="3">
        <v>2</v>
      </c>
      <c r="L449" s="4" t="str">
        <f>IF(AND(J449&gt;350,K449&gt;6), "True","False")</f>
        <v>False</v>
      </c>
      <c r="M449" s="4" t="s">
        <v>56</v>
      </c>
      <c r="N449" s="3">
        <v>3</v>
      </c>
      <c r="O449" s="4" t="str" cm="1">
        <f t="array" ref="O449">_xlfn.IFS(P449&lt;=2,"Poor",P449=3,"Average",P449&gt;=4,"Good")</f>
        <v>Poor</v>
      </c>
      <c r="P449" s="3">
        <v>2</v>
      </c>
      <c r="Q449" s="2">
        <v>2</v>
      </c>
      <c r="R449" s="4" t="s">
        <v>85</v>
      </c>
      <c r="S449" s="4" t="s">
        <v>73</v>
      </c>
      <c r="T449" s="3">
        <v>0</v>
      </c>
      <c r="U449" s="4" t="str" cm="1">
        <f t="array" ref="U449">_xlfn.IFS(V449&lt;=4, "Dissatisfied",V449&lt;=7,"Neutral",V449&gt;=8,"Satisfied")</f>
        <v>Neutral</v>
      </c>
      <c r="V449" s="3">
        <v>5</v>
      </c>
      <c r="W449" s="4" t="s">
        <v>57</v>
      </c>
      <c r="X449" s="4" t="s">
        <v>60</v>
      </c>
      <c r="Y449" s="4" t="s">
        <v>75</v>
      </c>
      <c r="Z449" s="1">
        <v>45457</v>
      </c>
      <c r="AA449" s="4" t="str" cm="1">
        <f t="array" ref="AA449">_xlfn.IFS(OR(AB449="December", AB449="February", AB449="January"), "Winter", OR(AB449="March", AB449="April", AB449="May"), "Spring", OR(AB449="June", AB449="July", AB449="August"), "Summer", TRUE, "Autumn")</f>
        <v>Summer</v>
      </c>
      <c r="AB449" s="7" t="str">
        <f>TEXT(Z449, "mmmm")</f>
        <v>June</v>
      </c>
      <c r="AC449" s="1" t="str">
        <f>TEXT(Z449, "dddd")</f>
        <v>Friday</v>
      </c>
      <c r="AD449" s="4" t="s">
        <v>62</v>
      </c>
      <c r="AE449" s="4" t="s">
        <v>76</v>
      </c>
      <c r="AF449" s="4" t="s">
        <v>92</v>
      </c>
      <c r="AG449" s="4" t="s">
        <v>64</v>
      </c>
      <c r="AH449" s="3">
        <v>14</v>
      </c>
    </row>
    <row r="450" spans="1:34">
      <c r="A450" s="4" t="s">
        <v>1001</v>
      </c>
      <c r="B450" s="3">
        <v>41</v>
      </c>
      <c r="C450" s="9" t="str" cm="1">
        <f t="array" ref="C450">_xlfn.IFS(B450&gt;65,"+65",B450&gt;54,"55-65",B450&gt;44,"45-54",B450&gt;35,"36-44",B450&gt;25,"26-35",B450&gt;=18,"18-25")</f>
        <v>36-44</v>
      </c>
      <c r="D450" s="4" t="s">
        <v>78</v>
      </c>
      <c r="E450" s="4" t="s">
        <v>72</v>
      </c>
      <c r="F450" s="4" t="s">
        <v>79</v>
      </c>
      <c r="G450" s="4" t="s">
        <v>80</v>
      </c>
      <c r="H450" s="4" t="s">
        <v>1002</v>
      </c>
      <c r="I450" s="4" t="s">
        <v>122</v>
      </c>
      <c r="J450" s="5">
        <v>278.77999999999997</v>
      </c>
      <c r="K450" s="3">
        <v>3</v>
      </c>
      <c r="L450" s="4" t="str">
        <f>IF(AND(J450&gt;350,K450&gt;6), "True","False")</f>
        <v>False</v>
      </c>
      <c r="M450" s="4" t="s">
        <v>83</v>
      </c>
      <c r="N450" s="3">
        <v>5</v>
      </c>
      <c r="O450" s="4" t="str" cm="1">
        <f t="array" ref="O450">_xlfn.IFS(P450&lt;=2,"Poor",P450=3,"Average",P450&gt;=4,"Good")</f>
        <v>Poor</v>
      </c>
      <c r="P450" s="3">
        <v>2</v>
      </c>
      <c r="Q450" s="2">
        <v>0</v>
      </c>
      <c r="R450" s="4" t="s">
        <v>85</v>
      </c>
      <c r="S450" s="4" t="s">
        <v>58</v>
      </c>
      <c r="T450" s="3">
        <v>0</v>
      </c>
      <c r="U450" s="4" t="str" cm="1">
        <f t="array" ref="U450">_xlfn.IFS(V450&lt;=4, "Dissatisfied",V450&lt;=7,"Neutral",V450&gt;=8,"Satisfied")</f>
        <v>Dissatisfied</v>
      </c>
      <c r="V450" s="3">
        <v>1</v>
      </c>
      <c r="W450" s="4" t="s">
        <v>59</v>
      </c>
      <c r="X450" s="4" t="s">
        <v>101</v>
      </c>
      <c r="Y450" s="4" t="s">
        <v>119</v>
      </c>
      <c r="Z450" s="1">
        <v>45457</v>
      </c>
      <c r="AA450" s="4" t="str" cm="1">
        <f t="array" ref="AA450">_xlfn.IFS(OR(AB450="December", AB450="February", AB450="January"), "Winter", OR(AB450="March", AB450="April", AB450="May"), "Spring", OR(AB450="June", AB450="July", AB450="August"), "Summer", TRUE, "Autumn")</f>
        <v>Summer</v>
      </c>
      <c r="AB450" s="7" t="str">
        <f>TEXT(Z450, "mmmm")</f>
        <v>June</v>
      </c>
      <c r="AC450" s="1" t="str">
        <f>TEXT(Z450, "dddd")</f>
        <v>Friday</v>
      </c>
      <c r="AD450" s="4" t="s">
        <v>62</v>
      </c>
      <c r="AE450" s="4" t="s">
        <v>76</v>
      </c>
      <c r="AF450" s="4" t="s">
        <v>102</v>
      </c>
      <c r="AG450" s="4" t="s">
        <v>64</v>
      </c>
      <c r="AH450" s="3">
        <v>2</v>
      </c>
    </row>
    <row r="451" spans="1:34">
      <c r="A451" s="4" t="s">
        <v>1003</v>
      </c>
      <c r="B451" s="3">
        <v>49</v>
      </c>
      <c r="C451" s="9" t="str" cm="1">
        <f t="array" ref="C451">_xlfn.IFS(B451&gt;65,"+65",B451&gt;54,"55-65",B451&gt;44,"45-54",B451&gt;35,"36-44",B451&gt;25,"26-35",B451&gt;=18,"18-25")</f>
        <v>45-54</v>
      </c>
      <c r="D451" s="4" t="s">
        <v>66</v>
      </c>
      <c r="E451" s="4" t="s">
        <v>72</v>
      </c>
      <c r="F451" s="4" t="s">
        <v>95</v>
      </c>
      <c r="G451" s="4" t="s">
        <v>68</v>
      </c>
      <c r="H451" s="4" t="s">
        <v>1004</v>
      </c>
      <c r="I451" s="4" t="s">
        <v>110</v>
      </c>
      <c r="J451" s="5">
        <v>169.77</v>
      </c>
      <c r="K451" s="3">
        <v>5</v>
      </c>
      <c r="L451" s="4" t="str">
        <f>IF(AND(J451&gt;350,K451&gt;6), "True","False")</f>
        <v>False</v>
      </c>
      <c r="M451" s="4" t="s">
        <v>71</v>
      </c>
      <c r="N451" s="3">
        <v>1</v>
      </c>
      <c r="O451" s="4" t="str" cm="1">
        <f t="array" ref="O451">_xlfn.IFS(P451&lt;=2,"Poor",P451=3,"Average",P451&gt;=4,"Good")</f>
        <v>Good</v>
      </c>
      <c r="P451" s="3">
        <v>4</v>
      </c>
      <c r="Q451" s="2">
        <v>0</v>
      </c>
      <c r="R451" s="4" t="s">
        <v>85</v>
      </c>
      <c r="S451" s="4" t="s">
        <v>73</v>
      </c>
      <c r="T451" s="3">
        <v>2</v>
      </c>
      <c r="U451" s="4" t="str" cm="1">
        <f t="array" ref="U451">_xlfn.IFS(V451&lt;=4, "Dissatisfied",V451&lt;=7,"Neutral",V451&gt;=8,"Satisfied")</f>
        <v>Satisfied</v>
      </c>
      <c r="V451" s="3">
        <v>9</v>
      </c>
      <c r="W451" s="4" t="s">
        <v>57</v>
      </c>
      <c r="X451" s="4" t="s">
        <v>101</v>
      </c>
      <c r="Y451" s="4" t="s">
        <v>111</v>
      </c>
      <c r="Z451" s="1">
        <v>45458</v>
      </c>
      <c r="AA451" s="4" t="str" cm="1">
        <f t="array" ref="AA451">_xlfn.IFS(OR(AB451="December", AB451="February", AB451="January"), "Winter", OR(AB451="March", AB451="April", AB451="May"), "Spring", OR(AB451="June", AB451="July", AB451="August"), "Summer", TRUE, "Autumn")</f>
        <v>Summer</v>
      </c>
      <c r="AB451" s="7" t="str">
        <f>TEXT(Z451, "mmmm")</f>
        <v>June</v>
      </c>
      <c r="AC451" s="1" t="str">
        <f>TEXT(Z451, "dddd")</f>
        <v>Saturday</v>
      </c>
      <c r="AD451" s="4" t="s">
        <v>62</v>
      </c>
      <c r="AE451" s="4" t="s">
        <v>62</v>
      </c>
      <c r="AF451" s="4" t="s">
        <v>102</v>
      </c>
      <c r="AG451" s="4" t="s">
        <v>64</v>
      </c>
      <c r="AH451" s="3">
        <v>7</v>
      </c>
    </row>
    <row r="452" spans="1:34">
      <c r="A452" s="4" t="s">
        <v>1005</v>
      </c>
      <c r="B452" s="3">
        <v>48</v>
      </c>
      <c r="C452" s="9" t="str" cm="1">
        <f t="array" ref="C452">_xlfn.IFS(B452&gt;65,"+65",B452&gt;54,"55-65",B452&gt;44,"45-54",B452&gt;35,"36-44",B452&gt;25,"26-35",B452&gt;=18,"18-25")</f>
        <v>45-54</v>
      </c>
      <c r="D452" s="4" t="s">
        <v>66</v>
      </c>
      <c r="E452" s="4" t="s">
        <v>72</v>
      </c>
      <c r="F452" s="4" t="s">
        <v>79</v>
      </c>
      <c r="G452" s="4" t="s">
        <v>80</v>
      </c>
      <c r="H452" s="4" t="s">
        <v>816</v>
      </c>
      <c r="I452" s="4" t="s">
        <v>234</v>
      </c>
      <c r="J452" s="5">
        <v>454.38</v>
      </c>
      <c r="K452" s="3">
        <v>10</v>
      </c>
      <c r="L452" s="4" t="str">
        <f>IF(AND(J452&gt;350,K452&gt;6), "True","False")</f>
        <v>True</v>
      </c>
      <c r="M452" s="4" t="s">
        <v>56</v>
      </c>
      <c r="N452" s="3">
        <v>3</v>
      </c>
      <c r="O452" s="4" t="str" cm="1">
        <f t="array" ref="O452">_xlfn.IFS(P452&lt;=2,"Poor",P452=3,"Average",P452&gt;=4,"Good")</f>
        <v>Good</v>
      </c>
      <c r="P452" s="3">
        <v>4</v>
      </c>
      <c r="Q452" s="2">
        <v>0</v>
      </c>
      <c r="R452" s="4" t="s">
        <v>57</v>
      </c>
      <c r="S452" s="4" t="s">
        <v>84</v>
      </c>
      <c r="T452" s="3">
        <v>0</v>
      </c>
      <c r="U452" s="4" t="str" cm="1">
        <f t="array" ref="U452">_xlfn.IFS(V452&lt;=4, "Dissatisfied",V452&lt;=7,"Neutral",V452&gt;=8,"Satisfied")</f>
        <v>Satisfied</v>
      </c>
      <c r="V452" s="3">
        <v>10</v>
      </c>
      <c r="W452" s="4" t="s">
        <v>85</v>
      </c>
      <c r="X452" s="4" t="s">
        <v>60</v>
      </c>
      <c r="Y452" s="4" t="s">
        <v>86</v>
      </c>
      <c r="Z452" s="1">
        <v>45458</v>
      </c>
      <c r="AA452" s="4" t="str" cm="1">
        <f t="array" ref="AA452">_xlfn.IFS(OR(AB452="December", AB452="February", AB452="January"), "Winter", OR(AB452="March", AB452="April", AB452="May"), "Spring", OR(AB452="June", AB452="July", AB452="August"), "Summer", TRUE, "Autumn")</f>
        <v>Summer</v>
      </c>
      <c r="AB452" s="7" t="str">
        <f>TEXT(Z452, "mmmm")</f>
        <v>June</v>
      </c>
      <c r="AC452" s="1" t="str">
        <f>TEXT(Z452, "dddd")</f>
        <v>Saturday</v>
      </c>
      <c r="AD452" s="4" t="s">
        <v>62</v>
      </c>
      <c r="AE452" s="4" t="s">
        <v>76</v>
      </c>
      <c r="AF452" s="4" t="s">
        <v>92</v>
      </c>
      <c r="AG452" s="4" t="s">
        <v>88</v>
      </c>
      <c r="AH452" s="3">
        <v>7</v>
      </c>
    </row>
    <row r="453" spans="1:34">
      <c r="A453" s="4" t="s">
        <v>1006</v>
      </c>
      <c r="B453" s="3">
        <v>41</v>
      </c>
      <c r="C453" s="9" t="str" cm="1">
        <f t="array" ref="C453">_xlfn.IFS(B453&gt;65,"+65",B453&gt;54,"55-65",B453&gt;44,"45-54",B453&gt;35,"36-44",B453&gt;25,"26-35",B453&gt;=18,"18-25")</f>
        <v>36-44</v>
      </c>
      <c r="D453" s="4" t="s">
        <v>78</v>
      </c>
      <c r="E453" s="4" t="s">
        <v>72</v>
      </c>
      <c r="F453" s="4" t="s">
        <v>79</v>
      </c>
      <c r="G453" s="4" t="s">
        <v>68</v>
      </c>
      <c r="H453" s="4" t="s">
        <v>1007</v>
      </c>
      <c r="I453" s="4" t="s">
        <v>105</v>
      </c>
      <c r="J453" s="5">
        <v>136.19999999999999</v>
      </c>
      <c r="K453" s="3">
        <v>2</v>
      </c>
      <c r="L453" s="4" t="str">
        <f>IF(AND(J453&gt;350,K453&gt;6), "True","False")</f>
        <v>False</v>
      </c>
      <c r="M453" s="4" t="s">
        <v>83</v>
      </c>
      <c r="N453" s="3">
        <v>3</v>
      </c>
      <c r="O453" s="4" t="str" cm="1">
        <f t="array" ref="O453">_xlfn.IFS(P453&lt;=2,"Poor",P453=3,"Average",P453&gt;=4,"Good")</f>
        <v>Poor</v>
      </c>
      <c r="P453" s="3">
        <v>2</v>
      </c>
      <c r="Q453" s="2">
        <v>2</v>
      </c>
      <c r="R453" s="4" t="s">
        <v>59</v>
      </c>
      <c r="S453" s="4" t="s">
        <v>58</v>
      </c>
      <c r="T453" s="3">
        <v>0</v>
      </c>
      <c r="U453" s="4" t="str" cm="1">
        <f t="array" ref="U453">_xlfn.IFS(V453&lt;=4, "Dissatisfied",V453&lt;=7,"Neutral",V453&gt;=8,"Satisfied")</f>
        <v>Dissatisfied</v>
      </c>
      <c r="V453" s="3">
        <v>1</v>
      </c>
      <c r="W453" s="4" t="s">
        <v>72</v>
      </c>
      <c r="X453" s="4" t="s">
        <v>74</v>
      </c>
      <c r="Y453" s="4" t="s">
        <v>86</v>
      </c>
      <c r="Z453" s="1">
        <v>45458</v>
      </c>
      <c r="AA453" s="4" t="str" cm="1">
        <f t="array" ref="AA453">_xlfn.IFS(OR(AB453="December", AB453="February", AB453="January"), "Winter", OR(AB453="March", AB453="April", AB453="May"), "Spring", OR(AB453="June", AB453="July", AB453="August"), "Summer", TRUE, "Autumn")</f>
        <v>Summer</v>
      </c>
      <c r="AB453" s="7" t="str">
        <f>TEXT(Z453, "mmmm")</f>
        <v>June</v>
      </c>
      <c r="AC453" s="1" t="str">
        <f>TEXT(Z453, "dddd")</f>
        <v>Saturday</v>
      </c>
      <c r="AD453" s="4" t="s">
        <v>62</v>
      </c>
      <c r="AE453" s="4" t="s">
        <v>62</v>
      </c>
      <c r="AF453" s="4" t="s">
        <v>63</v>
      </c>
      <c r="AG453" s="4" t="s">
        <v>93</v>
      </c>
      <c r="AH453" s="3">
        <v>9</v>
      </c>
    </row>
    <row r="454" spans="1:34">
      <c r="A454" s="4" t="s">
        <v>1008</v>
      </c>
      <c r="B454" s="3">
        <v>39</v>
      </c>
      <c r="C454" s="9" t="str" cm="1">
        <f t="array" ref="C454">_xlfn.IFS(B454&gt;65,"+65",B454&gt;54,"55-65",B454&gt;44,"45-54",B454&gt;35,"36-44",B454&gt;25,"26-35",B454&gt;=18,"18-25")</f>
        <v>36-44</v>
      </c>
      <c r="D454" s="4" t="s">
        <v>66</v>
      </c>
      <c r="E454" s="4" t="s">
        <v>72</v>
      </c>
      <c r="F454" s="4" t="s">
        <v>67</v>
      </c>
      <c r="G454" s="4" t="s">
        <v>68</v>
      </c>
      <c r="H454" s="4" t="s">
        <v>1009</v>
      </c>
      <c r="I454" s="4" t="s">
        <v>55</v>
      </c>
      <c r="J454" s="5">
        <v>176.12</v>
      </c>
      <c r="K454" s="3">
        <v>8</v>
      </c>
      <c r="L454" s="4" t="str">
        <f>IF(AND(J454&gt;350,K454&gt;6), "True","False")</f>
        <v>False</v>
      </c>
      <c r="M454" s="4" t="s">
        <v>56</v>
      </c>
      <c r="N454" s="3">
        <v>2</v>
      </c>
      <c r="O454" s="4" t="str" cm="1">
        <f t="array" ref="O454">_xlfn.IFS(P454&lt;=2,"Poor",P454=3,"Average",P454&gt;=4,"Good")</f>
        <v>Average</v>
      </c>
      <c r="P454" s="3">
        <v>3</v>
      </c>
      <c r="Q454" s="2">
        <v>1.2</v>
      </c>
      <c r="R454" s="4" t="s">
        <v>85</v>
      </c>
      <c r="S454" s="4" t="s">
        <v>84</v>
      </c>
      <c r="T454" s="3">
        <v>1</v>
      </c>
      <c r="U454" s="4" t="str" cm="1">
        <f t="array" ref="U454">_xlfn.IFS(V454&lt;=4, "Dissatisfied",V454&lt;=7,"Neutral",V454&gt;=8,"Satisfied")</f>
        <v>Satisfied</v>
      </c>
      <c r="V454" s="3">
        <v>10</v>
      </c>
      <c r="W454" s="4" t="s">
        <v>59</v>
      </c>
      <c r="X454" s="4" t="s">
        <v>101</v>
      </c>
      <c r="Y454" s="4" t="s">
        <v>119</v>
      </c>
      <c r="Z454" s="1">
        <v>45458</v>
      </c>
      <c r="AA454" s="4" t="str" cm="1">
        <f t="array" ref="AA454">_xlfn.IFS(OR(AB454="December", AB454="February", AB454="January"), "Winter", OR(AB454="March", AB454="April", AB454="May"), "Spring", OR(AB454="June", AB454="July", AB454="August"), "Summer", TRUE, "Autumn")</f>
        <v>Summer</v>
      </c>
      <c r="AB454" s="7" t="str">
        <f>TEXT(Z454, "mmmm")</f>
        <v>June</v>
      </c>
      <c r="AC454" s="1" t="str">
        <f>TEXT(Z454, "dddd")</f>
        <v>Saturday</v>
      </c>
      <c r="AD454" s="4" t="s">
        <v>62</v>
      </c>
      <c r="AE454" s="4" t="s">
        <v>62</v>
      </c>
      <c r="AF454" s="4" t="s">
        <v>92</v>
      </c>
      <c r="AG454" s="4" t="s">
        <v>64</v>
      </c>
      <c r="AH454" s="3">
        <v>14</v>
      </c>
    </row>
    <row r="455" spans="1:34">
      <c r="A455" s="4" t="s">
        <v>1010</v>
      </c>
      <c r="B455" s="3">
        <v>32</v>
      </c>
      <c r="C455" s="9" t="str" cm="1">
        <f t="array" ref="C455">_xlfn.IFS(B455&gt;65,"+65",B455&gt;54,"55-65",B455&gt;44,"45-54",B455&gt;35,"36-44",B455&gt;25,"26-35",B455&gt;=18,"18-25")</f>
        <v>26-35</v>
      </c>
      <c r="D455" s="4" t="s">
        <v>66</v>
      </c>
      <c r="E455" s="4" t="s">
        <v>72</v>
      </c>
      <c r="F455" s="4" t="s">
        <v>95</v>
      </c>
      <c r="G455" s="4" t="s">
        <v>80</v>
      </c>
      <c r="H455" s="4" t="s">
        <v>1011</v>
      </c>
      <c r="I455" s="4" t="s">
        <v>133</v>
      </c>
      <c r="J455" s="5">
        <v>171.17</v>
      </c>
      <c r="K455" s="3">
        <v>4</v>
      </c>
      <c r="L455" s="4" t="str">
        <f>IF(AND(J455&gt;350,K455&gt;6), "True","False")</f>
        <v>False</v>
      </c>
      <c r="M455" s="4" t="s">
        <v>71</v>
      </c>
      <c r="N455" s="3">
        <v>1</v>
      </c>
      <c r="O455" s="4" t="str" cm="1">
        <f t="array" ref="O455">_xlfn.IFS(P455&lt;=2,"Poor",P455=3,"Average",P455&gt;=4,"Good")</f>
        <v>Average</v>
      </c>
      <c r="P455" s="3">
        <v>3</v>
      </c>
      <c r="Q455" s="2">
        <v>0</v>
      </c>
      <c r="R455" s="4" t="s">
        <v>72</v>
      </c>
      <c r="S455" s="4" t="s">
        <v>84</v>
      </c>
      <c r="T455" s="3">
        <v>0</v>
      </c>
      <c r="U455" s="4" t="str" cm="1">
        <f t="array" ref="U455">_xlfn.IFS(V455&lt;=4, "Dissatisfied",V455&lt;=7,"Neutral",V455&gt;=8,"Satisfied")</f>
        <v>Dissatisfied</v>
      </c>
      <c r="V455" s="3">
        <v>4</v>
      </c>
      <c r="W455" s="4" t="s">
        <v>85</v>
      </c>
      <c r="X455" s="4" t="s">
        <v>101</v>
      </c>
      <c r="Y455" s="4" t="s">
        <v>75</v>
      </c>
      <c r="Z455" s="1">
        <v>45458</v>
      </c>
      <c r="AA455" s="4" t="str" cm="1">
        <f t="array" ref="AA455">_xlfn.IFS(OR(AB455="December", AB455="February", AB455="January"), "Winter", OR(AB455="March", AB455="April", AB455="May"), "Spring", OR(AB455="June", AB455="July", AB455="August"), "Summer", TRUE, "Autumn")</f>
        <v>Summer</v>
      </c>
      <c r="AB455" s="7" t="str">
        <f>TEXT(Z455, "mmmm")</f>
        <v>June</v>
      </c>
      <c r="AC455" s="1" t="str">
        <f>TEXT(Z455, "dddd")</f>
        <v>Saturday</v>
      </c>
      <c r="AD455" s="4" t="s">
        <v>76</v>
      </c>
      <c r="AE455" s="4" t="s">
        <v>62</v>
      </c>
      <c r="AF455" s="4" t="s">
        <v>102</v>
      </c>
      <c r="AG455" s="4" t="s">
        <v>64</v>
      </c>
      <c r="AH455" s="3">
        <v>12</v>
      </c>
    </row>
    <row r="456" spans="1:34">
      <c r="A456" s="4" t="s">
        <v>1012</v>
      </c>
      <c r="B456" s="3">
        <v>50</v>
      </c>
      <c r="C456" s="9" t="str" cm="1">
        <f t="array" ref="C456">_xlfn.IFS(B456&gt;65,"+65",B456&gt;54,"55-65",B456&gt;44,"45-54",B456&gt;35,"36-44",B456&gt;25,"26-35",B456&gt;=18,"18-25")</f>
        <v>45-54</v>
      </c>
      <c r="D456" s="4" t="s">
        <v>78</v>
      </c>
      <c r="E456" s="4" t="s">
        <v>72</v>
      </c>
      <c r="F456" s="4" t="s">
        <v>79</v>
      </c>
      <c r="G456" s="4" t="s">
        <v>53</v>
      </c>
      <c r="H456" s="4" t="s">
        <v>1013</v>
      </c>
      <c r="I456" s="4" t="s">
        <v>172</v>
      </c>
      <c r="J456" s="5">
        <v>378.87</v>
      </c>
      <c r="K456" s="3">
        <v>2</v>
      </c>
      <c r="L456" s="4" t="str">
        <f>IF(AND(J456&gt;350,K456&gt;6), "True","False")</f>
        <v>False</v>
      </c>
      <c r="M456" s="4" t="s">
        <v>56</v>
      </c>
      <c r="N456" s="3">
        <v>5</v>
      </c>
      <c r="O456" s="4" t="str" cm="1">
        <f t="array" ref="O456">_xlfn.IFS(P456&lt;=2,"Poor",P456=3,"Average",P456&gt;=4,"Good")</f>
        <v>Poor</v>
      </c>
      <c r="P456" s="3">
        <v>2</v>
      </c>
      <c r="Q456" s="2">
        <v>2</v>
      </c>
      <c r="R456" s="4" t="s">
        <v>57</v>
      </c>
      <c r="S456" s="4" t="s">
        <v>73</v>
      </c>
      <c r="T456" s="3">
        <v>2</v>
      </c>
      <c r="U456" s="4" t="str" cm="1">
        <f t="array" ref="U456">_xlfn.IFS(V456&lt;=4, "Dissatisfied",V456&lt;=7,"Neutral",V456&gt;=8,"Satisfied")</f>
        <v>Dissatisfied</v>
      </c>
      <c r="V456" s="3">
        <v>2</v>
      </c>
      <c r="W456" s="4" t="s">
        <v>85</v>
      </c>
      <c r="X456" s="4" t="s">
        <v>101</v>
      </c>
      <c r="Y456" s="4" t="s">
        <v>75</v>
      </c>
      <c r="Z456" s="1">
        <v>45459</v>
      </c>
      <c r="AA456" s="4" t="str" cm="1">
        <f t="array" ref="AA456">_xlfn.IFS(OR(AB456="December", AB456="February", AB456="January"), "Winter", OR(AB456="March", AB456="April", AB456="May"), "Spring", OR(AB456="June", AB456="July", AB456="August"), "Summer", TRUE, "Autumn")</f>
        <v>Summer</v>
      </c>
      <c r="AB456" s="7" t="str">
        <f>TEXT(Z456, "mmmm")</f>
        <v>June</v>
      </c>
      <c r="AC456" s="1" t="str">
        <f>TEXT(Z456, "dddd")</f>
        <v>Sunday</v>
      </c>
      <c r="AD456" s="4" t="s">
        <v>62</v>
      </c>
      <c r="AE456" s="4" t="s">
        <v>76</v>
      </c>
      <c r="AF456" s="4" t="s">
        <v>87</v>
      </c>
      <c r="AG456" s="4" t="s">
        <v>88</v>
      </c>
      <c r="AH456" s="3">
        <v>9</v>
      </c>
    </row>
    <row r="457" spans="1:34">
      <c r="A457" s="4" t="s">
        <v>1014</v>
      </c>
      <c r="B457" s="3">
        <v>48</v>
      </c>
      <c r="C457" s="9" t="str" cm="1">
        <f t="array" ref="C457">_xlfn.IFS(B457&gt;65,"+65",B457&gt;54,"55-65",B457&gt;44,"45-54",B457&gt;35,"36-44",B457&gt;25,"26-35",B457&gt;=18,"18-25")</f>
        <v>45-54</v>
      </c>
      <c r="D457" s="4" t="s">
        <v>66</v>
      </c>
      <c r="E457" s="4" t="s">
        <v>51</v>
      </c>
      <c r="F457" s="4" t="s">
        <v>95</v>
      </c>
      <c r="G457" s="4" t="s">
        <v>80</v>
      </c>
      <c r="H457" s="4" t="s">
        <v>1015</v>
      </c>
      <c r="I457" s="4" t="s">
        <v>82</v>
      </c>
      <c r="J457" s="5">
        <v>361.48</v>
      </c>
      <c r="K457" s="3">
        <v>10</v>
      </c>
      <c r="L457" s="4" t="str">
        <f>IF(AND(J457&gt;350,K457&gt;6), "True","False")</f>
        <v>True</v>
      </c>
      <c r="M457" s="4" t="s">
        <v>56</v>
      </c>
      <c r="N457" s="3">
        <v>1</v>
      </c>
      <c r="O457" s="4" t="str" cm="1">
        <f t="array" ref="O457">_xlfn.IFS(P457&lt;=2,"Poor",P457=3,"Average",P457&gt;=4,"Good")</f>
        <v>Good</v>
      </c>
      <c r="P457" s="3">
        <v>4</v>
      </c>
      <c r="Q457" s="2">
        <v>1</v>
      </c>
      <c r="R457" s="4" t="s">
        <v>85</v>
      </c>
      <c r="S457" s="4" t="s">
        <v>84</v>
      </c>
      <c r="T457" s="3">
        <v>2</v>
      </c>
      <c r="U457" s="4" t="str" cm="1">
        <f t="array" ref="U457">_xlfn.IFS(V457&lt;=4, "Dissatisfied",V457&lt;=7,"Neutral",V457&gt;=8,"Satisfied")</f>
        <v>Satisfied</v>
      </c>
      <c r="V457" s="3">
        <v>9</v>
      </c>
      <c r="W457" s="4" t="s">
        <v>72</v>
      </c>
      <c r="X457" s="4" t="s">
        <v>74</v>
      </c>
      <c r="Y457" s="4" t="s">
        <v>61</v>
      </c>
      <c r="Z457" s="1">
        <v>45459</v>
      </c>
      <c r="AA457" s="4" t="str" cm="1">
        <f t="array" ref="AA457">_xlfn.IFS(OR(AB457="December", AB457="February", AB457="January"), "Winter", OR(AB457="March", AB457="April", AB457="May"), "Spring", OR(AB457="June", AB457="July", AB457="August"), "Summer", TRUE, "Autumn")</f>
        <v>Summer</v>
      </c>
      <c r="AB457" s="7" t="str">
        <f>TEXT(Z457, "mmmm")</f>
        <v>June</v>
      </c>
      <c r="AC457" s="1" t="str">
        <f>TEXT(Z457, "dddd")</f>
        <v>Sunday</v>
      </c>
      <c r="AD457" s="4" t="s">
        <v>62</v>
      </c>
      <c r="AE457" s="4" t="s">
        <v>62</v>
      </c>
      <c r="AF457" s="4" t="s">
        <v>102</v>
      </c>
      <c r="AG457" s="4" t="s">
        <v>93</v>
      </c>
      <c r="AH457" s="3">
        <v>13</v>
      </c>
    </row>
    <row r="458" spans="1:34">
      <c r="A458" s="4" t="s">
        <v>1016</v>
      </c>
      <c r="B458" s="3">
        <v>35</v>
      </c>
      <c r="C458" s="9" t="str" cm="1">
        <f t="array" ref="C458">_xlfn.IFS(B458&gt;65,"+65",B458&gt;54,"55-65",B458&gt;44,"45-54",B458&gt;35,"36-44",B458&gt;25,"26-35",B458&gt;=18,"18-25")</f>
        <v>26-35</v>
      </c>
      <c r="D458" s="4" t="s">
        <v>66</v>
      </c>
      <c r="E458" s="4" t="s">
        <v>72</v>
      </c>
      <c r="F458" s="4" t="s">
        <v>79</v>
      </c>
      <c r="G458" s="4" t="s">
        <v>80</v>
      </c>
      <c r="H458" s="4" t="s">
        <v>1017</v>
      </c>
      <c r="I458" s="4" t="s">
        <v>100</v>
      </c>
      <c r="J458" s="5">
        <v>256.63</v>
      </c>
      <c r="K458" s="3">
        <v>12</v>
      </c>
      <c r="L458" s="4" t="str">
        <f>IF(AND(J458&gt;350,K458&gt;6), "True","False")</f>
        <v>False</v>
      </c>
      <c r="M458" s="4" t="s">
        <v>71</v>
      </c>
      <c r="N458" s="3">
        <v>1</v>
      </c>
      <c r="O458" s="4" t="str" cm="1">
        <f t="array" ref="O458">_xlfn.IFS(P458&lt;=2,"Poor",P458=3,"Average",P458&gt;=4,"Good")</f>
        <v>Good</v>
      </c>
      <c r="P458" s="3">
        <v>4</v>
      </c>
      <c r="Q458" s="2">
        <v>0</v>
      </c>
      <c r="R458" s="4" t="s">
        <v>72</v>
      </c>
      <c r="S458" s="4" t="s">
        <v>84</v>
      </c>
      <c r="T458" s="3">
        <v>2</v>
      </c>
      <c r="U458" s="4" t="str" cm="1">
        <f t="array" ref="U458">_xlfn.IFS(V458&lt;=4, "Dissatisfied",V458&lt;=7,"Neutral",V458&gt;=8,"Satisfied")</f>
        <v>Dissatisfied</v>
      </c>
      <c r="V458" s="3">
        <v>2</v>
      </c>
      <c r="W458" s="4" t="s">
        <v>57</v>
      </c>
      <c r="X458" s="4" t="s">
        <v>60</v>
      </c>
      <c r="Y458" s="4" t="s">
        <v>75</v>
      </c>
      <c r="Z458" s="1">
        <v>45459</v>
      </c>
      <c r="AA458" s="4" t="str" cm="1">
        <f t="array" ref="AA458">_xlfn.IFS(OR(AB458="December", AB458="February", AB458="January"), "Winter", OR(AB458="March", AB458="April", AB458="May"), "Spring", OR(AB458="June", AB458="July", AB458="August"), "Summer", TRUE, "Autumn")</f>
        <v>Summer</v>
      </c>
      <c r="AB458" s="7" t="str">
        <f>TEXT(Z458, "mmmm")</f>
        <v>June</v>
      </c>
      <c r="AC458" s="1" t="str">
        <f>TEXT(Z458, "dddd")</f>
        <v>Sunday</v>
      </c>
      <c r="AD458" s="4" t="s">
        <v>62</v>
      </c>
      <c r="AE458" s="4" t="s">
        <v>62</v>
      </c>
      <c r="AF458" s="4" t="s">
        <v>92</v>
      </c>
      <c r="AG458" s="4" t="s">
        <v>64</v>
      </c>
      <c r="AH458" s="3">
        <v>10</v>
      </c>
    </row>
    <row r="459" spans="1:34">
      <c r="A459" s="4" t="s">
        <v>1018</v>
      </c>
      <c r="B459" s="3">
        <v>23</v>
      </c>
      <c r="C459" s="9" t="str" cm="1">
        <f t="array" ref="C459">_xlfn.IFS(B459&gt;65,"+65",B459&gt;54,"55-65",B459&gt;44,"45-54",B459&gt;35,"36-44",B459&gt;25,"26-35",B459&gt;=18,"18-25")</f>
        <v>18-25</v>
      </c>
      <c r="D459" s="4" t="s">
        <v>78</v>
      </c>
      <c r="E459" s="4" t="s">
        <v>51</v>
      </c>
      <c r="F459" s="4" t="s">
        <v>79</v>
      </c>
      <c r="G459" s="4" t="s">
        <v>68</v>
      </c>
      <c r="H459" s="4" t="s">
        <v>1019</v>
      </c>
      <c r="I459" s="4" t="s">
        <v>194</v>
      </c>
      <c r="J459" s="5">
        <v>437.4</v>
      </c>
      <c r="K459" s="3">
        <v>6</v>
      </c>
      <c r="L459" s="4" t="str">
        <f>IF(AND(J459&gt;350,K459&gt;6), "True","False")</f>
        <v>False</v>
      </c>
      <c r="M459" s="4" t="s">
        <v>83</v>
      </c>
      <c r="N459" s="3">
        <v>1</v>
      </c>
      <c r="O459" s="4" t="str" cm="1">
        <f t="array" ref="O459">_xlfn.IFS(P459&lt;=2,"Poor",P459=3,"Average",P459&gt;=4,"Good")</f>
        <v>Good</v>
      </c>
      <c r="P459" s="3">
        <v>4</v>
      </c>
      <c r="Q459" s="2">
        <v>1</v>
      </c>
      <c r="R459" s="4" t="s">
        <v>72</v>
      </c>
      <c r="S459" s="4" t="s">
        <v>84</v>
      </c>
      <c r="T459" s="3">
        <v>2</v>
      </c>
      <c r="U459" s="4" t="str" cm="1">
        <f t="array" ref="U459">_xlfn.IFS(V459&lt;=4, "Dissatisfied",V459&lt;=7,"Neutral",V459&gt;=8,"Satisfied")</f>
        <v>Neutral</v>
      </c>
      <c r="V459" s="3">
        <v>5</v>
      </c>
      <c r="W459" s="4" t="s">
        <v>59</v>
      </c>
      <c r="X459" s="4" t="s">
        <v>74</v>
      </c>
      <c r="Y459" s="4" t="s">
        <v>119</v>
      </c>
      <c r="Z459" s="1">
        <v>45459</v>
      </c>
      <c r="AA459" s="4" t="str" cm="1">
        <f t="array" ref="AA459">_xlfn.IFS(OR(AB459="December", AB459="February", AB459="January"), "Winter", OR(AB459="March", AB459="April", AB459="May"), "Spring", OR(AB459="June", AB459="July", AB459="August"), "Summer", TRUE, "Autumn")</f>
        <v>Summer</v>
      </c>
      <c r="AB459" s="7" t="str">
        <f>TEXT(Z459, "mmmm")</f>
        <v>June</v>
      </c>
      <c r="AC459" s="1" t="str">
        <f>TEXT(Z459, "dddd")</f>
        <v>Sunday</v>
      </c>
      <c r="AD459" s="4" t="s">
        <v>76</v>
      </c>
      <c r="AE459" s="4" t="s">
        <v>76</v>
      </c>
      <c r="AF459" s="4" t="s">
        <v>87</v>
      </c>
      <c r="AG459" s="4" t="s">
        <v>93</v>
      </c>
      <c r="AH459" s="3">
        <v>1</v>
      </c>
    </row>
    <row r="460" spans="1:34">
      <c r="A460" s="4" t="s">
        <v>1020</v>
      </c>
      <c r="B460" s="3">
        <v>20</v>
      </c>
      <c r="C460" s="9" t="str" cm="1">
        <f t="array" ref="C460">_xlfn.IFS(B460&gt;65,"+65",B460&gt;54,"55-65",B460&gt;44,"45-54",B460&gt;35,"36-44",B460&gt;25,"26-35",B460&gt;=18,"18-25")</f>
        <v>18-25</v>
      </c>
      <c r="D460" s="4" t="s">
        <v>160</v>
      </c>
      <c r="E460" s="4" t="s">
        <v>72</v>
      </c>
      <c r="F460" s="4" t="s">
        <v>79</v>
      </c>
      <c r="G460" s="4" t="s">
        <v>68</v>
      </c>
      <c r="H460" s="4" t="s">
        <v>1021</v>
      </c>
      <c r="I460" s="4" t="s">
        <v>169</v>
      </c>
      <c r="J460" s="5">
        <v>393.35</v>
      </c>
      <c r="K460" s="3">
        <v>7</v>
      </c>
      <c r="L460" s="4" t="str">
        <f>IF(AND(J460&gt;350,K460&gt;6), "True","False")</f>
        <v>True</v>
      </c>
      <c r="M460" s="4" t="s">
        <v>83</v>
      </c>
      <c r="N460" s="3">
        <v>3</v>
      </c>
      <c r="O460" s="4" t="str" cm="1">
        <f t="array" ref="O460">_xlfn.IFS(P460&lt;=2,"Poor",P460=3,"Average",P460&gt;=4,"Good")</f>
        <v>Good</v>
      </c>
      <c r="P460" s="3">
        <v>4</v>
      </c>
      <c r="Q460" s="2">
        <v>2</v>
      </c>
      <c r="R460" s="4" t="s">
        <v>72</v>
      </c>
      <c r="S460" s="4" t="s">
        <v>58</v>
      </c>
      <c r="T460" s="3">
        <v>0</v>
      </c>
      <c r="U460" s="4" t="str" cm="1">
        <f t="array" ref="U460">_xlfn.IFS(V460&lt;=4, "Dissatisfied",V460&lt;=7,"Neutral",V460&gt;=8,"Satisfied")</f>
        <v>Dissatisfied</v>
      </c>
      <c r="V460" s="3">
        <v>4</v>
      </c>
      <c r="W460" s="4" t="s">
        <v>72</v>
      </c>
      <c r="X460" s="4" t="s">
        <v>74</v>
      </c>
      <c r="Y460" s="4" t="s">
        <v>119</v>
      </c>
      <c r="Z460" s="1">
        <v>45459</v>
      </c>
      <c r="AA460" s="4" t="str" cm="1">
        <f t="array" ref="AA460">_xlfn.IFS(OR(AB460="December", AB460="February", AB460="January"), "Winter", OR(AB460="March", AB460="April", AB460="May"), "Spring", OR(AB460="June", AB460="July", AB460="August"), "Summer", TRUE, "Autumn")</f>
        <v>Summer</v>
      </c>
      <c r="AB460" s="7" t="str">
        <f>TEXT(Z460, "mmmm")</f>
        <v>June</v>
      </c>
      <c r="AC460" s="1" t="str">
        <f>TEXT(Z460, "dddd")</f>
        <v>Sunday</v>
      </c>
      <c r="AD460" s="4" t="s">
        <v>62</v>
      </c>
      <c r="AE460" s="4" t="s">
        <v>62</v>
      </c>
      <c r="AF460" s="4" t="s">
        <v>63</v>
      </c>
      <c r="AG460" s="4" t="s">
        <v>88</v>
      </c>
      <c r="AH460" s="3">
        <v>12</v>
      </c>
    </row>
    <row r="461" spans="1:34">
      <c r="A461" s="4" t="s">
        <v>1022</v>
      </c>
      <c r="B461" s="3">
        <v>42</v>
      </c>
      <c r="C461" s="9" t="str" cm="1">
        <f t="array" ref="C461">_xlfn.IFS(B461&gt;65,"+65",B461&gt;54,"55-65",B461&gt;44,"45-54",B461&gt;35,"36-44",B461&gt;25,"26-35",B461&gt;=18,"18-25")</f>
        <v>36-44</v>
      </c>
      <c r="D461" s="4" t="s">
        <v>66</v>
      </c>
      <c r="E461" s="4" t="s">
        <v>51</v>
      </c>
      <c r="F461" s="4" t="s">
        <v>79</v>
      </c>
      <c r="G461" s="4" t="s">
        <v>68</v>
      </c>
      <c r="H461" s="4" t="s">
        <v>1023</v>
      </c>
      <c r="I461" s="4" t="s">
        <v>172</v>
      </c>
      <c r="J461" s="5">
        <v>169.28</v>
      </c>
      <c r="K461" s="3">
        <v>7</v>
      </c>
      <c r="L461" s="4" t="str">
        <f>IF(AND(J461&gt;350,K461&gt;6), "True","False")</f>
        <v>False</v>
      </c>
      <c r="M461" s="4" t="s">
        <v>83</v>
      </c>
      <c r="N461" s="3">
        <v>4</v>
      </c>
      <c r="O461" s="4" t="str" cm="1">
        <f t="array" ref="O461">_xlfn.IFS(P461&lt;=2,"Poor",P461=3,"Average",P461&gt;=4,"Good")</f>
        <v>Good</v>
      </c>
      <c r="P461" s="3">
        <v>4</v>
      </c>
      <c r="Q461" s="2">
        <v>1</v>
      </c>
      <c r="R461" s="4" t="s">
        <v>57</v>
      </c>
      <c r="S461" s="4" t="s">
        <v>84</v>
      </c>
      <c r="T461" s="3">
        <v>2</v>
      </c>
      <c r="U461" s="4" t="str" cm="1">
        <f t="array" ref="U461">_xlfn.IFS(V461&lt;=4, "Dissatisfied",V461&lt;=7,"Neutral",V461&gt;=8,"Satisfied")</f>
        <v>Dissatisfied</v>
      </c>
      <c r="V461" s="3">
        <v>1</v>
      </c>
      <c r="W461" s="4" t="s">
        <v>59</v>
      </c>
      <c r="X461" s="4" t="s">
        <v>74</v>
      </c>
      <c r="Y461" s="4" t="s">
        <v>61</v>
      </c>
      <c r="Z461" s="1">
        <v>45460</v>
      </c>
      <c r="AA461" s="4" t="str" cm="1">
        <f t="array" ref="AA461">_xlfn.IFS(OR(AB461="December", AB461="February", AB461="January"), "Winter", OR(AB461="March", AB461="April", AB461="May"), "Spring", OR(AB461="June", AB461="July", AB461="August"), "Summer", TRUE, "Autumn")</f>
        <v>Summer</v>
      </c>
      <c r="AB461" s="7" t="str">
        <f>TEXT(Z461, "mmmm")</f>
        <v>June</v>
      </c>
      <c r="AC461" s="1" t="str">
        <f>TEXT(Z461, "dddd")</f>
        <v>Monday</v>
      </c>
      <c r="AD461" s="4" t="s">
        <v>62</v>
      </c>
      <c r="AE461" s="4" t="s">
        <v>62</v>
      </c>
      <c r="AF461" s="4" t="s">
        <v>92</v>
      </c>
      <c r="AG461" s="4" t="s">
        <v>88</v>
      </c>
      <c r="AH461" s="3">
        <v>6</v>
      </c>
    </row>
    <row r="462" spans="1:34">
      <c r="A462" s="4" t="s">
        <v>1024</v>
      </c>
      <c r="B462" s="3">
        <v>40</v>
      </c>
      <c r="C462" s="9" t="str" cm="1">
        <f t="array" ref="C462">_xlfn.IFS(B462&gt;65,"+65",B462&gt;54,"55-65",B462&gt;44,"45-54",B462&gt;35,"36-44",B462&gt;25,"26-35",B462&gt;=18,"18-25")</f>
        <v>36-44</v>
      </c>
      <c r="D462" s="4" t="s">
        <v>66</v>
      </c>
      <c r="E462" s="4" t="s">
        <v>72</v>
      </c>
      <c r="F462" s="4" t="s">
        <v>95</v>
      </c>
      <c r="G462" s="4" t="s">
        <v>68</v>
      </c>
      <c r="H462" s="4" t="s">
        <v>1025</v>
      </c>
      <c r="I462" s="4" t="s">
        <v>234</v>
      </c>
      <c r="J462" s="5">
        <v>407.91</v>
      </c>
      <c r="K462" s="3">
        <v>7</v>
      </c>
      <c r="L462" s="4" t="str">
        <f>IF(AND(J462&gt;350,K462&gt;6), "True","False")</f>
        <v>True</v>
      </c>
      <c r="M462" s="4" t="s">
        <v>71</v>
      </c>
      <c r="N462" s="3">
        <v>2</v>
      </c>
      <c r="O462" s="4" t="str" cm="1">
        <f t="array" ref="O462">_xlfn.IFS(P462&lt;=2,"Poor",P462=3,"Average",P462&gt;=4,"Good")</f>
        <v>Good</v>
      </c>
      <c r="P462" s="3">
        <v>5</v>
      </c>
      <c r="Q462" s="2">
        <v>0</v>
      </c>
      <c r="R462" s="4" t="s">
        <v>59</v>
      </c>
      <c r="S462" s="4" t="s">
        <v>58</v>
      </c>
      <c r="T462" s="3">
        <v>0</v>
      </c>
      <c r="U462" s="4" t="str" cm="1">
        <f t="array" ref="U462">_xlfn.IFS(V462&lt;=4, "Dissatisfied",V462&lt;=7,"Neutral",V462&gt;=8,"Satisfied")</f>
        <v>Neutral</v>
      </c>
      <c r="V462" s="3">
        <v>5</v>
      </c>
      <c r="W462" s="4" t="s">
        <v>59</v>
      </c>
      <c r="X462" s="4" t="s">
        <v>74</v>
      </c>
      <c r="Y462" s="4" t="s">
        <v>111</v>
      </c>
      <c r="Z462" s="1">
        <v>45460</v>
      </c>
      <c r="AA462" s="4" t="str" cm="1">
        <f t="array" ref="AA462">_xlfn.IFS(OR(AB462="December", AB462="February", AB462="January"), "Winter", OR(AB462="March", AB462="April", AB462="May"), "Spring", OR(AB462="June", AB462="July", AB462="August"), "Summer", TRUE, "Autumn")</f>
        <v>Summer</v>
      </c>
      <c r="AB462" s="7" t="str">
        <f>TEXT(Z462, "mmmm")</f>
        <v>June</v>
      </c>
      <c r="AC462" s="1" t="str">
        <f>TEXT(Z462, "dddd")</f>
        <v>Monday</v>
      </c>
      <c r="AD462" s="4" t="s">
        <v>62</v>
      </c>
      <c r="AE462" s="4" t="s">
        <v>62</v>
      </c>
      <c r="AF462" s="4" t="s">
        <v>63</v>
      </c>
      <c r="AG462" s="4" t="s">
        <v>64</v>
      </c>
      <c r="AH462" s="3">
        <v>14</v>
      </c>
    </row>
    <row r="463" spans="1:34">
      <c r="A463" s="4" t="s">
        <v>1026</v>
      </c>
      <c r="B463" s="3">
        <v>36</v>
      </c>
      <c r="C463" s="9" t="str" cm="1">
        <f t="array" ref="C463">_xlfn.IFS(B463&gt;65,"+65",B463&gt;54,"55-65",B463&gt;44,"45-54",B463&gt;35,"36-44",B463&gt;25,"26-35",B463&gt;=18,"18-25")</f>
        <v>36-44</v>
      </c>
      <c r="D463" s="4" t="s">
        <v>66</v>
      </c>
      <c r="E463" s="4" t="s">
        <v>72</v>
      </c>
      <c r="F463" s="4" t="s">
        <v>79</v>
      </c>
      <c r="G463" s="4" t="s">
        <v>68</v>
      </c>
      <c r="H463" s="4" t="s">
        <v>1027</v>
      </c>
      <c r="I463" s="4" t="s">
        <v>100</v>
      </c>
      <c r="J463" s="5">
        <v>298.32</v>
      </c>
      <c r="K463" s="3">
        <v>7</v>
      </c>
      <c r="L463" s="4" t="str">
        <f>IF(AND(J463&gt;350,K463&gt;6), "True","False")</f>
        <v>False</v>
      </c>
      <c r="M463" s="4" t="s">
        <v>71</v>
      </c>
      <c r="N463" s="3">
        <v>3</v>
      </c>
      <c r="O463" s="4" t="str" cm="1">
        <f t="array" ref="O463">_xlfn.IFS(P463&lt;=2,"Poor",P463=3,"Average",P463&gt;=4,"Good")</f>
        <v>Good</v>
      </c>
      <c r="P463" s="3">
        <v>5</v>
      </c>
      <c r="Q463" s="2">
        <v>1</v>
      </c>
      <c r="R463" s="4" t="s">
        <v>59</v>
      </c>
      <c r="S463" s="4" t="s">
        <v>84</v>
      </c>
      <c r="T463" s="3">
        <v>2</v>
      </c>
      <c r="U463" s="4" t="str" cm="1">
        <f t="array" ref="U463">_xlfn.IFS(V463&lt;=4, "Dissatisfied",V463&lt;=7,"Neutral",V463&gt;=8,"Satisfied")</f>
        <v>Satisfied</v>
      </c>
      <c r="V463" s="3">
        <v>8</v>
      </c>
      <c r="W463" s="4" t="s">
        <v>57</v>
      </c>
      <c r="X463" s="4" t="s">
        <v>74</v>
      </c>
      <c r="Y463" s="4" t="s">
        <v>111</v>
      </c>
      <c r="Z463" s="1">
        <v>45460</v>
      </c>
      <c r="AA463" s="4" t="str" cm="1">
        <f t="array" ref="AA463">_xlfn.IFS(OR(AB463="December", AB463="February", AB463="January"), "Winter", OR(AB463="March", AB463="April", AB463="May"), "Spring", OR(AB463="June", AB463="July", AB463="August"), "Summer", TRUE, "Autumn")</f>
        <v>Summer</v>
      </c>
      <c r="AB463" s="7" t="str">
        <f>TEXT(Z463, "mmmm")</f>
        <v>June</v>
      </c>
      <c r="AC463" s="1" t="str">
        <f>TEXT(Z463, "dddd")</f>
        <v>Monday</v>
      </c>
      <c r="AD463" s="4" t="s">
        <v>62</v>
      </c>
      <c r="AE463" s="4" t="s">
        <v>76</v>
      </c>
      <c r="AF463" s="4" t="s">
        <v>102</v>
      </c>
      <c r="AG463" s="4" t="s">
        <v>64</v>
      </c>
      <c r="AH463" s="3">
        <v>12</v>
      </c>
    </row>
    <row r="464" spans="1:34">
      <c r="A464" s="4" t="s">
        <v>1028</v>
      </c>
      <c r="B464" s="3">
        <v>29</v>
      </c>
      <c r="C464" s="9" t="str" cm="1">
        <f t="array" ref="C464">_xlfn.IFS(B464&gt;65,"+65",B464&gt;54,"55-65",B464&gt;44,"45-54",B464&gt;35,"36-44",B464&gt;25,"26-35",B464&gt;=18,"18-25")</f>
        <v>26-35</v>
      </c>
      <c r="D464" s="4" t="s">
        <v>78</v>
      </c>
      <c r="E464" s="4" t="s">
        <v>72</v>
      </c>
      <c r="F464" s="4" t="s">
        <v>52</v>
      </c>
      <c r="G464" s="4" t="s">
        <v>68</v>
      </c>
      <c r="H464" s="4" t="s">
        <v>1029</v>
      </c>
      <c r="I464" s="4" t="s">
        <v>97</v>
      </c>
      <c r="J464" s="5">
        <v>336.89</v>
      </c>
      <c r="K464" s="3">
        <v>4</v>
      </c>
      <c r="L464" s="4" t="str">
        <f>IF(AND(J464&gt;350,K464&gt;6), "True","False")</f>
        <v>False</v>
      </c>
      <c r="M464" s="4" t="s">
        <v>56</v>
      </c>
      <c r="N464" s="3">
        <v>2</v>
      </c>
      <c r="O464" s="4" t="str" cm="1">
        <f t="array" ref="O464">_xlfn.IFS(P464&lt;=2,"Poor",P464=3,"Average",P464&gt;=4,"Good")</f>
        <v>Poor</v>
      </c>
      <c r="P464" s="3">
        <v>1</v>
      </c>
      <c r="Q464" s="2">
        <v>2</v>
      </c>
      <c r="R464" s="4" t="s">
        <v>85</v>
      </c>
      <c r="S464" s="4" t="s">
        <v>73</v>
      </c>
      <c r="T464" s="3">
        <v>1</v>
      </c>
      <c r="U464" s="4" t="str" cm="1">
        <f t="array" ref="U464">_xlfn.IFS(V464&lt;=4, "Dissatisfied",V464&lt;=7,"Neutral",V464&gt;=8,"Satisfied")</f>
        <v>Neutral</v>
      </c>
      <c r="V464" s="3">
        <v>7</v>
      </c>
      <c r="W464" s="4" t="s">
        <v>72</v>
      </c>
      <c r="X464" s="4" t="s">
        <v>60</v>
      </c>
      <c r="Y464" s="4" t="s">
        <v>119</v>
      </c>
      <c r="Z464" s="1">
        <v>45460</v>
      </c>
      <c r="AA464" s="4" t="str" cm="1">
        <f t="array" ref="AA464">_xlfn.IFS(OR(AB464="December", AB464="February", AB464="January"), "Winter", OR(AB464="March", AB464="April", AB464="May"), "Spring", OR(AB464="June", AB464="July", AB464="August"), "Summer", TRUE, "Autumn")</f>
        <v>Summer</v>
      </c>
      <c r="AB464" s="7" t="str">
        <f>TEXT(Z464, "mmmm")</f>
        <v>June</v>
      </c>
      <c r="AC464" s="1" t="str">
        <f>TEXT(Z464, "dddd")</f>
        <v>Monday</v>
      </c>
      <c r="AD464" s="4" t="s">
        <v>76</v>
      </c>
      <c r="AE464" s="4" t="s">
        <v>76</v>
      </c>
      <c r="AF464" s="4" t="s">
        <v>87</v>
      </c>
      <c r="AG464" s="4" t="s">
        <v>93</v>
      </c>
      <c r="AH464" s="3">
        <v>9</v>
      </c>
    </row>
    <row r="465" spans="1:34">
      <c r="A465" s="4" t="s">
        <v>1030</v>
      </c>
      <c r="B465" s="3">
        <v>18</v>
      </c>
      <c r="C465" s="9" t="str" cm="1">
        <f t="array" ref="C465">_xlfn.IFS(B465&gt;65,"+65",B465&gt;54,"55-65",B465&gt;44,"45-54",B465&gt;35,"36-44",B465&gt;25,"26-35",B465&gt;=18,"18-25")</f>
        <v>18-25</v>
      </c>
      <c r="D465" s="4" t="s">
        <v>78</v>
      </c>
      <c r="E465" s="4" t="s">
        <v>72</v>
      </c>
      <c r="F465" s="4" t="s">
        <v>79</v>
      </c>
      <c r="G465" s="4" t="s">
        <v>68</v>
      </c>
      <c r="H465" s="4" t="s">
        <v>1031</v>
      </c>
      <c r="I465" s="4" t="s">
        <v>164</v>
      </c>
      <c r="J465" s="5">
        <v>413.7</v>
      </c>
      <c r="K465" s="3">
        <v>8</v>
      </c>
      <c r="L465" s="4" t="str">
        <f>IF(AND(J465&gt;350,K465&gt;6), "True","False")</f>
        <v>True</v>
      </c>
      <c r="M465" s="4" t="s">
        <v>83</v>
      </c>
      <c r="N465" s="3">
        <v>3</v>
      </c>
      <c r="O465" s="4" t="str" cm="1">
        <f t="array" ref="O465">_xlfn.IFS(P465&lt;=2,"Poor",P465=3,"Average",P465&gt;=4,"Good")</f>
        <v>Average</v>
      </c>
      <c r="P465" s="3">
        <v>3</v>
      </c>
      <c r="Q465" s="2">
        <v>0.3</v>
      </c>
      <c r="R465" s="4" t="s">
        <v>59</v>
      </c>
      <c r="S465" s="4" t="s">
        <v>73</v>
      </c>
      <c r="T465" s="3">
        <v>0</v>
      </c>
      <c r="U465" s="4" t="str" cm="1">
        <f t="array" ref="U465">_xlfn.IFS(V465&lt;=4, "Dissatisfied",V465&lt;=7,"Neutral",V465&gt;=8,"Satisfied")</f>
        <v>Satisfied</v>
      </c>
      <c r="V465" s="3">
        <v>9</v>
      </c>
      <c r="W465" s="4" t="s">
        <v>72</v>
      </c>
      <c r="X465" s="4" t="s">
        <v>101</v>
      </c>
      <c r="Y465" s="4" t="s">
        <v>111</v>
      </c>
      <c r="Z465" s="1">
        <v>45460</v>
      </c>
      <c r="AA465" s="4" t="str" cm="1">
        <f t="array" ref="AA465">_xlfn.IFS(OR(AB465="December", AB465="February", AB465="January"), "Winter", OR(AB465="March", AB465="April", AB465="May"), "Spring", OR(AB465="June", AB465="July", AB465="August"), "Summer", TRUE, "Autumn")</f>
        <v>Summer</v>
      </c>
      <c r="AB465" s="7" t="str">
        <f>TEXT(Z465, "mmmm")</f>
        <v>June</v>
      </c>
      <c r="AC465" s="1" t="str">
        <f>TEXT(Z465, "dddd")</f>
        <v>Monday</v>
      </c>
      <c r="AD465" s="4" t="s">
        <v>76</v>
      </c>
      <c r="AE465" s="4" t="s">
        <v>62</v>
      </c>
      <c r="AF465" s="4" t="s">
        <v>63</v>
      </c>
      <c r="AG465" s="4" t="s">
        <v>88</v>
      </c>
      <c r="AH465" s="3">
        <v>6</v>
      </c>
    </row>
    <row r="466" spans="1:34">
      <c r="A466" s="4" t="s">
        <v>1032</v>
      </c>
      <c r="B466" s="3">
        <v>48</v>
      </c>
      <c r="C466" s="9" t="str" cm="1">
        <f t="array" ref="C466">_xlfn.IFS(B466&gt;65,"+65",B466&gt;54,"55-65",B466&gt;44,"45-54",B466&gt;35,"36-44",B466&gt;25,"26-35",B466&gt;=18,"18-25")</f>
        <v>45-54</v>
      </c>
      <c r="D466" s="4" t="s">
        <v>66</v>
      </c>
      <c r="E466" s="4" t="s">
        <v>72</v>
      </c>
      <c r="F466" s="4" t="s">
        <v>95</v>
      </c>
      <c r="G466" s="4" t="s">
        <v>68</v>
      </c>
      <c r="H466" s="4" t="s">
        <v>1033</v>
      </c>
      <c r="I466" s="4" t="s">
        <v>194</v>
      </c>
      <c r="J466" s="5">
        <v>334.45</v>
      </c>
      <c r="K466" s="3">
        <v>2</v>
      </c>
      <c r="L466" s="4" t="str">
        <f>IF(AND(J466&gt;350,K466&gt;6), "True","False")</f>
        <v>False</v>
      </c>
      <c r="M466" s="4" t="s">
        <v>71</v>
      </c>
      <c r="N466" s="3">
        <v>2</v>
      </c>
      <c r="O466" s="4" t="str" cm="1">
        <f t="array" ref="O466">_xlfn.IFS(P466&lt;=2,"Poor",P466=3,"Average",P466&gt;=4,"Good")</f>
        <v>Good</v>
      </c>
      <c r="P466" s="3">
        <v>5</v>
      </c>
      <c r="Q466" s="2">
        <v>0</v>
      </c>
      <c r="R466" s="4" t="s">
        <v>85</v>
      </c>
      <c r="S466" s="4" t="s">
        <v>58</v>
      </c>
      <c r="T466" s="3">
        <v>2</v>
      </c>
      <c r="U466" s="4" t="str" cm="1">
        <f t="array" ref="U466">_xlfn.IFS(V466&lt;=4, "Dissatisfied",V466&lt;=7,"Neutral",V466&gt;=8,"Satisfied")</f>
        <v>Satisfied</v>
      </c>
      <c r="V466" s="3">
        <v>9</v>
      </c>
      <c r="W466" s="4" t="s">
        <v>72</v>
      </c>
      <c r="X466" s="4" t="s">
        <v>74</v>
      </c>
      <c r="Y466" s="4" t="s">
        <v>119</v>
      </c>
      <c r="Z466" s="1">
        <v>45461</v>
      </c>
      <c r="AA466" s="4" t="str" cm="1">
        <f t="array" ref="AA466">_xlfn.IFS(OR(AB466="December", AB466="February", AB466="January"), "Winter", OR(AB466="March", AB466="April", AB466="May"), "Spring", OR(AB466="June", AB466="July", AB466="August"), "Summer", TRUE, "Autumn")</f>
        <v>Summer</v>
      </c>
      <c r="AB466" s="7" t="str">
        <f>TEXT(Z466, "mmmm")</f>
        <v>June</v>
      </c>
      <c r="AC466" s="1" t="str">
        <f>TEXT(Z466, "dddd")</f>
        <v>Tuesday</v>
      </c>
      <c r="AD466" s="4" t="s">
        <v>62</v>
      </c>
      <c r="AE466" s="4" t="s">
        <v>76</v>
      </c>
      <c r="AF466" s="4" t="s">
        <v>92</v>
      </c>
      <c r="AG466" s="4" t="s">
        <v>88</v>
      </c>
      <c r="AH466" s="3">
        <v>6</v>
      </c>
    </row>
    <row r="467" spans="1:34">
      <c r="A467" s="4" t="s">
        <v>1034</v>
      </c>
      <c r="B467" s="3">
        <v>34</v>
      </c>
      <c r="C467" s="9" t="str" cm="1">
        <f t="array" ref="C467">_xlfn.IFS(B467&gt;65,"+65",B467&gt;54,"55-65",B467&gt;44,"45-54",B467&gt;35,"36-44",B467&gt;25,"26-35",B467&gt;=18,"18-25")</f>
        <v>26-35</v>
      </c>
      <c r="D467" s="4" t="s">
        <v>78</v>
      </c>
      <c r="E467" s="4" t="s">
        <v>72</v>
      </c>
      <c r="F467" s="4" t="s">
        <v>67</v>
      </c>
      <c r="G467" s="4" t="s">
        <v>80</v>
      </c>
      <c r="H467" s="4" t="s">
        <v>1035</v>
      </c>
      <c r="I467" s="4" t="s">
        <v>55</v>
      </c>
      <c r="J467" s="5">
        <v>141.09</v>
      </c>
      <c r="K467" s="3">
        <v>7</v>
      </c>
      <c r="L467" s="4" t="str">
        <f>IF(AND(J467&gt;350,K467&gt;6), "True","False")</f>
        <v>False</v>
      </c>
      <c r="M467" s="4" t="s">
        <v>71</v>
      </c>
      <c r="N467" s="3">
        <v>3</v>
      </c>
      <c r="O467" s="4" t="str" cm="1">
        <f t="array" ref="O467">_xlfn.IFS(P467&lt;=2,"Poor",P467=3,"Average",P467&gt;=4,"Good")</f>
        <v>Good</v>
      </c>
      <c r="P467" s="3">
        <v>4</v>
      </c>
      <c r="Q467" s="2">
        <v>0</v>
      </c>
      <c r="R467" s="4" t="s">
        <v>72</v>
      </c>
      <c r="S467" s="4" t="s">
        <v>73</v>
      </c>
      <c r="T467" s="3">
        <v>2</v>
      </c>
      <c r="U467" s="4" t="str" cm="1">
        <f t="array" ref="U467">_xlfn.IFS(V467&lt;=4, "Dissatisfied",V467&lt;=7,"Neutral",V467&gt;=8,"Satisfied")</f>
        <v>Dissatisfied</v>
      </c>
      <c r="V467" s="3">
        <v>3</v>
      </c>
      <c r="W467" s="4" t="s">
        <v>72</v>
      </c>
      <c r="X467" s="4" t="s">
        <v>101</v>
      </c>
      <c r="Y467" s="4" t="s">
        <v>75</v>
      </c>
      <c r="Z467" s="1">
        <v>45462</v>
      </c>
      <c r="AA467" s="4" t="str" cm="1">
        <f t="array" ref="AA467">_xlfn.IFS(OR(AB467="December", AB467="February", AB467="January"), "Winter", OR(AB467="March", AB467="April", AB467="May"), "Spring", OR(AB467="June", AB467="July", AB467="August"), "Summer", TRUE, "Autumn")</f>
        <v>Summer</v>
      </c>
      <c r="AB467" s="7" t="str">
        <f>TEXT(Z467, "mmmm")</f>
        <v>June</v>
      </c>
      <c r="AC467" s="1" t="str">
        <f>TEXT(Z467, "dddd")</f>
        <v>Wednesday</v>
      </c>
      <c r="AD467" s="4" t="s">
        <v>76</v>
      </c>
      <c r="AE467" s="4" t="s">
        <v>62</v>
      </c>
      <c r="AF467" s="4" t="s">
        <v>102</v>
      </c>
      <c r="AG467" s="4" t="s">
        <v>93</v>
      </c>
      <c r="AH467" s="3">
        <v>1</v>
      </c>
    </row>
    <row r="468" spans="1:34">
      <c r="A468" s="4" t="s">
        <v>1036</v>
      </c>
      <c r="B468" s="3">
        <v>44</v>
      </c>
      <c r="C468" s="9" t="str" cm="1">
        <f t="array" ref="C468">_xlfn.IFS(B468&gt;65,"+65",B468&gt;54,"55-65",B468&gt;44,"45-54",B468&gt;35,"36-44",B468&gt;25,"26-35",B468&gt;=18,"18-25")</f>
        <v>36-44</v>
      </c>
      <c r="D468" s="4" t="s">
        <v>78</v>
      </c>
      <c r="E468" s="4" t="s">
        <v>72</v>
      </c>
      <c r="F468" s="4" t="s">
        <v>67</v>
      </c>
      <c r="G468" s="4" t="s">
        <v>68</v>
      </c>
      <c r="H468" s="4" t="s">
        <v>1037</v>
      </c>
      <c r="I468" s="4" t="s">
        <v>156</v>
      </c>
      <c r="J468" s="5">
        <v>136.66999999999999</v>
      </c>
      <c r="K468" s="3">
        <v>3</v>
      </c>
      <c r="L468" s="4" t="str">
        <f>IF(AND(J468&gt;350,K468&gt;6), "True","False")</f>
        <v>False</v>
      </c>
      <c r="M468" s="4" t="s">
        <v>56</v>
      </c>
      <c r="N468" s="3">
        <v>3</v>
      </c>
      <c r="O468" s="4" t="str" cm="1">
        <f t="array" ref="O468">_xlfn.IFS(P468&lt;=2,"Poor",P468=3,"Average",P468&gt;=4,"Good")</f>
        <v>Poor</v>
      </c>
      <c r="P468" s="3">
        <v>1</v>
      </c>
      <c r="Q468" s="2">
        <v>1</v>
      </c>
      <c r="R468" s="4" t="s">
        <v>59</v>
      </c>
      <c r="S468" s="4" t="s">
        <v>84</v>
      </c>
      <c r="T468" s="3">
        <v>0</v>
      </c>
      <c r="U468" s="4" t="str" cm="1">
        <f t="array" ref="U468">_xlfn.IFS(V468&lt;=4, "Dissatisfied",V468&lt;=7,"Neutral",V468&gt;=8,"Satisfied")</f>
        <v>Dissatisfied</v>
      </c>
      <c r="V468" s="3">
        <v>2</v>
      </c>
      <c r="W468" s="4" t="s">
        <v>72</v>
      </c>
      <c r="X468" s="4" t="s">
        <v>101</v>
      </c>
      <c r="Y468" s="4" t="s">
        <v>86</v>
      </c>
      <c r="Z468" s="1">
        <v>45463</v>
      </c>
      <c r="AA468" s="4" t="str" cm="1">
        <f t="array" ref="AA468">_xlfn.IFS(OR(AB468="December", AB468="February", AB468="January"), "Winter", OR(AB468="March", AB468="April", AB468="May"), "Spring", OR(AB468="June", AB468="July", AB468="August"), "Summer", TRUE, "Autumn")</f>
        <v>Summer</v>
      </c>
      <c r="AB468" s="7" t="str">
        <f>TEXT(Z468, "mmmm")</f>
        <v>June</v>
      </c>
      <c r="AC468" s="1" t="str">
        <f>TEXT(Z468, "dddd")</f>
        <v>Thursday</v>
      </c>
      <c r="AD468" s="4" t="s">
        <v>76</v>
      </c>
      <c r="AE468" s="4" t="s">
        <v>62</v>
      </c>
      <c r="AF468" s="4" t="s">
        <v>92</v>
      </c>
      <c r="AG468" s="4" t="s">
        <v>64</v>
      </c>
      <c r="AH468" s="3">
        <v>1</v>
      </c>
    </row>
    <row r="469" spans="1:34">
      <c r="A469" s="4" t="s">
        <v>1038</v>
      </c>
      <c r="B469" s="3">
        <v>42</v>
      </c>
      <c r="C469" s="9" t="str" cm="1">
        <f t="array" ref="C469">_xlfn.IFS(B469&gt;65,"+65",B469&gt;54,"55-65",B469&gt;44,"45-54",B469&gt;35,"36-44",B469&gt;25,"26-35",B469&gt;=18,"18-25")</f>
        <v>36-44</v>
      </c>
      <c r="D469" s="4" t="s">
        <v>66</v>
      </c>
      <c r="E469" s="4" t="s">
        <v>51</v>
      </c>
      <c r="F469" s="4" t="s">
        <v>52</v>
      </c>
      <c r="G469" s="4" t="s">
        <v>53</v>
      </c>
      <c r="H469" s="4" t="s">
        <v>1039</v>
      </c>
      <c r="I469" s="4" t="s">
        <v>194</v>
      </c>
      <c r="J469" s="5">
        <v>456.83</v>
      </c>
      <c r="K469" s="3">
        <v>5</v>
      </c>
      <c r="L469" s="4" t="str">
        <f>IF(AND(J469&gt;350,K469&gt;6), "True","False")</f>
        <v>False</v>
      </c>
      <c r="M469" s="4" t="s">
        <v>56</v>
      </c>
      <c r="N469" s="3">
        <v>2</v>
      </c>
      <c r="O469" s="4" t="str" cm="1">
        <f t="array" ref="O469">_xlfn.IFS(P469&lt;=2,"Poor",P469=3,"Average",P469&gt;=4,"Good")</f>
        <v>Good</v>
      </c>
      <c r="P469" s="3">
        <v>5</v>
      </c>
      <c r="Q469" s="2">
        <v>0</v>
      </c>
      <c r="R469" s="4" t="s">
        <v>57</v>
      </c>
      <c r="S469" s="4" t="s">
        <v>58</v>
      </c>
      <c r="T469" s="3">
        <v>0</v>
      </c>
      <c r="U469" s="4" t="str" cm="1">
        <f t="array" ref="U469">_xlfn.IFS(V469&lt;=4, "Dissatisfied",V469&lt;=7,"Neutral",V469&gt;=8,"Satisfied")</f>
        <v>Satisfied</v>
      </c>
      <c r="V469" s="3">
        <v>9</v>
      </c>
      <c r="W469" s="4" t="s">
        <v>72</v>
      </c>
      <c r="X469" s="4" t="s">
        <v>74</v>
      </c>
      <c r="Y469" s="4" t="s">
        <v>119</v>
      </c>
      <c r="Z469" s="1">
        <v>45463</v>
      </c>
      <c r="AA469" s="4" t="str" cm="1">
        <f t="array" ref="AA469">_xlfn.IFS(OR(AB469="December", AB469="February", AB469="January"), "Winter", OR(AB469="March", AB469="April", AB469="May"), "Spring", OR(AB469="June", AB469="July", AB469="August"), "Summer", TRUE, "Autumn")</f>
        <v>Summer</v>
      </c>
      <c r="AB469" s="7" t="str">
        <f>TEXT(Z469, "mmmm")</f>
        <v>June</v>
      </c>
      <c r="AC469" s="1" t="str">
        <f>TEXT(Z469, "dddd")</f>
        <v>Thursday</v>
      </c>
      <c r="AD469" s="4" t="s">
        <v>76</v>
      </c>
      <c r="AE469" s="4" t="s">
        <v>76</v>
      </c>
      <c r="AF469" s="4" t="s">
        <v>63</v>
      </c>
      <c r="AG469" s="4" t="s">
        <v>88</v>
      </c>
      <c r="AH469" s="3">
        <v>13</v>
      </c>
    </row>
    <row r="470" spans="1:34">
      <c r="A470" s="4" t="s">
        <v>1040</v>
      </c>
      <c r="B470" s="3">
        <v>36</v>
      </c>
      <c r="C470" s="9" t="str" cm="1">
        <f t="array" ref="C470">_xlfn.IFS(B470&gt;65,"+65",B470&gt;54,"55-65",B470&gt;44,"45-54",B470&gt;35,"36-44",B470&gt;25,"26-35",B470&gt;=18,"18-25")</f>
        <v>36-44</v>
      </c>
      <c r="D470" s="4" t="s">
        <v>66</v>
      </c>
      <c r="E470" s="4" t="s">
        <v>72</v>
      </c>
      <c r="F470" s="4" t="s">
        <v>52</v>
      </c>
      <c r="G470" s="4" t="s">
        <v>53</v>
      </c>
      <c r="H470" s="4" t="s">
        <v>1041</v>
      </c>
      <c r="I470" s="4" t="s">
        <v>172</v>
      </c>
      <c r="J470" s="5">
        <v>352.35</v>
      </c>
      <c r="K470" s="3">
        <v>4</v>
      </c>
      <c r="L470" s="4" t="str">
        <f>IF(AND(J470&gt;350,K470&gt;6), "True","False")</f>
        <v>False</v>
      </c>
      <c r="M470" s="4" t="s">
        <v>56</v>
      </c>
      <c r="N470" s="3">
        <v>2</v>
      </c>
      <c r="O470" s="4" t="str" cm="1">
        <f t="array" ref="O470">_xlfn.IFS(P470&lt;=2,"Poor",P470=3,"Average",P470&gt;=4,"Good")</f>
        <v>Poor</v>
      </c>
      <c r="P470" s="3">
        <v>2</v>
      </c>
      <c r="Q470" s="2">
        <v>0</v>
      </c>
      <c r="R470" s="4" t="s">
        <v>59</v>
      </c>
      <c r="S470" s="4" t="s">
        <v>73</v>
      </c>
      <c r="T470" s="3">
        <v>1</v>
      </c>
      <c r="U470" s="4" t="str" cm="1">
        <f t="array" ref="U470">_xlfn.IFS(V470&lt;=4, "Dissatisfied",V470&lt;=7,"Neutral",V470&gt;=8,"Satisfied")</f>
        <v>Dissatisfied</v>
      </c>
      <c r="V470" s="3">
        <v>1</v>
      </c>
      <c r="W470" s="4" t="s">
        <v>59</v>
      </c>
      <c r="X470" s="4" t="s">
        <v>60</v>
      </c>
      <c r="Y470" s="4" t="s">
        <v>119</v>
      </c>
      <c r="Z470" s="1">
        <v>45463</v>
      </c>
      <c r="AA470" s="4" t="str" cm="1">
        <f t="array" ref="AA470">_xlfn.IFS(OR(AB470="December", AB470="February", AB470="January"), "Winter", OR(AB470="March", AB470="April", AB470="May"), "Spring", OR(AB470="June", AB470="July", AB470="August"), "Summer", TRUE, "Autumn")</f>
        <v>Summer</v>
      </c>
      <c r="AB470" s="7" t="str">
        <f>TEXT(Z470, "mmmm")</f>
        <v>June</v>
      </c>
      <c r="AC470" s="1" t="str">
        <f>TEXT(Z470, "dddd")</f>
        <v>Thursday</v>
      </c>
      <c r="AD470" s="4" t="s">
        <v>76</v>
      </c>
      <c r="AE470" s="4" t="s">
        <v>76</v>
      </c>
      <c r="AF470" s="4" t="s">
        <v>87</v>
      </c>
      <c r="AG470" s="4" t="s">
        <v>93</v>
      </c>
      <c r="AH470" s="3">
        <v>14</v>
      </c>
    </row>
    <row r="471" spans="1:34">
      <c r="A471" s="4" t="s">
        <v>1042</v>
      </c>
      <c r="B471" s="3">
        <v>48</v>
      </c>
      <c r="C471" s="9" t="str" cm="1">
        <f t="array" ref="C471">_xlfn.IFS(B471&gt;65,"+65",B471&gt;54,"55-65",B471&gt;44,"45-54",B471&gt;35,"36-44",B471&gt;25,"26-35",B471&gt;=18,"18-25")</f>
        <v>45-54</v>
      </c>
      <c r="D471" s="4" t="s">
        <v>66</v>
      </c>
      <c r="E471" s="4" t="s">
        <v>51</v>
      </c>
      <c r="F471" s="4" t="s">
        <v>95</v>
      </c>
      <c r="G471" s="4" t="s">
        <v>53</v>
      </c>
      <c r="H471" s="4" t="s">
        <v>1043</v>
      </c>
      <c r="I471" s="4" t="s">
        <v>223</v>
      </c>
      <c r="J471" s="5">
        <v>368.4</v>
      </c>
      <c r="K471" s="3">
        <v>11</v>
      </c>
      <c r="L471" s="4" t="str">
        <f>IF(AND(J471&gt;350,K471&gt;6), "True","False")</f>
        <v>True</v>
      </c>
      <c r="M471" s="4" t="s">
        <v>56</v>
      </c>
      <c r="N471" s="3">
        <v>2</v>
      </c>
      <c r="O471" s="4" t="str" cm="1">
        <f t="array" ref="O471">_xlfn.IFS(P471&lt;=2,"Poor",P471=3,"Average",P471&gt;=4,"Good")</f>
        <v>Good</v>
      </c>
      <c r="P471" s="3">
        <v>5</v>
      </c>
      <c r="Q471" s="2">
        <v>1</v>
      </c>
      <c r="R471" s="4" t="s">
        <v>72</v>
      </c>
      <c r="S471" s="4" t="s">
        <v>58</v>
      </c>
      <c r="T471" s="3">
        <v>0</v>
      </c>
      <c r="U471" s="4" t="str" cm="1">
        <f t="array" ref="U471">_xlfn.IFS(V471&lt;=4, "Dissatisfied",V471&lt;=7,"Neutral",V471&gt;=8,"Satisfied")</f>
        <v>Dissatisfied</v>
      </c>
      <c r="V471" s="3">
        <v>3</v>
      </c>
      <c r="W471" s="4" t="s">
        <v>72</v>
      </c>
      <c r="X471" s="4" t="s">
        <v>101</v>
      </c>
      <c r="Y471" s="4" t="s">
        <v>119</v>
      </c>
      <c r="Z471" s="1">
        <v>45464</v>
      </c>
      <c r="AA471" s="4" t="str" cm="1">
        <f t="array" ref="AA471">_xlfn.IFS(OR(AB471="December", AB471="February", AB471="January"), "Winter", OR(AB471="March", AB471="April", AB471="May"), "Spring", OR(AB471="June", AB471="July", AB471="August"), "Summer", TRUE, "Autumn")</f>
        <v>Summer</v>
      </c>
      <c r="AB471" s="7" t="str">
        <f>TEXT(Z471, "mmmm")</f>
        <v>June</v>
      </c>
      <c r="AC471" s="1" t="str">
        <f>TEXT(Z471, "dddd")</f>
        <v>Friday</v>
      </c>
      <c r="AD471" s="4" t="s">
        <v>76</v>
      </c>
      <c r="AE471" s="4" t="s">
        <v>76</v>
      </c>
      <c r="AF471" s="4" t="s">
        <v>63</v>
      </c>
      <c r="AG471" s="4" t="s">
        <v>88</v>
      </c>
      <c r="AH471" s="3">
        <v>13</v>
      </c>
    </row>
    <row r="472" spans="1:34">
      <c r="A472" s="4" t="s">
        <v>1044</v>
      </c>
      <c r="B472" s="3">
        <v>42</v>
      </c>
      <c r="C472" s="9" t="str" cm="1">
        <f t="array" ref="C472">_xlfn.IFS(B472&gt;65,"+65",B472&gt;54,"55-65",B472&gt;44,"45-54",B472&gt;35,"36-44",B472&gt;25,"26-35",B472&gt;=18,"18-25")</f>
        <v>36-44</v>
      </c>
      <c r="D472" s="4" t="s">
        <v>78</v>
      </c>
      <c r="E472" s="4" t="s">
        <v>72</v>
      </c>
      <c r="F472" s="4" t="s">
        <v>67</v>
      </c>
      <c r="G472" s="4" t="s">
        <v>80</v>
      </c>
      <c r="H472" s="4" t="s">
        <v>1045</v>
      </c>
      <c r="I472" s="4" t="s">
        <v>97</v>
      </c>
      <c r="J472" s="5">
        <v>425.69</v>
      </c>
      <c r="K472" s="3">
        <v>5</v>
      </c>
      <c r="L472" s="4" t="str">
        <f>IF(AND(J472&gt;350,K472&gt;6), "True","False")</f>
        <v>False</v>
      </c>
      <c r="M472" s="4" t="s">
        <v>71</v>
      </c>
      <c r="N472" s="3">
        <v>2</v>
      </c>
      <c r="O472" s="4" t="str" cm="1">
        <f t="array" ref="O472">_xlfn.IFS(P472&lt;=2,"Poor",P472=3,"Average",P472&gt;=4,"Good")</f>
        <v>Good</v>
      </c>
      <c r="P472" s="3">
        <v>5</v>
      </c>
      <c r="Q472" s="2">
        <v>0</v>
      </c>
      <c r="R472" s="4" t="s">
        <v>72</v>
      </c>
      <c r="S472" s="4" t="s">
        <v>73</v>
      </c>
      <c r="T472" s="3">
        <v>0</v>
      </c>
      <c r="U472" s="4" t="str" cm="1">
        <f t="array" ref="U472">_xlfn.IFS(V472&lt;=4, "Dissatisfied",V472&lt;=7,"Neutral",V472&gt;=8,"Satisfied")</f>
        <v>Dissatisfied</v>
      </c>
      <c r="V472" s="3">
        <v>4</v>
      </c>
      <c r="W472" s="4" t="s">
        <v>85</v>
      </c>
      <c r="X472" s="4" t="s">
        <v>74</v>
      </c>
      <c r="Y472" s="4" t="s">
        <v>119</v>
      </c>
      <c r="Z472" s="1">
        <v>45464</v>
      </c>
      <c r="AA472" s="4" t="str" cm="1">
        <f t="array" ref="AA472">_xlfn.IFS(OR(AB472="December", AB472="February", AB472="January"), "Winter", OR(AB472="March", AB472="April", AB472="May"), "Spring", OR(AB472="June", AB472="July", AB472="August"), "Summer", TRUE, "Autumn")</f>
        <v>Summer</v>
      </c>
      <c r="AB472" s="7" t="str">
        <f>TEXT(Z472, "mmmm")</f>
        <v>June</v>
      </c>
      <c r="AC472" s="1" t="str">
        <f>TEXT(Z472, "dddd")</f>
        <v>Friday</v>
      </c>
      <c r="AD472" s="4" t="s">
        <v>76</v>
      </c>
      <c r="AE472" s="4" t="s">
        <v>62</v>
      </c>
      <c r="AF472" s="4" t="s">
        <v>92</v>
      </c>
      <c r="AG472" s="4" t="s">
        <v>88</v>
      </c>
      <c r="AH472" s="3">
        <v>4</v>
      </c>
    </row>
    <row r="473" spans="1:34">
      <c r="A473" s="4" t="s">
        <v>1046</v>
      </c>
      <c r="B473" s="3">
        <v>28</v>
      </c>
      <c r="C473" s="9" t="str" cm="1">
        <f t="array" ref="C473">_xlfn.IFS(B473&gt;65,"+65",B473&gt;54,"55-65",B473&gt;44,"45-54",B473&gt;35,"36-44",B473&gt;25,"26-35",B473&gt;=18,"18-25")</f>
        <v>26-35</v>
      </c>
      <c r="D473" s="4" t="s">
        <v>78</v>
      </c>
      <c r="E473" s="4" t="s">
        <v>51</v>
      </c>
      <c r="F473" s="4" t="s">
        <v>67</v>
      </c>
      <c r="G473" s="4" t="s">
        <v>68</v>
      </c>
      <c r="H473" s="4" t="s">
        <v>1047</v>
      </c>
      <c r="I473" s="4" t="s">
        <v>82</v>
      </c>
      <c r="J473" s="5">
        <v>399.24</v>
      </c>
      <c r="K473" s="3">
        <v>7</v>
      </c>
      <c r="L473" s="4" t="str">
        <f>IF(AND(J473&gt;350,K473&gt;6), "True","False")</f>
        <v>True</v>
      </c>
      <c r="M473" s="4" t="s">
        <v>71</v>
      </c>
      <c r="N473" s="3">
        <v>4</v>
      </c>
      <c r="O473" s="4" t="str" cm="1">
        <f t="array" ref="O473">_xlfn.IFS(P473&lt;=2,"Poor",P473=3,"Average",P473&gt;=4,"Good")</f>
        <v>Poor</v>
      </c>
      <c r="P473" s="3">
        <v>2</v>
      </c>
      <c r="Q473" s="2">
        <v>1</v>
      </c>
      <c r="R473" s="4" t="s">
        <v>85</v>
      </c>
      <c r="S473" s="4" t="s">
        <v>73</v>
      </c>
      <c r="T473" s="3">
        <v>1</v>
      </c>
      <c r="U473" s="4" t="str" cm="1">
        <f t="array" ref="U473">_xlfn.IFS(V473&lt;=4, "Dissatisfied",V473&lt;=7,"Neutral",V473&gt;=8,"Satisfied")</f>
        <v>Dissatisfied</v>
      </c>
      <c r="V473" s="3">
        <v>2</v>
      </c>
      <c r="W473" s="4" t="s">
        <v>85</v>
      </c>
      <c r="X473" s="4" t="s">
        <v>60</v>
      </c>
      <c r="Y473" s="4" t="s">
        <v>75</v>
      </c>
      <c r="Z473" s="1">
        <v>45464</v>
      </c>
      <c r="AA473" s="4" t="str" cm="1">
        <f t="array" ref="AA473">_xlfn.IFS(OR(AB473="December", AB473="February", AB473="January"), "Winter", OR(AB473="March", AB473="April", AB473="May"), "Spring", OR(AB473="June", AB473="July", AB473="August"), "Summer", TRUE, "Autumn")</f>
        <v>Summer</v>
      </c>
      <c r="AB473" s="7" t="str">
        <f>TEXT(Z473, "mmmm")</f>
        <v>June</v>
      </c>
      <c r="AC473" s="1" t="str">
        <f>TEXT(Z473, "dddd")</f>
        <v>Friday</v>
      </c>
      <c r="AD473" s="4" t="s">
        <v>76</v>
      </c>
      <c r="AE473" s="4" t="s">
        <v>76</v>
      </c>
      <c r="AF473" s="4" t="s">
        <v>63</v>
      </c>
      <c r="AG473" s="4" t="s">
        <v>64</v>
      </c>
      <c r="AH473" s="3">
        <v>10</v>
      </c>
    </row>
    <row r="474" spans="1:34">
      <c r="A474" s="4" t="s">
        <v>1048</v>
      </c>
      <c r="B474" s="3">
        <v>23</v>
      </c>
      <c r="C474" s="9" t="str" cm="1">
        <f t="array" ref="C474">_xlfn.IFS(B474&gt;65,"+65",B474&gt;54,"55-65",B474&gt;44,"45-54",B474&gt;35,"36-44",B474&gt;25,"26-35",B474&gt;=18,"18-25")</f>
        <v>18-25</v>
      </c>
      <c r="D474" s="4" t="s">
        <v>78</v>
      </c>
      <c r="E474" s="4" t="s">
        <v>51</v>
      </c>
      <c r="F474" s="4" t="s">
        <v>79</v>
      </c>
      <c r="G474" s="4" t="s">
        <v>80</v>
      </c>
      <c r="H474" s="4" t="s">
        <v>1049</v>
      </c>
      <c r="I474" s="4" t="s">
        <v>172</v>
      </c>
      <c r="J474" s="5">
        <v>91.27</v>
      </c>
      <c r="K474" s="3">
        <v>7</v>
      </c>
      <c r="L474" s="4" t="str">
        <f>IF(AND(J474&gt;350,K474&gt;6), "True","False")</f>
        <v>False</v>
      </c>
      <c r="M474" s="4" t="s">
        <v>71</v>
      </c>
      <c r="N474" s="3">
        <v>5</v>
      </c>
      <c r="O474" s="4" t="str" cm="1">
        <f t="array" ref="O474">_xlfn.IFS(P474&lt;=2,"Poor",P474=3,"Average",P474&gt;=4,"Good")</f>
        <v>Poor</v>
      </c>
      <c r="P474" s="3">
        <v>1</v>
      </c>
      <c r="Q474" s="2">
        <v>0</v>
      </c>
      <c r="R474" s="4" t="s">
        <v>72</v>
      </c>
      <c r="S474" s="4" t="s">
        <v>58</v>
      </c>
      <c r="T474" s="3">
        <v>2</v>
      </c>
      <c r="U474" s="4" t="str" cm="1">
        <f t="array" ref="U474">_xlfn.IFS(V474&lt;=4, "Dissatisfied",V474&lt;=7,"Neutral",V474&gt;=8,"Satisfied")</f>
        <v>Neutral</v>
      </c>
      <c r="V474" s="3">
        <v>6</v>
      </c>
      <c r="W474" s="4" t="s">
        <v>57</v>
      </c>
      <c r="X474" s="4" t="s">
        <v>74</v>
      </c>
      <c r="Y474" s="4" t="s">
        <v>61</v>
      </c>
      <c r="Z474" s="1">
        <v>45464</v>
      </c>
      <c r="AA474" s="4" t="str" cm="1">
        <f t="array" ref="AA474">_xlfn.IFS(OR(AB474="December", AB474="February", AB474="January"), "Winter", OR(AB474="March", AB474="April", AB474="May"), "Spring", OR(AB474="June", AB474="July", AB474="August"), "Summer", TRUE, "Autumn")</f>
        <v>Summer</v>
      </c>
      <c r="AB474" s="7" t="str">
        <f>TEXT(Z474, "mmmm")</f>
        <v>June</v>
      </c>
      <c r="AC474" s="1" t="str">
        <f>TEXT(Z474, "dddd")</f>
        <v>Friday</v>
      </c>
      <c r="AD474" s="4" t="s">
        <v>62</v>
      </c>
      <c r="AE474" s="4" t="s">
        <v>62</v>
      </c>
      <c r="AF474" s="4" t="s">
        <v>87</v>
      </c>
      <c r="AG474" s="4" t="s">
        <v>93</v>
      </c>
      <c r="AH474" s="3">
        <v>13</v>
      </c>
    </row>
    <row r="475" spans="1:34">
      <c r="A475" s="4" t="s">
        <v>1050</v>
      </c>
      <c r="B475" s="3">
        <v>23</v>
      </c>
      <c r="C475" s="9" t="str" cm="1">
        <f t="array" ref="C475">_xlfn.IFS(B475&gt;65,"+65",B475&gt;54,"55-65",B475&gt;44,"45-54",B475&gt;35,"36-44",B475&gt;25,"26-35",B475&gt;=18,"18-25")</f>
        <v>18-25</v>
      </c>
      <c r="D475" s="4" t="s">
        <v>78</v>
      </c>
      <c r="E475" s="4" t="s">
        <v>72</v>
      </c>
      <c r="F475" s="4" t="s">
        <v>79</v>
      </c>
      <c r="G475" s="4" t="s">
        <v>53</v>
      </c>
      <c r="H475" s="4" t="s">
        <v>1051</v>
      </c>
      <c r="I475" s="4" t="s">
        <v>223</v>
      </c>
      <c r="J475" s="5">
        <v>465.48</v>
      </c>
      <c r="K475" s="3">
        <v>3</v>
      </c>
      <c r="L475" s="4" t="str">
        <f>IF(AND(J475&gt;350,K475&gt;6), "True","False")</f>
        <v>False</v>
      </c>
      <c r="M475" s="4" t="s">
        <v>83</v>
      </c>
      <c r="N475" s="3">
        <v>3</v>
      </c>
      <c r="O475" s="4" t="str" cm="1">
        <f t="array" ref="O475">_xlfn.IFS(P475&lt;=2,"Poor",P475=3,"Average",P475&gt;=4,"Good")</f>
        <v>Average</v>
      </c>
      <c r="P475" s="3">
        <v>3</v>
      </c>
      <c r="Q475" s="2">
        <v>2</v>
      </c>
      <c r="R475" s="4" t="s">
        <v>85</v>
      </c>
      <c r="S475" s="4" t="s">
        <v>73</v>
      </c>
      <c r="T475" s="3">
        <v>1</v>
      </c>
      <c r="U475" s="4" t="str" cm="1">
        <f t="array" ref="U475">_xlfn.IFS(V475&lt;=4, "Dissatisfied",V475&lt;=7,"Neutral",V475&gt;=8,"Satisfied")</f>
        <v>Satisfied</v>
      </c>
      <c r="V475" s="3">
        <v>8</v>
      </c>
      <c r="W475" s="4" t="s">
        <v>85</v>
      </c>
      <c r="X475" s="4" t="s">
        <v>74</v>
      </c>
      <c r="Y475" s="4" t="s">
        <v>61</v>
      </c>
      <c r="Z475" s="1">
        <v>45464</v>
      </c>
      <c r="AA475" s="4" t="str" cm="1">
        <f t="array" ref="AA475">_xlfn.IFS(OR(AB475="December", AB475="February", AB475="January"), "Winter", OR(AB475="March", AB475="April", AB475="May"), "Spring", OR(AB475="June", AB475="July", AB475="August"), "Summer", TRUE, "Autumn")</f>
        <v>Summer</v>
      </c>
      <c r="AB475" s="7" t="str">
        <f>TEXT(Z475, "mmmm")</f>
        <v>June</v>
      </c>
      <c r="AC475" s="1" t="str">
        <f>TEXT(Z475, "dddd")</f>
        <v>Friday</v>
      </c>
      <c r="AD475" s="4" t="s">
        <v>76</v>
      </c>
      <c r="AE475" s="4" t="s">
        <v>76</v>
      </c>
      <c r="AF475" s="4" t="s">
        <v>102</v>
      </c>
      <c r="AG475" s="4" t="s">
        <v>88</v>
      </c>
      <c r="AH475" s="3">
        <v>1</v>
      </c>
    </row>
    <row r="476" spans="1:34">
      <c r="A476" s="4" t="s">
        <v>1052</v>
      </c>
      <c r="B476" s="3">
        <v>22</v>
      </c>
      <c r="C476" s="9" t="str" cm="1">
        <f t="array" ref="C476">_xlfn.IFS(B476&gt;65,"+65",B476&gt;54,"55-65",B476&gt;44,"45-54",B476&gt;35,"36-44",B476&gt;25,"26-35",B476&gt;=18,"18-25")</f>
        <v>18-25</v>
      </c>
      <c r="D476" s="4" t="s">
        <v>78</v>
      </c>
      <c r="E476" s="4" t="s">
        <v>51</v>
      </c>
      <c r="F476" s="4" t="s">
        <v>67</v>
      </c>
      <c r="G476" s="4" t="s">
        <v>53</v>
      </c>
      <c r="H476" s="4" t="s">
        <v>1053</v>
      </c>
      <c r="I476" s="4" t="s">
        <v>105</v>
      </c>
      <c r="J476" s="5">
        <v>125.68</v>
      </c>
      <c r="K476" s="3">
        <v>2</v>
      </c>
      <c r="L476" s="4" t="str">
        <f>IF(AND(J476&gt;350,K476&gt;6), "True","False")</f>
        <v>False</v>
      </c>
      <c r="M476" s="4" t="s">
        <v>56</v>
      </c>
      <c r="N476" s="3">
        <v>1</v>
      </c>
      <c r="O476" s="4" t="str" cm="1">
        <f t="array" ref="O476">_xlfn.IFS(P476&lt;=2,"Poor",P476=3,"Average",P476&gt;=4,"Good")</f>
        <v>Good</v>
      </c>
      <c r="P476" s="3">
        <v>4</v>
      </c>
      <c r="Q476" s="2">
        <v>1</v>
      </c>
      <c r="R476" s="4" t="s">
        <v>57</v>
      </c>
      <c r="S476" s="4" t="s">
        <v>58</v>
      </c>
      <c r="T476" s="3">
        <v>1</v>
      </c>
      <c r="U476" s="4" t="str" cm="1">
        <f t="array" ref="U476">_xlfn.IFS(V476&lt;=4, "Dissatisfied",V476&lt;=7,"Neutral",V476&gt;=8,"Satisfied")</f>
        <v>Satisfied</v>
      </c>
      <c r="V476" s="3">
        <v>8</v>
      </c>
      <c r="W476" s="4" t="s">
        <v>85</v>
      </c>
      <c r="X476" s="4" t="s">
        <v>60</v>
      </c>
      <c r="Y476" s="4" t="s">
        <v>75</v>
      </c>
      <c r="Z476" s="1">
        <v>45464</v>
      </c>
      <c r="AA476" s="4" t="str" cm="1">
        <f t="array" ref="AA476">_xlfn.IFS(OR(AB476="December", AB476="February", AB476="January"), "Winter", OR(AB476="March", AB476="April", AB476="May"), "Spring", OR(AB476="June", AB476="July", AB476="August"), "Summer", TRUE, "Autumn")</f>
        <v>Summer</v>
      </c>
      <c r="AB476" s="7" t="str">
        <f>TEXT(Z476, "mmmm")</f>
        <v>June</v>
      </c>
      <c r="AC476" s="1" t="str">
        <f>TEXT(Z476, "dddd")</f>
        <v>Friday</v>
      </c>
      <c r="AD476" s="4" t="s">
        <v>62</v>
      </c>
      <c r="AE476" s="4" t="s">
        <v>76</v>
      </c>
      <c r="AF476" s="4" t="s">
        <v>63</v>
      </c>
      <c r="AG476" s="4" t="s">
        <v>93</v>
      </c>
      <c r="AH476" s="3">
        <v>9</v>
      </c>
    </row>
    <row r="477" spans="1:34">
      <c r="A477" s="4" t="s">
        <v>1054</v>
      </c>
      <c r="B477" s="3">
        <v>49</v>
      </c>
      <c r="C477" s="9" t="str" cm="1">
        <f t="array" ref="C477">_xlfn.IFS(B477&gt;65,"+65",B477&gt;54,"55-65",B477&gt;44,"45-54",B477&gt;35,"36-44",B477&gt;25,"26-35",B477&gt;=18,"18-25")</f>
        <v>45-54</v>
      </c>
      <c r="D477" s="4" t="s">
        <v>78</v>
      </c>
      <c r="E477" s="4" t="s">
        <v>51</v>
      </c>
      <c r="F477" s="4" t="s">
        <v>52</v>
      </c>
      <c r="G477" s="4" t="s">
        <v>80</v>
      </c>
      <c r="H477" s="4" t="s">
        <v>1055</v>
      </c>
      <c r="I477" s="4" t="s">
        <v>97</v>
      </c>
      <c r="J477" s="5">
        <v>145.02000000000001</v>
      </c>
      <c r="K477" s="3">
        <v>7</v>
      </c>
      <c r="L477" s="4" t="str">
        <f>IF(AND(J477&gt;350,K477&gt;6), "True","False")</f>
        <v>False</v>
      </c>
      <c r="M477" s="4" t="s">
        <v>71</v>
      </c>
      <c r="N477" s="3">
        <v>3</v>
      </c>
      <c r="O477" s="4" t="str" cm="1">
        <f t="array" ref="O477">_xlfn.IFS(P477&lt;=2,"Poor",P477=3,"Average",P477&gt;=4,"Good")</f>
        <v>Poor</v>
      </c>
      <c r="P477" s="3">
        <v>2</v>
      </c>
      <c r="Q477" s="2">
        <v>0</v>
      </c>
      <c r="R477" s="4" t="s">
        <v>72</v>
      </c>
      <c r="S477" s="4" t="s">
        <v>73</v>
      </c>
      <c r="T477" s="3">
        <v>1</v>
      </c>
      <c r="U477" s="4" t="str" cm="1">
        <f t="array" ref="U477">_xlfn.IFS(V477&lt;=4, "Dissatisfied",V477&lt;=7,"Neutral",V477&gt;=8,"Satisfied")</f>
        <v>Dissatisfied</v>
      </c>
      <c r="V477" s="3">
        <v>1</v>
      </c>
      <c r="W477" s="4" t="s">
        <v>85</v>
      </c>
      <c r="X477" s="4" t="s">
        <v>101</v>
      </c>
      <c r="Y477" s="4" t="s">
        <v>119</v>
      </c>
      <c r="Z477" s="1">
        <v>45466</v>
      </c>
      <c r="AA477" s="4" t="str" cm="1">
        <f t="array" ref="AA477">_xlfn.IFS(OR(AB477="December", AB477="February", AB477="January"), "Winter", OR(AB477="March", AB477="April", AB477="May"), "Spring", OR(AB477="June", AB477="July", AB477="August"), "Summer", TRUE, "Autumn")</f>
        <v>Summer</v>
      </c>
      <c r="AB477" s="7" t="str">
        <f>TEXT(Z477, "mmmm")</f>
        <v>June</v>
      </c>
      <c r="AC477" s="1" t="str">
        <f>TEXT(Z477, "dddd")</f>
        <v>Sunday</v>
      </c>
      <c r="AD477" s="4" t="s">
        <v>62</v>
      </c>
      <c r="AE477" s="4" t="s">
        <v>62</v>
      </c>
      <c r="AF477" s="4" t="s">
        <v>102</v>
      </c>
      <c r="AG477" s="4" t="s">
        <v>93</v>
      </c>
      <c r="AH477" s="3">
        <v>9</v>
      </c>
    </row>
    <row r="478" spans="1:34">
      <c r="A478" s="4" t="s">
        <v>1056</v>
      </c>
      <c r="B478" s="3">
        <v>36</v>
      </c>
      <c r="C478" s="9" t="str" cm="1">
        <f t="array" ref="C478">_xlfn.IFS(B478&gt;65,"+65",B478&gt;54,"55-65",B478&gt;44,"45-54",B478&gt;35,"36-44",B478&gt;25,"26-35",B478&gt;=18,"18-25")</f>
        <v>36-44</v>
      </c>
      <c r="D478" s="4" t="s">
        <v>66</v>
      </c>
      <c r="E478" s="4" t="s">
        <v>51</v>
      </c>
      <c r="F478" s="4" t="s">
        <v>52</v>
      </c>
      <c r="G478" s="4" t="s">
        <v>80</v>
      </c>
      <c r="H478" s="4" t="s">
        <v>126</v>
      </c>
      <c r="I478" s="4" t="s">
        <v>194</v>
      </c>
      <c r="J478" s="5">
        <v>160.88999999999999</v>
      </c>
      <c r="K478" s="3">
        <v>10</v>
      </c>
      <c r="L478" s="4" t="str">
        <f>IF(AND(J478&gt;350,K478&gt;6), "True","False")</f>
        <v>False</v>
      </c>
      <c r="M478" s="4" t="s">
        <v>56</v>
      </c>
      <c r="N478" s="3">
        <v>5</v>
      </c>
      <c r="O478" s="4" t="str" cm="1">
        <f t="array" ref="O478">_xlfn.IFS(P478&lt;=2,"Poor",P478=3,"Average",P478&gt;=4,"Good")</f>
        <v>Good</v>
      </c>
      <c r="P478" s="3">
        <v>5</v>
      </c>
      <c r="Q478" s="2">
        <v>2</v>
      </c>
      <c r="R478" s="4" t="s">
        <v>57</v>
      </c>
      <c r="S478" s="4" t="s">
        <v>84</v>
      </c>
      <c r="T478" s="3">
        <v>2</v>
      </c>
      <c r="U478" s="4" t="str" cm="1">
        <f t="array" ref="U478">_xlfn.IFS(V478&lt;=4, "Dissatisfied",V478&lt;=7,"Neutral",V478&gt;=8,"Satisfied")</f>
        <v>Neutral</v>
      </c>
      <c r="V478" s="3">
        <v>6</v>
      </c>
      <c r="W478" s="4" t="s">
        <v>85</v>
      </c>
      <c r="X478" s="4" t="s">
        <v>101</v>
      </c>
      <c r="Y478" s="4" t="s">
        <v>86</v>
      </c>
      <c r="Z478" s="1">
        <v>45466</v>
      </c>
      <c r="AA478" s="4" t="str" cm="1">
        <f t="array" ref="AA478">_xlfn.IFS(OR(AB478="December", AB478="February", AB478="January"), "Winter", OR(AB478="March", AB478="April", AB478="May"), "Spring", OR(AB478="June", AB478="July", AB478="August"), "Summer", TRUE, "Autumn")</f>
        <v>Summer</v>
      </c>
      <c r="AB478" s="7" t="str">
        <f>TEXT(Z478, "mmmm")</f>
        <v>June</v>
      </c>
      <c r="AC478" s="1" t="str">
        <f>TEXT(Z478, "dddd")</f>
        <v>Sunday</v>
      </c>
      <c r="AD478" s="4" t="s">
        <v>62</v>
      </c>
      <c r="AE478" s="4" t="s">
        <v>62</v>
      </c>
      <c r="AF478" s="4" t="s">
        <v>87</v>
      </c>
      <c r="AG478" s="4" t="s">
        <v>88</v>
      </c>
      <c r="AH478" s="3">
        <v>13</v>
      </c>
    </row>
    <row r="479" spans="1:34">
      <c r="A479" s="4" t="s">
        <v>1057</v>
      </c>
      <c r="B479" s="3">
        <v>30</v>
      </c>
      <c r="C479" s="9" t="str" cm="1">
        <f t="array" ref="C479">_xlfn.IFS(B479&gt;65,"+65",B479&gt;54,"55-65",B479&gt;44,"45-54",B479&gt;35,"36-44",B479&gt;25,"26-35",B479&gt;=18,"18-25")</f>
        <v>26-35</v>
      </c>
      <c r="D479" s="4" t="s">
        <v>66</v>
      </c>
      <c r="E479" s="4" t="s">
        <v>72</v>
      </c>
      <c r="F479" s="4" t="s">
        <v>79</v>
      </c>
      <c r="G479" s="4" t="s">
        <v>53</v>
      </c>
      <c r="H479" s="4" t="s">
        <v>1058</v>
      </c>
      <c r="I479" s="4" t="s">
        <v>118</v>
      </c>
      <c r="J479" s="5">
        <v>244.47</v>
      </c>
      <c r="K479" s="3">
        <v>5</v>
      </c>
      <c r="L479" s="4" t="str">
        <f>IF(AND(J479&gt;350,K479&gt;6), "True","False")</f>
        <v>False</v>
      </c>
      <c r="M479" s="4" t="s">
        <v>56</v>
      </c>
      <c r="N479" s="3">
        <v>3</v>
      </c>
      <c r="O479" s="4" t="str" cm="1">
        <f t="array" ref="O479">_xlfn.IFS(P479&lt;=2,"Poor",P479=3,"Average",P479&gt;=4,"Good")</f>
        <v>Good</v>
      </c>
      <c r="P479" s="3">
        <v>4</v>
      </c>
      <c r="Q479" s="2">
        <v>1</v>
      </c>
      <c r="R479" s="4" t="s">
        <v>72</v>
      </c>
      <c r="S479" s="4" t="s">
        <v>73</v>
      </c>
      <c r="T479" s="3">
        <v>1</v>
      </c>
      <c r="U479" s="4" t="str" cm="1">
        <f t="array" ref="U479">_xlfn.IFS(V479&lt;=4, "Dissatisfied",V479&lt;=7,"Neutral",V479&gt;=8,"Satisfied")</f>
        <v>Neutral</v>
      </c>
      <c r="V479" s="3">
        <v>5</v>
      </c>
      <c r="W479" s="4" t="s">
        <v>59</v>
      </c>
      <c r="X479" s="4" t="s">
        <v>60</v>
      </c>
      <c r="Y479" s="4" t="s">
        <v>61</v>
      </c>
      <c r="Z479" s="1">
        <v>45466</v>
      </c>
      <c r="AA479" s="4" t="str" cm="1">
        <f t="array" ref="AA479">_xlfn.IFS(OR(AB479="December", AB479="February", AB479="January"), "Winter", OR(AB479="March", AB479="April", AB479="May"), "Spring", OR(AB479="June", AB479="July", AB479="August"), "Summer", TRUE, "Autumn")</f>
        <v>Summer</v>
      </c>
      <c r="AB479" s="7" t="str">
        <f>TEXT(Z479, "mmmm")</f>
        <v>June</v>
      </c>
      <c r="AC479" s="1" t="str">
        <f>TEXT(Z479, "dddd")</f>
        <v>Sunday</v>
      </c>
      <c r="AD479" s="4" t="s">
        <v>76</v>
      </c>
      <c r="AE479" s="4" t="s">
        <v>76</v>
      </c>
      <c r="AF479" s="4" t="s">
        <v>92</v>
      </c>
      <c r="AG479" s="4" t="s">
        <v>88</v>
      </c>
      <c r="AH479" s="3">
        <v>4</v>
      </c>
    </row>
    <row r="480" spans="1:34">
      <c r="A480" s="4" t="s">
        <v>1059</v>
      </c>
      <c r="B480" s="3">
        <v>18</v>
      </c>
      <c r="C480" s="9" t="str" cm="1">
        <f t="array" ref="C480">_xlfn.IFS(B480&gt;65,"+65",B480&gt;54,"55-65",B480&gt;44,"45-54",B480&gt;35,"36-44",B480&gt;25,"26-35",B480&gt;=18,"18-25")</f>
        <v>18-25</v>
      </c>
      <c r="D480" s="4" t="s">
        <v>66</v>
      </c>
      <c r="E480" s="4" t="s">
        <v>51</v>
      </c>
      <c r="F480" s="4" t="s">
        <v>67</v>
      </c>
      <c r="G480" s="4" t="s">
        <v>68</v>
      </c>
      <c r="H480" s="4" t="s">
        <v>1060</v>
      </c>
      <c r="I480" s="4" t="s">
        <v>110</v>
      </c>
      <c r="J480" s="5">
        <v>475.65</v>
      </c>
      <c r="K480" s="3">
        <v>4</v>
      </c>
      <c r="L480" s="4" t="str">
        <f>IF(AND(J480&gt;350,K480&gt;6), "True","False")</f>
        <v>False</v>
      </c>
      <c r="M480" s="4" t="s">
        <v>71</v>
      </c>
      <c r="N480" s="3">
        <v>4</v>
      </c>
      <c r="O480" s="4" t="str" cm="1">
        <f t="array" ref="O480">_xlfn.IFS(P480&lt;=2,"Poor",P480=3,"Average",P480&gt;=4,"Good")</f>
        <v>Good</v>
      </c>
      <c r="P480" s="3">
        <v>5</v>
      </c>
      <c r="Q480" s="2">
        <v>0</v>
      </c>
      <c r="R480" s="4" t="s">
        <v>72</v>
      </c>
      <c r="S480" s="4" t="s">
        <v>84</v>
      </c>
      <c r="T480" s="3">
        <v>2</v>
      </c>
      <c r="U480" s="4" t="str" cm="1">
        <f t="array" ref="U480">_xlfn.IFS(V480&lt;=4, "Dissatisfied",V480&lt;=7,"Neutral",V480&gt;=8,"Satisfied")</f>
        <v>Neutral</v>
      </c>
      <c r="V480" s="3">
        <v>6</v>
      </c>
      <c r="W480" s="4" t="s">
        <v>59</v>
      </c>
      <c r="X480" s="4" t="s">
        <v>60</v>
      </c>
      <c r="Y480" s="4" t="s">
        <v>86</v>
      </c>
      <c r="Z480" s="1">
        <v>45466</v>
      </c>
      <c r="AA480" s="4" t="str" cm="1">
        <f t="array" ref="AA480">_xlfn.IFS(OR(AB480="December", AB480="February", AB480="January"), "Winter", OR(AB480="March", AB480="April", AB480="May"), "Spring", OR(AB480="June", AB480="July", AB480="August"), "Summer", TRUE, "Autumn")</f>
        <v>Summer</v>
      </c>
      <c r="AB480" s="7" t="str">
        <f>TEXT(Z480, "mmmm")</f>
        <v>June</v>
      </c>
      <c r="AC480" s="1" t="str">
        <f>TEXT(Z480, "dddd")</f>
        <v>Sunday</v>
      </c>
      <c r="AD480" s="4" t="s">
        <v>62</v>
      </c>
      <c r="AE480" s="4" t="s">
        <v>62</v>
      </c>
      <c r="AF480" s="4" t="s">
        <v>102</v>
      </c>
      <c r="AG480" s="4" t="s">
        <v>93</v>
      </c>
      <c r="AH480" s="3">
        <v>14</v>
      </c>
    </row>
    <row r="481" spans="1:34">
      <c r="A481" s="4" t="s">
        <v>1061</v>
      </c>
      <c r="B481" s="3">
        <v>44</v>
      </c>
      <c r="C481" s="9" t="str" cm="1">
        <f t="array" ref="C481">_xlfn.IFS(B481&gt;65,"+65",B481&gt;54,"55-65",B481&gt;44,"45-54",B481&gt;35,"36-44",B481&gt;25,"26-35",B481&gt;=18,"18-25")</f>
        <v>36-44</v>
      </c>
      <c r="D481" s="4" t="s">
        <v>66</v>
      </c>
      <c r="E481" s="4" t="s">
        <v>72</v>
      </c>
      <c r="F481" s="4" t="s">
        <v>95</v>
      </c>
      <c r="G481" s="4" t="s">
        <v>80</v>
      </c>
      <c r="H481" s="4" t="s">
        <v>1062</v>
      </c>
      <c r="I481" s="4" t="s">
        <v>110</v>
      </c>
      <c r="J481" s="5">
        <v>299.08999999999997</v>
      </c>
      <c r="K481" s="3">
        <v>8</v>
      </c>
      <c r="L481" s="4" t="str">
        <f>IF(AND(J481&gt;350,K481&gt;6), "True","False")</f>
        <v>False</v>
      </c>
      <c r="M481" s="4" t="s">
        <v>71</v>
      </c>
      <c r="N481" s="3">
        <v>1</v>
      </c>
      <c r="O481" s="4" t="str" cm="1">
        <f t="array" ref="O481">_xlfn.IFS(P481&lt;=2,"Poor",P481=3,"Average",P481&gt;=4,"Good")</f>
        <v>Poor</v>
      </c>
      <c r="P481" s="3">
        <v>1</v>
      </c>
      <c r="Q481" s="2">
        <v>2</v>
      </c>
      <c r="R481" s="4" t="s">
        <v>72</v>
      </c>
      <c r="S481" s="4" t="s">
        <v>73</v>
      </c>
      <c r="T481" s="3">
        <v>2</v>
      </c>
      <c r="U481" s="4" t="str" cm="1">
        <f t="array" ref="U481">_xlfn.IFS(V481&lt;=4, "Dissatisfied",V481&lt;=7,"Neutral",V481&gt;=8,"Satisfied")</f>
        <v>Neutral</v>
      </c>
      <c r="V481" s="3">
        <v>7</v>
      </c>
      <c r="W481" s="4" t="s">
        <v>72</v>
      </c>
      <c r="X481" s="4" t="s">
        <v>74</v>
      </c>
      <c r="Y481" s="4" t="s">
        <v>75</v>
      </c>
      <c r="Z481" s="1">
        <v>45467</v>
      </c>
      <c r="AA481" s="4" t="str" cm="1">
        <f t="array" ref="AA481">_xlfn.IFS(OR(AB481="December", AB481="February", AB481="January"), "Winter", OR(AB481="March", AB481="April", AB481="May"), "Spring", OR(AB481="June", AB481="July", AB481="August"), "Summer", TRUE, "Autumn")</f>
        <v>Summer</v>
      </c>
      <c r="AB481" s="7" t="str">
        <f>TEXT(Z481, "mmmm")</f>
        <v>June</v>
      </c>
      <c r="AC481" s="1" t="str">
        <f>TEXT(Z481, "dddd")</f>
        <v>Monday</v>
      </c>
      <c r="AD481" s="4" t="s">
        <v>76</v>
      </c>
      <c r="AE481" s="4" t="s">
        <v>76</v>
      </c>
      <c r="AF481" s="4" t="s">
        <v>92</v>
      </c>
      <c r="AG481" s="4" t="s">
        <v>64</v>
      </c>
      <c r="AH481" s="3">
        <v>14</v>
      </c>
    </row>
    <row r="482" spans="1:34">
      <c r="A482" s="4" t="s">
        <v>1063</v>
      </c>
      <c r="B482" s="3">
        <v>28</v>
      </c>
      <c r="C482" s="9" t="str" cm="1">
        <f t="array" ref="C482">_xlfn.IFS(B482&gt;65,"+65",B482&gt;54,"55-65",B482&gt;44,"45-54",B482&gt;35,"36-44",B482&gt;25,"26-35",B482&gt;=18,"18-25")</f>
        <v>26-35</v>
      </c>
      <c r="D482" s="4" t="s">
        <v>66</v>
      </c>
      <c r="E482" s="4" t="s">
        <v>72</v>
      </c>
      <c r="F482" s="4" t="s">
        <v>95</v>
      </c>
      <c r="G482" s="4" t="s">
        <v>80</v>
      </c>
      <c r="H482" s="4" t="s">
        <v>1064</v>
      </c>
      <c r="I482" s="4" t="s">
        <v>97</v>
      </c>
      <c r="J482" s="5">
        <v>430.75</v>
      </c>
      <c r="K482" s="3">
        <v>11</v>
      </c>
      <c r="L482" s="4" t="str">
        <f>IF(AND(J482&gt;350,K482&gt;6), "True","False")</f>
        <v>True</v>
      </c>
      <c r="M482" s="4" t="s">
        <v>56</v>
      </c>
      <c r="N482" s="3">
        <v>1</v>
      </c>
      <c r="O482" s="4" t="str" cm="1">
        <f t="array" ref="O482">_xlfn.IFS(P482&lt;=2,"Poor",P482=3,"Average",P482&gt;=4,"Good")</f>
        <v>Average</v>
      </c>
      <c r="P482" s="3">
        <v>3</v>
      </c>
      <c r="Q482" s="2">
        <v>1</v>
      </c>
      <c r="R482" s="4" t="s">
        <v>59</v>
      </c>
      <c r="S482" s="4" t="s">
        <v>84</v>
      </c>
      <c r="T482" s="3">
        <v>0</v>
      </c>
      <c r="U482" s="4" t="str" cm="1">
        <f t="array" ref="U482">_xlfn.IFS(V482&lt;=4, "Dissatisfied",V482&lt;=7,"Neutral",V482&gt;=8,"Satisfied")</f>
        <v>Satisfied</v>
      </c>
      <c r="V482" s="3">
        <v>8</v>
      </c>
      <c r="W482" s="4" t="s">
        <v>72</v>
      </c>
      <c r="X482" s="4" t="s">
        <v>74</v>
      </c>
      <c r="Y482" s="4" t="s">
        <v>119</v>
      </c>
      <c r="Z482" s="1">
        <v>45467</v>
      </c>
      <c r="AA482" s="4" t="str" cm="1">
        <f t="array" ref="AA482">_xlfn.IFS(OR(AB482="December", AB482="February", AB482="January"), "Winter", OR(AB482="March", AB482="April", AB482="May"), "Spring", OR(AB482="June", AB482="July", AB482="August"), "Summer", TRUE, "Autumn")</f>
        <v>Summer</v>
      </c>
      <c r="AB482" s="7" t="str">
        <f>TEXT(Z482, "mmmm")</f>
        <v>June</v>
      </c>
      <c r="AC482" s="1" t="str">
        <f>TEXT(Z482, "dddd")</f>
        <v>Monday</v>
      </c>
      <c r="AD482" s="4" t="s">
        <v>62</v>
      </c>
      <c r="AE482" s="4" t="s">
        <v>76</v>
      </c>
      <c r="AF482" s="4" t="s">
        <v>87</v>
      </c>
      <c r="AG482" s="4" t="s">
        <v>88</v>
      </c>
      <c r="AH482" s="3">
        <v>6</v>
      </c>
    </row>
    <row r="483" spans="1:34">
      <c r="A483" s="4" t="s">
        <v>1065</v>
      </c>
      <c r="B483" s="3">
        <v>25</v>
      </c>
      <c r="C483" s="9" t="str" cm="1">
        <f t="array" ref="C483">_xlfn.IFS(B483&gt;65,"+65",B483&gt;54,"55-65",B483&gt;44,"45-54",B483&gt;35,"36-44",B483&gt;25,"26-35",B483&gt;=18,"18-25")</f>
        <v>18-25</v>
      </c>
      <c r="D483" s="4" t="s">
        <v>66</v>
      </c>
      <c r="E483" s="4" t="s">
        <v>72</v>
      </c>
      <c r="F483" s="4" t="s">
        <v>52</v>
      </c>
      <c r="G483" s="4" t="s">
        <v>80</v>
      </c>
      <c r="H483" s="4" t="s">
        <v>1066</v>
      </c>
      <c r="I483" s="4" t="s">
        <v>100</v>
      </c>
      <c r="J483" s="5">
        <v>434.86</v>
      </c>
      <c r="K483" s="3">
        <v>11</v>
      </c>
      <c r="L483" s="4" t="str">
        <f>IF(AND(J483&gt;350,K483&gt;6), "True","False")</f>
        <v>True</v>
      </c>
      <c r="M483" s="4" t="s">
        <v>71</v>
      </c>
      <c r="N483" s="3">
        <v>2</v>
      </c>
      <c r="O483" s="4" t="str" cm="1">
        <f t="array" ref="O483">_xlfn.IFS(P483&lt;=2,"Poor",P483=3,"Average",P483&gt;=4,"Good")</f>
        <v>Good</v>
      </c>
      <c r="P483" s="3">
        <v>5</v>
      </c>
      <c r="Q483" s="2">
        <v>2</v>
      </c>
      <c r="R483" s="4" t="s">
        <v>72</v>
      </c>
      <c r="S483" s="4" t="s">
        <v>84</v>
      </c>
      <c r="T483" s="3">
        <v>0</v>
      </c>
      <c r="U483" s="4" t="str" cm="1">
        <f t="array" ref="U483">_xlfn.IFS(V483&lt;=4, "Dissatisfied",V483&lt;=7,"Neutral",V483&gt;=8,"Satisfied")</f>
        <v>Dissatisfied</v>
      </c>
      <c r="V483" s="3">
        <v>4</v>
      </c>
      <c r="W483" s="4" t="s">
        <v>85</v>
      </c>
      <c r="X483" s="4" t="s">
        <v>60</v>
      </c>
      <c r="Y483" s="4" t="s">
        <v>111</v>
      </c>
      <c r="Z483" s="1">
        <v>45467</v>
      </c>
      <c r="AA483" s="4" t="str" cm="1">
        <f t="array" ref="AA483">_xlfn.IFS(OR(AB483="December", AB483="February", AB483="January"), "Winter", OR(AB483="March", AB483="April", AB483="May"), "Spring", OR(AB483="June", AB483="July", AB483="August"), "Summer", TRUE, "Autumn")</f>
        <v>Summer</v>
      </c>
      <c r="AB483" s="7" t="str">
        <f>TEXT(Z483, "mmmm")</f>
        <v>June</v>
      </c>
      <c r="AC483" s="1" t="str">
        <f>TEXT(Z483, "dddd")</f>
        <v>Monday</v>
      </c>
      <c r="AD483" s="4" t="s">
        <v>62</v>
      </c>
      <c r="AE483" s="4" t="s">
        <v>76</v>
      </c>
      <c r="AF483" s="4" t="s">
        <v>92</v>
      </c>
      <c r="AG483" s="4" t="s">
        <v>93</v>
      </c>
      <c r="AH483" s="3">
        <v>11</v>
      </c>
    </row>
    <row r="484" spans="1:34">
      <c r="A484" s="4" t="s">
        <v>1067</v>
      </c>
      <c r="B484" s="3">
        <v>19</v>
      </c>
      <c r="C484" s="9" t="str" cm="1">
        <f t="array" ref="C484">_xlfn.IFS(B484&gt;65,"+65",B484&gt;54,"55-65",B484&gt;44,"45-54",B484&gt;35,"36-44",B484&gt;25,"26-35",B484&gt;=18,"18-25")</f>
        <v>18-25</v>
      </c>
      <c r="D484" s="4" t="s">
        <v>78</v>
      </c>
      <c r="E484" s="4" t="s">
        <v>51</v>
      </c>
      <c r="F484" s="4" t="s">
        <v>95</v>
      </c>
      <c r="G484" s="4" t="s">
        <v>68</v>
      </c>
      <c r="H484" s="4" t="s">
        <v>1068</v>
      </c>
      <c r="I484" s="4" t="s">
        <v>100</v>
      </c>
      <c r="J484" s="5">
        <v>121.7</v>
      </c>
      <c r="K484" s="3">
        <v>7</v>
      </c>
      <c r="L484" s="4" t="str">
        <f>IF(AND(J484&gt;350,K484&gt;6), "True","False")</f>
        <v>False</v>
      </c>
      <c r="M484" s="4" t="s">
        <v>83</v>
      </c>
      <c r="N484" s="3">
        <v>4</v>
      </c>
      <c r="O484" s="4" t="str" cm="1">
        <f t="array" ref="O484">_xlfn.IFS(P484&lt;=2,"Poor",P484=3,"Average",P484&gt;=4,"Good")</f>
        <v>Average</v>
      </c>
      <c r="P484" s="3">
        <v>3</v>
      </c>
      <c r="Q484" s="2">
        <v>0</v>
      </c>
      <c r="R484" s="4" t="s">
        <v>72</v>
      </c>
      <c r="S484" s="4" t="s">
        <v>73</v>
      </c>
      <c r="T484" s="3">
        <v>2</v>
      </c>
      <c r="U484" s="4" t="str" cm="1">
        <f t="array" ref="U484">_xlfn.IFS(V484&lt;=4, "Dissatisfied",V484&lt;=7,"Neutral",V484&gt;=8,"Satisfied")</f>
        <v>Neutral</v>
      </c>
      <c r="V484" s="3">
        <v>5</v>
      </c>
      <c r="W484" s="4" t="s">
        <v>57</v>
      </c>
      <c r="X484" s="4" t="s">
        <v>60</v>
      </c>
      <c r="Y484" s="4" t="s">
        <v>119</v>
      </c>
      <c r="Z484" s="1">
        <v>45467</v>
      </c>
      <c r="AA484" s="4" t="str" cm="1">
        <f t="array" ref="AA484">_xlfn.IFS(OR(AB484="December", AB484="February", AB484="January"), "Winter", OR(AB484="March", AB484="April", AB484="May"), "Spring", OR(AB484="June", AB484="July", AB484="August"), "Summer", TRUE, "Autumn")</f>
        <v>Summer</v>
      </c>
      <c r="AB484" s="7" t="str">
        <f>TEXT(Z484, "mmmm")</f>
        <v>June</v>
      </c>
      <c r="AC484" s="1" t="str">
        <f>TEXT(Z484, "dddd")</f>
        <v>Monday</v>
      </c>
      <c r="AD484" s="4" t="s">
        <v>62</v>
      </c>
      <c r="AE484" s="4" t="s">
        <v>62</v>
      </c>
      <c r="AF484" s="4" t="s">
        <v>87</v>
      </c>
      <c r="AG484" s="4" t="s">
        <v>64</v>
      </c>
      <c r="AH484" s="3">
        <v>8</v>
      </c>
    </row>
    <row r="485" spans="1:34">
      <c r="A485" s="4" t="s">
        <v>1069</v>
      </c>
      <c r="B485" s="3">
        <v>50</v>
      </c>
      <c r="C485" s="9" t="str" cm="1">
        <f t="array" ref="C485">_xlfn.IFS(B485&gt;65,"+65",B485&gt;54,"55-65",B485&gt;44,"45-54",B485&gt;35,"36-44",B485&gt;25,"26-35",B485&gt;=18,"18-25")</f>
        <v>45-54</v>
      </c>
      <c r="D485" s="4" t="s">
        <v>78</v>
      </c>
      <c r="E485" s="4" t="s">
        <v>51</v>
      </c>
      <c r="F485" s="4" t="s">
        <v>52</v>
      </c>
      <c r="G485" s="4" t="s">
        <v>53</v>
      </c>
      <c r="H485" s="4" t="s">
        <v>1070</v>
      </c>
      <c r="I485" s="4" t="s">
        <v>118</v>
      </c>
      <c r="J485" s="5">
        <v>101.7</v>
      </c>
      <c r="K485" s="3">
        <v>7</v>
      </c>
      <c r="L485" s="4" t="str">
        <f>IF(AND(J485&gt;350,K485&gt;6), "True","False")</f>
        <v>False</v>
      </c>
      <c r="M485" s="4" t="s">
        <v>56</v>
      </c>
      <c r="N485" s="3">
        <v>3</v>
      </c>
      <c r="O485" s="4" t="str" cm="1">
        <f t="array" ref="O485">_xlfn.IFS(P485&lt;=2,"Poor",P485=3,"Average",P485&gt;=4,"Good")</f>
        <v>Good</v>
      </c>
      <c r="P485" s="3">
        <v>4</v>
      </c>
      <c r="Q485" s="2">
        <v>2</v>
      </c>
      <c r="R485" s="4" t="s">
        <v>85</v>
      </c>
      <c r="S485" s="4" t="s">
        <v>58</v>
      </c>
      <c r="T485" s="3">
        <v>2</v>
      </c>
      <c r="U485" s="4" t="str" cm="1">
        <f t="array" ref="U485">_xlfn.IFS(V485&lt;=4, "Dissatisfied",V485&lt;=7,"Neutral",V485&gt;=8,"Satisfied")</f>
        <v>Dissatisfied</v>
      </c>
      <c r="V485" s="3">
        <v>2</v>
      </c>
      <c r="W485" s="4" t="s">
        <v>57</v>
      </c>
      <c r="X485" s="4" t="s">
        <v>74</v>
      </c>
      <c r="Y485" s="4" t="s">
        <v>75</v>
      </c>
      <c r="Z485" s="1">
        <v>45468</v>
      </c>
      <c r="AA485" s="4" t="str" cm="1">
        <f t="array" ref="AA485">_xlfn.IFS(OR(AB485="December", AB485="February", AB485="January"), "Winter", OR(AB485="March", AB485="April", AB485="May"), "Spring", OR(AB485="June", AB485="July", AB485="August"), "Summer", TRUE, "Autumn")</f>
        <v>Summer</v>
      </c>
      <c r="AB485" s="7" t="str">
        <f>TEXT(Z485, "mmmm")</f>
        <v>June</v>
      </c>
      <c r="AC485" s="1" t="str">
        <f>TEXT(Z485, "dddd")</f>
        <v>Tuesday</v>
      </c>
      <c r="AD485" s="4" t="s">
        <v>76</v>
      </c>
      <c r="AE485" s="4" t="s">
        <v>62</v>
      </c>
      <c r="AF485" s="4" t="s">
        <v>102</v>
      </c>
      <c r="AG485" s="4" t="s">
        <v>64</v>
      </c>
      <c r="AH485" s="3">
        <v>4</v>
      </c>
    </row>
    <row r="486" spans="1:34">
      <c r="A486" s="4" t="s">
        <v>1071</v>
      </c>
      <c r="B486" s="3">
        <v>21</v>
      </c>
      <c r="C486" s="9" t="str" cm="1">
        <f t="array" ref="C486">_xlfn.IFS(B486&gt;65,"+65",B486&gt;54,"55-65",B486&gt;44,"45-54",B486&gt;35,"36-44",B486&gt;25,"26-35",B486&gt;=18,"18-25")</f>
        <v>18-25</v>
      </c>
      <c r="D486" s="4" t="s">
        <v>232</v>
      </c>
      <c r="E486" s="4" t="s">
        <v>51</v>
      </c>
      <c r="F486" s="4" t="s">
        <v>79</v>
      </c>
      <c r="G486" s="4" t="s">
        <v>68</v>
      </c>
      <c r="H486" s="4" t="s">
        <v>1072</v>
      </c>
      <c r="I486" s="4" t="s">
        <v>169</v>
      </c>
      <c r="J486" s="5">
        <v>53.87</v>
      </c>
      <c r="K486" s="3">
        <v>10</v>
      </c>
      <c r="L486" s="4" t="str">
        <f>IF(AND(J486&gt;350,K486&gt;6), "True","False")</f>
        <v>False</v>
      </c>
      <c r="M486" s="4" t="s">
        <v>71</v>
      </c>
      <c r="N486" s="3">
        <v>4</v>
      </c>
      <c r="O486" s="4" t="str" cm="1">
        <f t="array" ref="O486">_xlfn.IFS(P486&lt;=2,"Poor",P486=3,"Average",P486&gt;=4,"Good")</f>
        <v>Average</v>
      </c>
      <c r="P486" s="3">
        <v>3</v>
      </c>
      <c r="Q486" s="2">
        <v>0</v>
      </c>
      <c r="R486" s="4" t="s">
        <v>85</v>
      </c>
      <c r="S486" s="4" t="s">
        <v>73</v>
      </c>
      <c r="T486" s="3">
        <v>0</v>
      </c>
      <c r="U486" s="4" t="str" cm="1">
        <f t="array" ref="U486">_xlfn.IFS(V486&lt;=4, "Dissatisfied",V486&lt;=7,"Neutral",V486&gt;=8,"Satisfied")</f>
        <v>Satisfied</v>
      </c>
      <c r="V486" s="3">
        <v>10</v>
      </c>
      <c r="W486" s="4" t="s">
        <v>72</v>
      </c>
      <c r="X486" s="4" t="s">
        <v>74</v>
      </c>
      <c r="Y486" s="4" t="s">
        <v>61</v>
      </c>
      <c r="Z486" s="1">
        <v>45468</v>
      </c>
      <c r="AA486" s="4" t="str" cm="1">
        <f t="array" ref="AA486">_xlfn.IFS(OR(AB486="December", AB486="February", AB486="January"), "Winter", OR(AB486="March", AB486="April", AB486="May"), "Spring", OR(AB486="June", AB486="July", AB486="August"), "Summer", TRUE, "Autumn")</f>
        <v>Summer</v>
      </c>
      <c r="AB486" s="7" t="str">
        <f>TEXT(Z486, "mmmm")</f>
        <v>June</v>
      </c>
      <c r="AC486" s="1" t="str">
        <f>TEXT(Z486, "dddd")</f>
        <v>Tuesday</v>
      </c>
      <c r="AD486" s="4" t="s">
        <v>62</v>
      </c>
      <c r="AE486" s="4" t="s">
        <v>76</v>
      </c>
      <c r="AF486" s="4" t="s">
        <v>87</v>
      </c>
      <c r="AG486" s="4" t="s">
        <v>88</v>
      </c>
      <c r="AH486" s="3">
        <v>2</v>
      </c>
    </row>
    <row r="487" spans="1:34">
      <c r="A487" s="4" t="s">
        <v>1073</v>
      </c>
      <c r="B487" s="3">
        <v>46</v>
      </c>
      <c r="C487" s="9" t="str" cm="1">
        <f t="array" ref="C487">_xlfn.IFS(B487&gt;65,"+65",B487&gt;54,"55-65",B487&gt;44,"45-54",B487&gt;35,"36-44",B487&gt;25,"26-35",B487&gt;=18,"18-25")</f>
        <v>45-54</v>
      </c>
      <c r="D487" s="4" t="s">
        <v>66</v>
      </c>
      <c r="E487" s="4" t="s">
        <v>51</v>
      </c>
      <c r="F487" s="4" t="s">
        <v>52</v>
      </c>
      <c r="G487" s="4" t="s">
        <v>53</v>
      </c>
      <c r="H487" s="4" t="s">
        <v>1074</v>
      </c>
      <c r="I487" s="4" t="s">
        <v>151</v>
      </c>
      <c r="J487" s="5">
        <v>71</v>
      </c>
      <c r="K487" s="3">
        <v>12</v>
      </c>
      <c r="L487" s="4" t="str">
        <f>IF(AND(J487&gt;350,K487&gt;6), "True","False")</f>
        <v>False</v>
      </c>
      <c r="M487" s="4" t="s">
        <v>56</v>
      </c>
      <c r="N487" s="3">
        <v>1</v>
      </c>
      <c r="O487" s="4" t="str" cm="1">
        <f t="array" ref="O487">_xlfn.IFS(P487&lt;=2,"Poor",P487=3,"Average",P487&gt;=4,"Good")</f>
        <v>Good</v>
      </c>
      <c r="P487" s="3">
        <v>5</v>
      </c>
      <c r="Q487" s="2">
        <v>2</v>
      </c>
      <c r="R487" s="4" t="s">
        <v>72</v>
      </c>
      <c r="S487" s="4" t="s">
        <v>58</v>
      </c>
      <c r="T487" s="3">
        <v>2</v>
      </c>
      <c r="U487" s="4" t="str" cm="1">
        <f t="array" ref="U487">_xlfn.IFS(V487&lt;=4, "Dissatisfied",V487&lt;=7,"Neutral",V487&gt;=8,"Satisfied")</f>
        <v>Satisfied</v>
      </c>
      <c r="V487" s="3">
        <v>9</v>
      </c>
      <c r="W487" s="4" t="s">
        <v>59</v>
      </c>
      <c r="X487" s="4" t="s">
        <v>60</v>
      </c>
      <c r="Y487" s="4" t="s">
        <v>61</v>
      </c>
      <c r="Z487" s="1">
        <v>45469</v>
      </c>
      <c r="AA487" s="4" t="str" cm="1">
        <f t="array" ref="AA487">_xlfn.IFS(OR(AB487="December", AB487="February", AB487="January"), "Winter", OR(AB487="March", AB487="April", AB487="May"), "Spring", OR(AB487="June", AB487="July", AB487="August"), "Summer", TRUE, "Autumn")</f>
        <v>Summer</v>
      </c>
      <c r="AB487" s="7" t="str">
        <f>TEXT(Z487, "mmmm")</f>
        <v>June</v>
      </c>
      <c r="AC487" s="1" t="str">
        <f>TEXT(Z487, "dddd")</f>
        <v>Wednesday</v>
      </c>
      <c r="AD487" s="4" t="s">
        <v>76</v>
      </c>
      <c r="AE487" s="4" t="s">
        <v>76</v>
      </c>
      <c r="AF487" s="4" t="s">
        <v>102</v>
      </c>
      <c r="AG487" s="4" t="s">
        <v>88</v>
      </c>
      <c r="AH487" s="3">
        <v>13</v>
      </c>
    </row>
    <row r="488" spans="1:34">
      <c r="A488" s="4" t="s">
        <v>1075</v>
      </c>
      <c r="B488" s="3">
        <v>39</v>
      </c>
      <c r="C488" s="9" t="str" cm="1">
        <f t="array" ref="C488">_xlfn.IFS(B488&gt;65,"+65",B488&gt;54,"55-65",B488&gt;44,"45-54",B488&gt;35,"36-44",B488&gt;25,"26-35",B488&gt;=18,"18-25")</f>
        <v>36-44</v>
      </c>
      <c r="D488" s="4" t="s">
        <v>66</v>
      </c>
      <c r="E488" s="4" t="s">
        <v>72</v>
      </c>
      <c r="F488" s="4" t="s">
        <v>79</v>
      </c>
      <c r="G488" s="4" t="s">
        <v>53</v>
      </c>
      <c r="H488" s="4" t="s">
        <v>1076</v>
      </c>
      <c r="I488" s="4" t="s">
        <v>97</v>
      </c>
      <c r="J488" s="5">
        <v>446.03</v>
      </c>
      <c r="K488" s="3">
        <v>9</v>
      </c>
      <c r="L488" s="4" t="str">
        <f>IF(AND(J488&gt;350,K488&gt;6), "True","False")</f>
        <v>True</v>
      </c>
      <c r="M488" s="4" t="s">
        <v>71</v>
      </c>
      <c r="N488" s="3">
        <v>2</v>
      </c>
      <c r="O488" s="4" t="str" cm="1">
        <f t="array" ref="O488">_xlfn.IFS(P488&lt;=2,"Poor",P488=3,"Average",P488&gt;=4,"Good")</f>
        <v>Poor</v>
      </c>
      <c r="P488" s="3">
        <v>1</v>
      </c>
      <c r="Q488" s="2">
        <v>2</v>
      </c>
      <c r="R488" s="4" t="s">
        <v>59</v>
      </c>
      <c r="S488" s="4" t="s">
        <v>84</v>
      </c>
      <c r="T488" s="3">
        <v>2</v>
      </c>
      <c r="U488" s="4" t="str" cm="1">
        <f t="array" ref="U488">_xlfn.IFS(V488&lt;=4, "Dissatisfied",V488&lt;=7,"Neutral",V488&gt;=8,"Satisfied")</f>
        <v>Neutral</v>
      </c>
      <c r="V488" s="3">
        <v>7</v>
      </c>
      <c r="W488" s="4" t="s">
        <v>57</v>
      </c>
      <c r="X488" s="4" t="s">
        <v>74</v>
      </c>
      <c r="Y488" s="4" t="s">
        <v>111</v>
      </c>
      <c r="Z488" s="1">
        <v>45469</v>
      </c>
      <c r="AA488" s="4" t="str" cm="1">
        <f t="array" ref="AA488">_xlfn.IFS(OR(AB488="December", AB488="February", AB488="January"), "Winter", OR(AB488="March", AB488="April", AB488="May"), "Spring", OR(AB488="June", AB488="July", AB488="August"), "Summer", TRUE, "Autumn")</f>
        <v>Summer</v>
      </c>
      <c r="AB488" s="7" t="str">
        <f>TEXT(Z488, "mmmm")</f>
        <v>June</v>
      </c>
      <c r="AC488" s="1" t="str">
        <f>TEXT(Z488, "dddd")</f>
        <v>Wednesday</v>
      </c>
      <c r="AD488" s="4" t="s">
        <v>62</v>
      </c>
      <c r="AE488" s="4" t="s">
        <v>62</v>
      </c>
      <c r="AF488" s="4" t="s">
        <v>63</v>
      </c>
      <c r="AG488" s="4" t="s">
        <v>93</v>
      </c>
      <c r="AH488" s="3">
        <v>12</v>
      </c>
    </row>
    <row r="489" spans="1:34">
      <c r="A489" s="4" t="s">
        <v>1077</v>
      </c>
      <c r="B489" s="3">
        <v>38</v>
      </c>
      <c r="C489" s="9" t="str" cm="1">
        <f t="array" ref="C489">_xlfn.IFS(B489&gt;65,"+65",B489&gt;54,"55-65",B489&gt;44,"45-54",B489&gt;35,"36-44",B489&gt;25,"26-35",B489&gt;=18,"18-25")</f>
        <v>36-44</v>
      </c>
      <c r="D489" s="4" t="s">
        <v>78</v>
      </c>
      <c r="E489" s="4" t="s">
        <v>72</v>
      </c>
      <c r="F489" s="4" t="s">
        <v>67</v>
      </c>
      <c r="G489" s="4" t="s">
        <v>53</v>
      </c>
      <c r="H489" s="4" t="s">
        <v>1078</v>
      </c>
      <c r="I489" s="4" t="s">
        <v>275</v>
      </c>
      <c r="J489" s="5">
        <v>225.05</v>
      </c>
      <c r="K489" s="3">
        <v>5</v>
      </c>
      <c r="L489" s="4" t="str">
        <f>IF(AND(J489&gt;350,K489&gt;6), "True","False")</f>
        <v>False</v>
      </c>
      <c r="M489" s="4" t="s">
        <v>83</v>
      </c>
      <c r="N489" s="3">
        <v>2</v>
      </c>
      <c r="O489" s="4" t="str" cm="1">
        <f t="array" ref="O489">_xlfn.IFS(P489&lt;=2,"Poor",P489=3,"Average",P489&gt;=4,"Good")</f>
        <v>Poor</v>
      </c>
      <c r="P489" s="3">
        <v>1</v>
      </c>
      <c r="Q489" s="2">
        <v>1</v>
      </c>
      <c r="R489" s="4" t="s">
        <v>72</v>
      </c>
      <c r="S489" s="4" t="s">
        <v>84</v>
      </c>
      <c r="T489" s="3">
        <v>1</v>
      </c>
      <c r="U489" s="4" t="str" cm="1">
        <f t="array" ref="U489">_xlfn.IFS(V489&lt;=4, "Dissatisfied",V489&lt;=7,"Neutral",V489&gt;=8,"Satisfied")</f>
        <v>Dissatisfied</v>
      </c>
      <c r="V489" s="3">
        <v>1</v>
      </c>
      <c r="W489" s="4" t="s">
        <v>59</v>
      </c>
      <c r="X489" s="4" t="s">
        <v>101</v>
      </c>
      <c r="Y489" s="4" t="s">
        <v>119</v>
      </c>
      <c r="Z489" s="1">
        <v>45470</v>
      </c>
      <c r="AA489" s="4" t="str" cm="1">
        <f t="array" ref="AA489">_xlfn.IFS(OR(AB489="December", AB489="February", AB489="January"), "Winter", OR(AB489="March", AB489="April", AB489="May"), "Spring", OR(AB489="June", AB489="July", AB489="August"), "Summer", TRUE, "Autumn")</f>
        <v>Summer</v>
      </c>
      <c r="AB489" s="7" t="str">
        <f>TEXT(Z489, "mmmm")</f>
        <v>June</v>
      </c>
      <c r="AC489" s="1" t="str">
        <f>TEXT(Z489, "dddd")</f>
        <v>Thursday</v>
      </c>
      <c r="AD489" s="4" t="s">
        <v>76</v>
      </c>
      <c r="AE489" s="4" t="s">
        <v>76</v>
      </c>
      <c r="AF489" s="4" t="s">
        <v>63</v>
      </c>
      <c r="AG489" s="4" t="s">
        <v>88</v>
      </c>
      <c r="AH489" s="3">
        <v>10</v>
      </c>
    </row>
    <row r="490" spans="1:34">
      <c r="A490" s="4" t="s">
        <v>1079</v>
      </c>
      <c r="B490" s="3">
        <v>42</v>
      </c>
      <c r="C490" s="9" t="str" cm="1">
        <f t="array" ref="C490">_xlfn.IFS(B490&gt;65,"+65",B490&gt;54,"55-65",B490&gt;44,"45-54",B490&gt;35,"36-44",B490&gt;25,"26-35",B490&gt;=18,"18-25")</f>
        <v>36-44</v>
      </c>
      <c r="D490" s="4" t="s">
        <v>78</v>
      </c>
      <c r="E490" s="4" t="s">
        <v>72</v>
      </c>
      <c r="F490" s="4" t="s">
        <v>67</v>
      </c>
      <c r="G490" s="4" t="s">
        <v>53</v>
      </c>
      <c r="H490" s="4" t="s">
        <v>1080</v>
      </c>
      <c r="I490" s="4" t="s">
        <v>91</v>
      </c>
      <c r="J490" s="5">
        <v>469.9</v>
      </c>
      <c r="K490" s="3">
        <v>4</v>
      </c>
      <c r="L490" s="4" t="str">
        <f>IF(AND(J490&gt;350,K490&gt;6), "True","False")</f>
        <v>False</v>
      </c>
      <c r="M490" s="4" t="s">
        <v>83</v>
      </c>
      <c r="N490" s="3">
        <v>2</v>
      </c>
      <c r="O490" s="4" t="str" cm="1">
        <f t="array" ref="O490">_xlfn.IFS(P490&lt;=2,"Poor",P490=3,"Average",P490&gt;=4,"Good")</f>
        <v>Good</v>
      </c>
      <c r="P490" s="3">
        <v>5</v>
      </c>
      <c r="Q490" s="2">
        <v>1</v>
      </c>
      <c r="R490" s="4" t="s">
        <v>59</v>
      </c>
      <c r="S490" s="4" t="s">
        <v>58</v>
      </c>
      <c r="T490" s="3">
        <v>1</v>
      </c>
      <c r="U490" s="4" t="str" cm="1">
        <f t="array" ref="U490">_xlfn.IFS(V490&lt;=4, "Dissatisfied",V490&lt;=7,"Neutral",V490&gt;=8,"Satisfied")</f>
        <v>Neutral</v>
      </c>
      <c r="V490" s="3">
        <v>7</v>
      </c>
      <c r="W490" s="4" t="s">
        <v>57</v>
      </c>
      <c r="X490" s="4" t="s">
        <v>101</v>
      </c>
      <c r="Y490" s="4" t="s">
        <v>61</v>
      </c>
      <c r="Z490" s="1">
        <v>45471</v>
      </c>
      <c r="AA490" s="4" t="str" cm="1">
        <f t="array" ref="AA490">_xlfn.IFS(OR(AB490="December", AB490="February", AB490="January"), "Winter", OR(AB490="March", AB490="April", AB490="May"), "Spring", OR(AB490="June", AB490="July", AB490="August"), "Summer", TRUE, "Autumn")</f>
        <v>Summer</v>
      </c>
      <c r="AB490" s="7" t="str">
        <f>TEXT(Z490, "mmmm")</f>
        <v>June</v>
      </c>
      <c r="AC490" s="1" t="str">
        <f>TEXT(Z490, "dddd")</f>
        <v>Friday</v>
      </c>
      <c r="AD490" s="4" t="s">
        <v>76</v>
      </c>
      <c r="AE490" s="4" t="s">
        <v>76</v>
      </c>
      <c r="AF490" s="4" t="s">
        <v>87</v>
      </c>
      <c r="AG490" s="4" t="s">
        <v>88</v>
      </c>
      <c r="AH490" s="3">
        <v>7</v>
      </c>
    </row>
    <row r="491" spans="1:34">
      <c r="A491" s="4" t="s">
        <v>1081</v>
      </c>
      <c r="B491" s="3">
        <v>29</v>
      </c>
      <c r="C491" s="9" t="str" cm="1">
        <f t="array" ref="C491">_xlfn.IFS(B491&gt;65,"+65",B491&gt;54,"55-65",B491&gt;44,"45-54",B491&gt;35,"36-44",B491&gt;25,"26-35",B491&gt;=18,"18-25")</f>
        <v>26-35</v>
      </c>
      <c r="D491" s="4" t="s">
        <v>66</v>
      </c>
      <c r="E491" s="4" t="s">
        <v>72</v>
      </c>
      <c r="F491" s="4" t="s">
        <v>79</v>
      </c>
      <c r="G491" s="4" t="s">
        <v>80</v>
      </c>
      <c r="H491" s="4" t="s">
        <v>1082</v>
      </c>
      <c r="I491" s="4" t="s">
        <v>100</v>
      </c>
      <c r="J491" s="5">
        <v>122.55</v>
      </c>
      <c r="K491" s="3">
        <v>9</v>
      </c>
      <c r="L491" s="4" t="str">
        <f>IF(AND(J491&gt;350,K491&gt;6), "True","False")</f>
        <v>False</v>
      </c>
      <c r="M491" s="4" t="s">
        <v>83</v>
      </c>
      <c r="N491" s="3">
        <v>2</v>
      </c>
      <c r="O491" s="4" t="str" cm="1">
        <f t="array" ref="O491">_xlfn.IFS(P491&lt;=2,"Poor",P491=3,"Average",P491&gt;=4,"Good")</f>
        <v>Good</v>
      </c>
      <c r="P491" s="3">
        <v>4</v>
      </c>
      <c r="Q491" s="2">
        <v>0.3</v>
      </c>
      <c r="R491" s="4" t="s">
        <v>59</v>
      </c>
      <c r="S491" s="4" t="s">
        <v>58</v>
      </c>
      <c r="T491" s="3">
        <v>2</v>
      </c>
      <c r="U491" s="4" t="str" cm="1">
        <f t="array" ref="U491">_xlfn.IFS(V491&lt;=4, "Dissatisfied",V491&lt;=7,"Neutral",V491&gt;=8,"Satisfied")</f>
        <v>Dissatisfied</v>
      </c>
      <c r="V491" s="3">
        <v>3</v>
      </c>
      <c r="W491" s="4" t="s">
        <v>85</v>
      </c>
      <c r="X491" s="4" t="s">
        <v>101</v>
      </c>
      <c r="Y491" s="4" t="s">
        <v>119</v>
      </c>
      <c r="Z491" s="1">
        <v>45471</v>
      </c>
      <c r="AA491" s="4" t="str" cm="1">
        <f t="array" ref="AA491">_xlfn.IFS(OR(AB491="December", AB491="February", AB491="January"), "Winter", OR(AB491="March", AB491="April", AB491="May"), "Spring", OR(AB491="June", AB491="July", AB491="August"), "Summer", TRUE, "Autumn")</f>
        <v>Summer</v>
      </c>
      <c r="AB491" s="7" t="str">
        <f>TEXT(Z491, "mmmm")</f>
        <v>June</v>
      </c>
      <c r="AC491" s="1" t="str">
        <f>TEXT(Z491, "dddd")</f>
        <v>Friday</v>
      </c>
      <c r="AD491" s="4" t="s">
        <v>76</v>
      </c>
      <c r="AE491" s="4" t="s">
        <v>76</v>
      </c>
      <c r="AF491" s="4" t="s">
        <v>92</v>
      </c>
      <c r="AG491" s="4" t="s">
        <v>93</v>
      </c>
      <c r="AH491" s="3">
        <v>4</v>
      </c>
    </row>
    <row r="492" spans="1:34">
      <c r="A492" s="4" t="s">
        <v>1083</v>
      </c>
      <c r="B492" s="3">
        <v>24</v>
      </c>
      <c r="C492" s="9" t="str" cm="1">
        <f t="array" ref="C492">_xlfn.IFS(B492&gt;65,"+65",B492&gt;54,"55-65",B492&gt;44,"45-54",B492&gt;35,"36-44",B492&gt;25,"26-35",B492&gt;=18,"18-25")</f>
        <v>18-25</v>
      </c>
      <c r="D492" s="4" t="s">
        <v>78</v>
      </c>
      <c r="E492" s="4" t="s">
        <v>51</v>
      </c>
      <c r="F492" s="4" t="s">
        <v>67</v>
      </c>
      <c r="G492" s="4" t="s">
        <v>53</v>
      </c>
      <c r="H492" s="4" t="s">
        <v>1084</v>
      </c>
      <c r="I492" s="4" t="s">
        <v>133</v>
      </c>
      <c r="J492" s="5">
        <v>302.74</v>
      </c>
      <c r="K492" s="3">
        <v>11</v>
      </c>
      <c r="L492" s="4" t="str">
        <f>IF(AND(J492&gt;350,K492&gt;6), "True","False")</f>
        <v>False</v>
      </c>
      <c r="M492" s="4" t="s">
        <v>83</v>
      </c>
      <c r="N492" s="3">
        <v>1</v>
      </c>
      <c r="O492" s="4" t="str" cm="1">
        <f t="array" ref="O492">_xlfn.IFS(P492&lt;=2,"Poor",P492=3,"Average",P492&gt;=4,"Good")</f>
        <v>Good</v>
      </c>
      <c r="P492" s="3">
        <v>5</v>
      </c>
      <c r="Q492" s="2">
        <v>0</v>
      </c>
      <c r="R492" s="4" t="s">
        <v>72</v>
      </c>
      <c r="S492" s="4" t="s">
        <v>73</v>
      </c>
      <c r="T492" s="3">
        <v>0</v>
      </c>
      <c r="U492" s="4" t="str" cm="1">
        <f t="array" ref="U492">_xlfn.IFS(V492&lt;=4, "Dissatisfied",V492&lt;=7,"Neutral",V492&gt;=8,"Satisfied")</f>
        <v>Neutral</v>
      </c>
      <c r="V492" s="3">
        <v>6</v>
      </c>
      <c r="W492" s="4" t="s">
        <v>72</v>
      </c>
      <c r="X492" s="4" t="s">
        <v>60</v>
      </c>
      <c r="Y492" s="4" t="s">
        <v>86</v>
      </c>
      <c r="Z492" s="1">
        <v>45471</v>
      </c>
      <c r="AA492" s="4" t="str" cm="1">
        <f t="array" ref="AA492">_xlfn.IFS(OR(AB492="December", AB492="February", AB492="January"), "Winter", OR(AB492="March", AB492="April", AB492="May"), "Spring", OR(AB492="June", AB492="July", AB492="August"), "Summer", TRUE, "Autumn")</f>
        <v>Summer</v>
      </c>
      <c r="AB492" s="7" t="str">
        <f>TEXT(Z492, "mmmm")</f>
        <v>June</v>
      </c>
      <c r="AC492" s="1" t="str">
        <f>TEXT(Z492, "dddd")</f>
        <v>Friday</v>
      </c>
      <c r="AD492" s="4" t="s">
        <v>62</v>
      </c>
      <c r="AE492" s="4" t="s">
        <v>62</v>
      </c>
      <c r="AF492" s="4" t="s">
        <v>102</v>
      </c>
      <c r="AG492" s="4" t="s">
        <v>93</v>
      </c>
      <c r="AH492" s="3">
        <v>5</v>
      </c>
    </row>
    <row r="493" spans="1:34">
      <c r="A493" s="4" t="s">
        <v>1085</v>
      </c>
      <c r="B493" s="3">
        <v>19</v>
      </c>
      <c r="C493" s="9" t="str" cm="1">
        <f t="array" ref="C493">_xlfn.IFS(B493&gt;65,"+65",B493&gt;54,"55-65",B493&gt;44,"45-54",B493&gt;35,"36-44",B493&gt;25,"26-35",B493&gt;=18,"18-25")</f>
        <v>18-25</v>
      </c>
      <c r="D493" s="4" t="s">
        <v>78</v>
      </c>
      <c r="E493" s="4" t="s">
        <v>72</v>
      </c>
      <c r="F493" s="4" t="s">
        <v>52</v>
      </c>
      <c r="G493" s="4" t="s">
        <v>80</v>
      </c>
      <c r="H493" s="4" t="s">
        <v>1086</v>
      </c>
      <c r="I493" s="4" t="s">
        <v>110</v>
      </c>
      <c r="J493" s="5">
        <v>211.16</v>
      </c>
      <c r="K493" s="3">
        <v>5</v>
      </c>
      <c r="L493" s="4" t="str">
        <f>IF(AND(J493&gt;350,K493&gt;6), "True","False")</f>
        <v>False</v>
      </c>
      <c r="M493" s="4" t="s">
        <v>71</v>
      </c>
      <c r="N493" s="3">
        <v>2</v>
      </c>
      <c r="O493" s="4" t="str" cm="1">
        <f t="array" ref="O493">_xlfn.IFS(P493&lt;=2,"Poor",P493=3,"Average",P493&gt;=4,"Good")</f>
        <v>Average</v>
      </c>
      <c r="P493" s="3">
        <v>3</v>
      </c>
      <c r="Q493" s="2">
        <v>1</v>
      </c>
      <c r="R493" s="4" t="s">
        <v>72</v>
      </c>
      <c r="S493" s="4" t="s">
        <v>73</v>
      </c>
      <c r="T493" s="3">
        <v>0</v>
      </c>
      <c r="U493" s="4" t="str" cm="1">
        <f t="array" ref="U493">_xlfn.IFS(V493&lt;=4, "Dissatisfied",V493&lt;=7,"Neutral",V493&gt;=8,"Satisfied")</f>
        <v>Dissatisfied</v>
      </c>
      <c r="V493" s="3">
        <v>3</v>
      </c>
      <c r="W493" s="4" t="s">
        <v>57</v>
      </c>
      <c r="X493" s="4" t="s">
        <v>60</v>
      </c>
      <c r="Y493" s="4" t="s">
        <v>86</v>
      </c>
      <c r="Z493" s="1">
        <v>45471</v>
      </c>
      <c r="AA493" s="4" t="str" cm="1">
        <f t="array" ref="AA493">_xlfn.IFS(OR(AB493="December", AB493="February", AB493="January"), "Winter", OR(AB493="March", AB493="April", AB493="May"), "Spring", OR(AB493="June", AB493="July", AB493="August"), "Summer", TRUE, "Autumn")</f>
        <v>Summer</v>
      </c>
      <c r="AB493" s="7" t="str">
        <f>TEXT(Z493, "mmmm")</f>
        <v>June</v>
      </c>
      <c r="AC493" s="1" t="str">
        <f>TEXT(Z493, "dddd")</f>
        <v>Friday</v>
      </c>
      <c r="AD493" s="4" t="s">
        <v>76</v>
      </c>
      <c r="AE493" s="4" t="s">
        <v>76</v>
      </c>
      <c r="AF493" s="4" t="s">
        <v>87</v>
      </c>
      <c r="AG493" s="4" t="s">
        <v>64</v>
      </c>
      <c r="AH493" s="3">
        <v>2</v>
      </c>
    </row>
    <row r="494" spans="1:34">
      <c r="A494" s="4" t="s">
        <v>1087</v>
      </c>
      <c r="B494" s="3">
        <v>42</v>
      </c>
      <c r="C494" s="9" t="str" cm="1">
        <f t="array" ref="C494">_xlfn.IFS(B494&gt;65,"+65",B494&gt;54,"55-65",B494&gt;44,"45-54",B494&gt;35,"36-44",B494&gt;25,"26-35",B494&gt;=18,"18-25")</f>
        <v>36-44</v>
      </c>
      <c r="D494" s="4" t="s">
        <v>66</v>
      </c>
      <c r="E494" s="4" t="s">
        <v>51</v>
      </c>
      <c r="F494" s="4" t="s">
        <v>52</v>
      </c>
      <c r="G494" s="4" t="s">
        <v>68</v>
      </c>
      <c r="H494" s="4" t="s">
        <v>1088</v>
      </c>
      <c r="I494" s="4" t="s">
        <v>223</v>
      </c>
      <c r="J494" s="5">
        <v>330.36</v>
      </c>
      <c r="K494" s="3">
        <v>12</v>
      </c>
      <c r="L494" s="4" t="str">
        <f>IF(AND(J494&gt;350,K494&gt;6), "True","False")</f>
        <v>False</v>
      </c>
      <c r="M494" s="4" t="s">
        <v>71</v>
      </c>
      <c r="N494" s="3">
        <v>5</v>
      </c>
      <c r="O494" s="4" t="str" cm="1">
        <f t="array" ref="O494">_xlfn.IFS(P494&lt;=2,"Poor",P494=3,"Average",P494&gt;=4,"Good")</f>
        <v>Good</v>
      </c>
      <c r="P494" s="3">
        <v>5</v>
      </c>
      <c r="Q494" s="2">
        <v>1</v>
      </c>
      <c r="R494" s="4" t="s">
        <v>59</v>
      </c>
      <c r="S494" s="4" t="s">
        <v>73</v>
      </c>
      <c r="T494" s="3">
        <v>1</v>
      </c>
      <c r="U494" s="4" t="str" cm="1">
        <f t="array" ref="U494">_xlfn.IFS(V494&lt;=4, "Dissatisfied",V494&lt;=7,"Neutral",V494&gt;=8,"Satisfied")</f>
        <v>Dissatisfied</v>
      </c>
      <c r="V494" s="3">
        <v>4</v>
      </c>
      <c r="W494" s="4" t="s">
        <v>59</v>
      </c>
      <c r="X494" s="4" t="s">
        <v>74</v>
      </c>
      <c r="Y494" s="4" t="s">
        <v>111</v>
      </c>
      <c r="Z494" s="1">
        <v>45472</v>
      </c>
      <c r="AA494" s="4" t="str" cm="1">
        <f t="array" ref="AA494">_xlfn.IFS(OR(AB494="December", AB494="February", AB494="January"), "Winter", OR(AB494="March", AB494="April", AB494="May"), "Spring", OR(AB494="June", AB494="July", AB494="August"), "Summer", TRUE, "Autumn")</f>
        <v>Summer</v>
      </c>
      <c r="AB494" s="7" t="str">
        <f>TEXT(Z494, "mmmm")</f>
        <v>June</v>
      </c>
      <c r="AC494" s="1" t="str">
        <f>TEXT(Z494, "dddd")</f>
        <v>Saturday</v>
      </c>
      <c r="AD494" s="4" t="s">
        <v>62</v>
      </c>
      <c r="AE494" s="4" t="s">
        <v>62</v>
      </c>
      <c r="AF494" s="4" t="s">
        <v>63</v>
      </c>
      <c r="AG494" s="4" t="s">
        <v>88</v>
      </c>
      <c r="AH494" s="3">
        <v>3</v>
      </c>
    </row>
    <row r="495" spans="1:34">
      <c r="A495" s="4" t="s">
        <v>1089</v>
      </c>
      <c r="B495" s="3">
        <v>38</v>
      </c>
      <c r="C495" s="9" t="str" cm="1">
        <f t="array" ref="C495">_xlfn.IFS(B495&gt;65,"+65",B495&gt;54,"55-65",B495&gt;44,"45-54",B495&gt;35,"36-44",B495&gt;25,"26-35",B495&gt;=18,"18-25")</f>
        <v>36-44</v>
      </c>
      <c r="D495" s="4" t="s">
        <v>160</v>
      </c>
      <c r="E495" s="4" t="s">
        <v>72</v>
      </c>
      <c r="F495" s="4" t="s">
        <v>95</v>
      </c>
      <c r="G495" s="4" t="s">
        <v>80</v>
      </c>
      <c r="H495" s="4" t="s">
        <v>1090</v>
      </c>
      <c r="I495" s="4" t="s">
        <v>118</v>
      </c>
      <c r="J495" s="5">
        <v>196.33</v>
      </c>
      <c r="K495" s="3">
        <v>11</v>
      </c>
      <c r="L495" s="4" t="str">
        <f>IF(AND(J495&gt;350,K495&gt;6), "True","False")</f>
        <v>False</v>
      </c>
      <c r="M495" s="4" t="s">
        <v>56</v>
      </c>
      <c r="N495" s="3">
        <v>4</v>
      </c>
      <c r="O495" s="4" t="str" cm="1">
        <f t="array" ref="O495">_xlfn.IFS(P495&lt;=2,"Poor",P495=3,"Average",P495&gt;=4,"Good")</f>
        <v>Average</v>
      </c>
      <c r="P495" s="3">
        <v>3</v>
      </c>
      <c r="Q495" s="2">
        <v>1</v>
      </c>
      <c r="R495" s="4" t="s">
        <v>85</v>
      </c>
      <c r="S495" s="4" t="s">
        <v>58</v>
      </c>
      <c r="T495" s="3">
        <v>0</v>
      </c>
      <c r="U495" s="4" t="str" cm="1">
        <f t="array" ref="U495">_xlfn.IFS(V495&lt;=4, "Dissatisfied",V495&lt;=7,"Neutral",V495&gt;=8,"Satisfied")</f>
        <v>Neutral</v>
      </c>
      <c r="V495" s="3">
        <v>5</v>
      </c>
      <c r="W495" s="4" t="s">
        <v>57</v>
      </c>
      <c r="X495" s="4" t="s">
        <v>101</v>
      </c>
      <c r="Y495" s="4" t="s">
        <v>75</v>
      </c>
      <c r="Z495" s="1">
        <v>45472</v>
      </c>
      <c r="AA495" s="4" t="str" cm="1">
        <f t="array" ref="AA495">_xlfn.IFS(OR(AB495="December", AB495="February", AB495="January"), "Winter", OR(AB495="March", AB495="April", AB495="May"), "Spring", OR(AB495="June", AB495="July", AB495="August"), "Summer", TRUE, "Autumn")</f>
        <v>Summer</v>
      </c>
      <c r="AB495" s="7" t="str">
        <f>TEXT(Z495, "mmmm")</f>
        <v>June</v>
      </c>
      <c r="AC495" s="1" t="str">
        <f>TEXT(Z495, "dddd")</f>
        <v>Saturday</v>
      </c>
      <c r="AD495" s="4" t="s">
        <v>62</v>
      </c>
      <c r="AE495" s="4" t="s">
        <v>62</v>
      </c>
      <c r="AF495" s="4" t="s">
        <v>87</v>
      </c>
      <c r="AG495" s="4" t="s">
        <v>64</v>
      </c>
      <c r="AH495" s="3">
        <v>11</v>
      </c>
    </row>
    <row r="496" spans="1:34">
      <c r="A496" s="4" t="s">
        <v>1091</v>
      </c>
      <c r="B496" s="3">
        <v>35</v>
      </c>
      <c r="C496" s="9" t="str" cm="1">
        <f t="array" ref="C496">_xlfn.IFS(B496&gt;65,"+65",B496&gt;54,"55-65",B496&gt;44,"45-54",B496&gt;35,"36-44",B496&gt;25,"26-35",B496&gt;=18,"18-25")</f>
        <v>26-35</v>
      </c>
      <c r="D496" s="4" t="s">
        <v>78</v>
      </c>
      <c r="E496" s="4" t="s">
        <v>72</v>
      </c>
      <c r="F496" s="4" t="s">
        <v>79</v>
      </c>
      <c r="G496" s="4" t="s">
        <v>80</v>
      </c>
      <c r="H496" s="4" t="s">
        <v>1092</v>
      </c>
      <c r="I496" s="4" t="s">
        <v>118</v>
      </c>
      <c r="J496" s="5">
        <v>289.27999999999997</v>
      </c>
      <c r="K496" s="3">
        <v>9</v>
      </c>
      <c r="L496" s="4" t="str">
        <f>IF(AND(J496&gt;350,K496&gt;6), "True","False")</f>
        <v>False</v>
      </c>
      <c r="M496" s="4" t="s">
        <v>56</v>
      </c>
      <c r="N496" s="3">
        <v>3</v>
      </c>
      <c r="O496" s="4" t="str" cm="1">
        <f t="array" ref="O496">_xlfn.IFS(P496&lt;=2,"Poor",P496=3,"Average",P496&gt;=4,"Good")</f>
        <v>Good</v>
      </c>
      <c r="P496" s="3">
        <v>5</v>
      </c>
      <c r="Q496" s="2">
        <v>1</v>
      </c>
      <c r="R496" s="4" t="s">
        <v>72</v>
      </c>
      <c r="S496" s="4" t="s">
        <v>84</v>
      </c>
      <c r="T496" s="3">
        <v>2</v>
      </c>
      <c r="U496" s="4" t="str" cm="1">
        <f t="array" ref="U496">_xlfn.IFS(V496&lt;=4, "Dissatisfied",V496&lt;=7,"Neutral",V496&gt;=8,"Satisfied")</f>
        <v>Neutral</v>
      </c>
      <c r="V496" s="3">
        <v>7</v>
      </c>
      <c r="W496" s="4" t="s">
        <v>85</v>
      </c>
      <c r="X496" s="4" t="s">
        <v>74</v>
      </c>
      <c r="Y496" s="4" t="s">
        <v>86</v>
      </c>
      <c r="Z496" s="1">
        <v>45472</v>
      </c>
      <c r="AA496" s="4" t="str" cm="1">
        <f t="array" ref="AA496">_xlfn.IFS(OR(AB496="December", AB496="February", AB496="January"), "Winter", OR(AB496="March", AB496="April", AB496="May"), "Spring", OR(AB496="June", AB496="July", AB496="August"), "Summer", TRUE, "Autumn")</f>
        <v>Summer</v>
      </c>
      <c r="AB496" s="7" t="str">
        <f>TEXT(Z496, "mmmm")</f>
        <v>June</v>
      </c>
      <c r="AC496" s="1" t="str">
        <f>TEXT(Z496, "dddd")</f>
        <v>Saturday</v>
      </c>
      <c r="AD496" s="4" t="s">
        <v>76</v>
      </c>
      <c r="AE496" s="4" t="s">
        <v>62</v>
      </c>
      <c r="AF496" s="4" t="s">
        <v>102</v>
      </c>
      <c r="AG496" s="4" t="s">
        <v>93</v>
      </c>
      <c r="AH496" s="3">
        <v>13</v>
      </c>
    </row>
    <row r="497" spans="1:34">
      <c r="A497" s="4" t="s">
        <v>1093</v>
      </c>
      <c r="B497" s="3">
        <v>31</v>
      </c>
      <c r="C497" s="9" t="str" cm="1">
        <f t="array" ref="C497">_xlfn.IFS(B497&gt;65,"+65",B497&gt;54,"55-65",B497&gt;44,"45-54",B497&gt;35,"36-44",B497&gt;25,"26-35",B497&gt;=18,"18-25")</f>
        <v>26-35</v>
      </c>
      <c r="D497" s="4" t="s">
        <v>78</v>
      </c>
      <c r="E497" s="4" t="s">
        <v>72</v>
      </c>
      <c r="F497" s="4" t="s">
        <v>95</v>
      </c>
      <c r="G497" s="4" t="s">
        <v>53</v>
      </c>
      <c r="H497" s="4" t="s">
        <v>1094</v>
      </c>
      <c r="I497" s="4" t="s">
        <v>100</v>
      </c>
      <c r="J497" s="5">
        <v>297.24</v>
      </c>
      <c r="K497" s="3">
        <v>2</v>
      </c>
      <c r="L497" s="4" t="str">
        <f>IF(AND(J497&gt;350,K497&gt;6), "True","False")</f>
        <v>False</v>
      </c>
      <c r="M497" s="4" t="s">
        <v>83</v>
      </c>
      <c r="N497" s="3">
        <v>1</v>
      </c>
      <c r="O497" s="4" t="str" cm="1">
        <f t="array" ref="O497">_xlfn.IFS(P497&lt;=2,"Poor",P497=3,"Average",P497&gt;=4,"Good")</f>
        <v>Good</v>
      </c>
      <c r="P497" s="3">
        <v>4</v>
      </c>
      <c r="Q497" s="2">
        <v>0</v>
      </c>
      <c r="R497" s="4" t="s">
        <v>85</v>
      </c>
      <c r="S497" s="4" t="s">
        <v>58</v>
      </c>
      <c r="T497" s="3">
        <v>0</v>
      </c>
      <c r="U497" s="4" t="str" cm="1">
        <f t="array" ref="U497">_xlfn.IFS(V497&lt;=4, "Dissatisfied",V497&lt;=7,"Neutral",V497&gt;=8,"Satisfied")</f>
        <v>Satisfied</v>
      </c>
      <c r="V497" s="3">
        <v>9</v>
      </c>
      <c r="W497" s="4" t="s">
        <v>72</v>
      </c>
      <c r="X497" s="4" t="s">
        <v>101</v>
      </c>
      <c r="Y497" s="4" t="s">
        <v>86</v>
      </c>
      <c r="Z497" s="1">
        <v>45472</v>
      </c>
      <c r="AA497" s="4" t="str" cm="1">
        <f t="array" ref="AA497">_xlfn.IFS(OR(AB497="December", AB497="February", AB497="January"), "Winter", OR(AB497="March", AB497="April", AB497="May"), "Spring", OR(AB497="June", AB497="July", AB497="August"), "Summer", TRUE, "Autumn")</f>
        <v>Summer</v>
      </c>
      <c r="AB497" s="7" t="str">
        <f>TEXT(Z497, "mmmm")</f>
        <v>June</v>
      </c>
      <c r="AC497" s="1" t="str">
        <f>TEXT(Z497, "dddd")</f>
        <v>Saturday</v>
      </c>
      <c r="AD497" s="4" t="s">
        <v>62</v>
      </c>
      <c r="AE497" s="4" t="s">
        <v>62</v>
      </c>
      <c r="AF497" s="4" t="s">
        <v>87</v>
      </c>
      <c r="AG497" s="4" t="s">
        <v>93</v>
      </c>
      <c r="AH497" s="3">
        <v>7</v>
      </c>
    </row>
    <row r="498" spans="1:34">
      <c r="A498" s="4" t="s">
        <v>1095</v>
      </c>
      <c r="B498" s="3">
        <v>24</v>
      </c>
      <c r="C498" s="9" t="str" cm="1">
        <f t="array" ref="C498">_xlfn.IFS(B498&gt;65,"+65",B498&gt;54,"55-65",B498&gt;44,"45-54",B498&gt;35,"36-44",B498&gt;25,"26-35",B498&gt;=18,"18-25")</f>
        <v>18-25</v>
      </c>
      <c r="D498" s="4" t="s">
        <v>66</v>
      </c>
      <c r="E498" s="4" t="s">
        <v>72</v>
      </c>
      <c r="F498" s="4" t="s">
        <v>95</v>
      </c>
      <c r="G498" s="4" t="s">
        <v>53</v>
      </c>
      <c r="H498" s="4" t="s">
        <v>1096</v>
      </c>
      <c r="I498" s="4" t="s">
        <v>234</v>
      </c>
      <c r="J498" s="5">
        <v>433.82</v>
      </c>
      <c r="K498" s="3">
        <v>6</v>
      </c>
      <c r="L498" s="4" t="str">
        <f>IF(AND(J498&gt;350,K498&gt;6), "True","False")</f>
        <v>False</v>
      </c>
      <c r="M498" s="4" t="s">
        <v>56</v>
      </c>
      <c r="N498" s="3">
        <v>3</v>
      </c>
      <c r="O498" s="4" t="str" cm="1">
        <f t="array" ref="O498">_xlfn.IFS(P498&lt;=2,"Poor",P498=3,"Average",P498&gt;=4,"Good")</f>
        <v>Poor</v>
      </c>
      <c r="P498" s="3">
        <v>2</v>
      </c>
      <c r="Q498" s="2">
        <v>1</v>
      </c>
      <c r="R498" s="4" t="s">
        <v>85</v>
      </c>
      <c r="S498" s="4" t="s">
        <v>84</v>
      </c>
      <c r="T498" s="3">
        <v>0</v>
      </c>
      <c r="U498" s="4" t="str" cm="1">
        <f t="array" ref="U498">_xlfn.IFS(V498&lt;=4, "Dissatisfied",V498&lt;=7,"Neutral",V498&gt;=8,"Satisfied")</f>
        <v>Satisfied</v>
      </c>
      <c r="V498" s="3">
        <v>8</v>
      </c>
      <c r="W498" s="4" t="s">
        <v>85</v>
      </c>
      <c r="X498" s="4" t="s">
        <v>101</v>
      </c>
      <c r="Y498" s="4" t="s">
        <v>111</v>
      </c>
      <c r="Z498" s="1">
        <v>45472</v>
      </c>
      <c r="AA498" s="4" t="str" cm="1">
        <f t="array" ref="AA498">_xlfn.IFS(OR(AB498="December", AB498="February", AB498="January"), "Winter", OR(AB498="March", AB498="April", AB498="May"), "Spring", OR(AB498="June", AB498="July", AB498="August"), "Summer", TRUE, "Autumn")</f>
        <v>Summer</v>
      </c>
      <c r="AB498" s="7" t="str">
        <f>TEXT(Z498, "mmmm")</f>
        <v>June</v>
      </c>
      <c r="AC498" s="1" t="str">
        <f>TEXT(Z498, "dddd")</f>
        <v>Saturday</v>
      </c>
      <c r="AD498" s="4" t="s">
        <v>76</v>
      </c>
      <c r="AE498" s="4" t="s">
        <v>62</v>
      </c>
      <c r="AF498" s="4" t="s">
        <v>87</v>
      </c>
      <c r="AG498" s="4" t="s">
        <v>93</v>
      </c>
      <c r="AH498" s="3">
        <v>10</v>
      </c>
    </row>
    <row r="499" spans="1:34">
      <c r="A499" s="4" t="s">
        <v>1097</v>
      </c>
      <c r="B499" s="3">
        <v>50</v>
      </c>
      <c r="C499" s="9" t="str" cm="1">
        <f t="array" ref="C499">_xlfn.IFS(B499&gt;65,"+65",B499&gt;54,"55-65",B499&gt;44,"45-54",B499&gt;35,"36-44",B499&gt;25,"26-35",B499&gt;=18,"18-25")</f>
        <v>45-54</v>
      </c>
      <c r="D499" s="4" t="s">
        <v>78</v>
      </c>
      <c r="E499" s="4" t="s">
        <v>72</v>
      </c>
      <c r="F499" s="4" t="s">
        <v>52</v>
      </c>
      <c r="G499" s="4" t="s">
        <v>53</v>
      </c>
      <c r="H499" s="4" t="s">
        <v>1098</v>
      </c>
      <c r="I499" s="4" t="s">
        <v>70</v>
      </c>
      <c r="J499" s="5">
        <v>98.02</v>
      </c>
      <c r="K499" s="3">
        <v>5</v>
      </c>
      <c r="L499" s="4" t="str">
        <f>IF(AND(J499&gt;350,K499&gt;6), "True","False")</f>
        <v>False</v>
      </c>
      <c r="M499" s="4" t="s">
        <v>71</v>
      </c>
      <c r="N499" s="3">
        <v>3</v>
      </c>
      <c r="O499" s="4" t="str" cm="1">
        <f t="array" ref="O499">_xlfn.IFS(P499&lt;=2,"Poor",P499=3,"Average",P499&gt;=4,"Good")</f>
        <v>Average</v>
      </c>
      <c r="P499" s="3">
        <v>3</v>
      </c>
      <c r="Q499" s="2">
        <v>1</v>
      </c>
      <c r="R499" s="4" t="s">
        <v>59</v>
      </c>
      <c r="S499" s="4" t="s">
        <v>58</v>
      </c>
      <c r="T499" s="3">
        <v>0</v>
      </c>
      <c r="U499" s="4" t="str" cm="1">
        <f t="array" ref="U499">_xlfn.IFS(V499&lt;=4, "Dissatisfied",V499&lt;=7,"Neutral",V499&gt;=8,"Satisfied")</f>
        <v>Dissatisfied</v>
      </c>
      <c r="V499" s="3">
        <v>3</v>
      </c>
      <c r="W499" s="4" t="s">
        <v>72</v>
      </c>
      <c r="X499" s="4" t="s">
        <v>101</v>
      </c>
      <c r="Y499" s="4" t="s">
        <v>75</v>
      </c>
      <c r="Z499" s="1">
        <v>45473</v>
      </c>
      <c r="AA499" s="4" t="str" cm="1">
        <f t="array" ref="AA499">_xlfn.IFS(OR(AB499="December", AB499="February", AB499="January"), "Winter", OR(AB499="March", AB499="April", AB499="May"), "Spring", OR(AB499="June", AB499="July", AB499="August"), "Summer", TRUE, "Autumn")</f>
        <v>Summer</v>
      </c>
      <c r="AB499" s="7" t="str">
        <f>TEXT(Z499, "mmmm")</f>
        <v>June</v>
      </c>
      <c r="AC499" s="1" t="str">
        <f>TEXT(Z499, "dddd")</f>
        <v>Sunday</v>
      </c>
      <c r="AD499" s="4" t="s">
        <v>62</v>
      </c>
      <c r="AE499" s="4" t="s">
        <v>76</v>
      </c>
      <c r="AF499" s="4" t="s">
        <v>87</v>
      </c>
      <c r="AG499" s="4" t="s">
        <v>88</v>
      </c>
      <c r="AH499" s="3">
        <v>10</v>
      </c>
    </row>
    <row r="500" spans="1:34">
      <c r="A500" s="4" t="s">
        <v>1099</v>
      </c>
      <c r="B500" s="3">
        <v>40</v>
      </c>
      <c r="C500" s="9" t="str" cm="1">
        <f t="array" ref="C500">_xlfn.IFS(B500&gt;65,"+65",B500&gt;54,"55-65",B500&gt;44,"45-54",B500&gt;35,"36-44",B500&gt;25,"26-35",B500&gt;=18,"18-25")</f>
        <v>36-44</v>
      </c>
      <c r="D500" s="4" t="s">
        <v>78</v>
      </c>
      <c r="E500" s="4" t="s">
        <v>51</v>
      </c>
      <c r="F500" s="4" t="s">
        <v>67</v>
      </c>
      <c r="G500" s="4" t="s">
        <v>68</v>
      </c>
      <c r="H500" s="4" t="s">
        <v>1100</v>
      </c>
      <c r="I500" s="4" t="s">
        <v>100</v>
      </c>
      <c r="J500" s="5">
        <v>209.68</v>
      </c>
      <c r="K500" s="3">
        <v>2</v>
      </c>
      <c r="L500" s="4" t="str">
        <f>IF(AND(J500&gt;350,K500&gt;6), "True","False")</f>
        <v>False</v>
      </c>
      <c r="M500" s="4" t="s">
        <v>56</v>
      </c>
      <c r="N500" s="3">
        <v>3</v>
      </c>
      <c r="O500" s="4" t="str" cm="1">
        <f t="array" ref="O500">_xlfn.IFS(P500&lt;=2,"Poor",P500=3,"Average",P500&gt;=4,"Good")</f>
        <v>Poor</v>
      </c>
      <c r="P500" s="3">
        <v>1</v>
      </c>
      <c r="Q500" s="2">
        <v>1</v>
      </c>
      <c r="R500" s="4" t="s">
        <v>57</v>
      </c>
      <c r="S500" s="4" t="s">
        <v>58</v>
      </c>
      <c r="T500" s="3">
        <v>0</v>
      </c>
      <c r="U500" s="4" t="str" cm="1">
        <f t="array" ref="U500">_xlfn.IFS(V500&lt;=4, "Dissatisfied",V500&lt;=7,"Neutral",V500&gt;=8,"Satisfied")</f>
        <v>Dissatisfied</v>
      </c>
      <c r="V500" s="3">
        <v>1</v>
      </c>
      <c r="W500" s="4" t="s">
        <v>85</v>
      </c>
      <c r="X500" s="4" t="s">
        <v>60</v>
      </c>
      <c r="Y500" s="4" t="s">
        <v>111</v>
      </c>
      <c r="Z500" s="1">
        <v>45473</v>
      </c>
      <c r="AA500" s="4" t="str" cm="1">
        <f t="array" ref="AA500">_xlfn.IFS(OR(AB500="December", AB500="February", AB500="January"), "Winter", OR(AB500="March", AB500="April", AB500="May"), "Spring", OR(AB500="June", AB500="July", AB500="August"), "Summer", TRUE, "Autumn")</f>
        <v>Summer</v>
      </c>
      <c r="AB500" s="7" t="str">
        <f>TEXT(Z500, "mmmm")</f>
        <v>June</v>
      </c>
      <c r="AC500" s="1" t="str">
        <f>TEXT(Z500, "dddd")</f>
        <v>Sunday</v>
      </c>
      <c r="AD500" s="4" t="s">
        <v>76</v>
      </c>
      <c r="AE500" s="4" t="s">
        <v>62</v>
      </c>
      <c r="AF500" s="4" t="s">
        <v>92</v>
      </c>
      <c r="AG500" s="4" t="s">
        <v>93</v>
      </c>
      <c r="AH500" s="3">
        <v>8</v>
      </c>
    </row>
    <row r="501" spans="1:34">
      <c r="A501" s="4" t="s">
        <v>1101</v>
      </c>
      <c r="B501" s="3">
        <v>27</v>
      </c>
      <c r="C501" s="9" t="str" cm="1">
        <f t="array" ref="C501">_xlfn.IFS(B501&gt;65,"+65",B501&gt;54,"55-65",B501&gt;44,"45-54",B501&gt;35,"36-44",B501&gt;25,"26-35",B501&gt;=18,"18-25")</f>
        <v>26-35</v>
      </c>
      <c r="D501" s="4" t="s">
        <v>66</v>
      </c>
      <c r="E501" s="4" t="s">
        <v>51</v>
      </c>
      <c r="F501" s="4" t="s">
        <v>79</v>
      </c>
      <c r="G501" s="4" t="s">
        <v>68</v>
      </c>
      <c r="H501" s="4" t="s">
        <v>1102</v>
      </c>
      <c r="I501" s="4" t="s">
        <v>97</v>
      </c>
      <c r="J501" s="5">
        <v>91.63</v>
      </c>
      <c r="K501" s="3">
        <v>3</v>
      </c>
      <c r="L501" s="4" t="str">
        <f>IF(AND(J501&gt;350,K501&gt;6), "True","False")</f>
        <v>False</v>
      </c>
      <c r="M501" s="4" t="s">
        <v>71</v>
      </c>
      <c r="N501" s="3">
        <v>5</v>
      </c>
      <c r="O501" s="4" t="str" cm="1">
        <f t="array" ref="O501">_xlfn.IFS(P501&lt;=2,"Poor",P501=3,"Average",P501&gt;=4,"Good")</f>
        <v>Poor</v>
      </c>
      <c r="P501" s="3">
        <v>2</v>
      </c>
      <c r="Q501" s="2">
        <v>2</v>
      </c>
      <c r="R501" s="4" t="s">
        <v>57</v>
      </c>
      <c r="S501" s="4" t="s">
        <v>58</v>
      </c>
      <c r="T501" s="3">
        <v>0</v>
      </c>
      <c r="U501" s="4" t="str" cm="1">
        <f t="array" ref="U501">_xlfn.IFS(V501&lt;=4, "Dissatisfied",V501&lt;=7,"Neutral",V501&gt;=8,"Satisfied")</f>
        <v>Satisfied</v>
      </c>
      <c r="V501" s="3">
        <v>10</v>
      </c>
      <c r="W501" s="4" t="s">
        <v>57</v>
      </c>
      <c r="X501" s="4" t="s">
        <v>74</v>
      </c>
      <c r="Y501" s="4" t="s">
        <v>75</v>
      </c>
      <c r="Z501" s="1">
        <v>45473</v>
      </c>
      <c r="AA501" s="4" t="str" cm="1">
        <f t="array" ref="AA501">_xlfn.IFS(OR(AB501="December", AB501="February", AB501="January"), "Winter", OR(AB501="March", AB501="April", AB501="May"), "Spring", OR(AB501="June", AB501="July", AB501="August"), "Summer", TRUE, "Autumn")</f>
        <v>Summer</v>
      </c>
      <c r="AB501" s="7" t="str">
        <f>TEXT(Z501, "mmmm")</f>
        <v>June</v>
      </c>
      <c r="AC501" s="1" t="str">
        <f>TEXT(Z501, "dddd")</f>
        <v>Sunday</v>
      </c>
      <c r="AD501" s="4" t="s">
        <v>62</v>
      </c>
      <c r="AE501" s="4" t="s">
        <v>62</v>
      </c>
      <c r="AF501" s="4" t="s">
        <v>102</v>
      </c>
      <c r="AG501" s="4" t="s">
        <v>64</v>
      </c>
      <c r="AH501" s="3">
        <v>2</v>
      </c>
    </row>
    <row r="502" spans="1:34">
      <c r="A502" s="4" t="s">
        <v>1103</v>
      </c>
      <c r="B502" s="3">
        <v>26</v>
      </c>
      <c r="C502" s="9" t="str" cm="1">
        <f t="array" ref="C502">_xlfn.IFS(B502&gt;65,"+65",B502&gt;54,"55-65",B502&gt;44,"45-54",B502&gt;35,"36-44",B502&gt;25,"26-35",B502&gt;=18,"18-25")</f>
        <v>26-35</v>
      </c>
      <c r="D502" s="4" t="s">
        <v>66</v>
      </c>
      <c r="E502" s="4" t="s">
        <v>72</v>
      </c>
      <c r="F502" s="4" t="s">
        <v>52</v>
      </c>
      <c r="G502" s="4" t="s">
        <v>68</v>
      </c>
      <c r="H502" s="4" t="s">
        <v>1104</v>
      </c>
      <c r="I502" s="4" t="s">
        <v>151</v>
      </c>
      <c r="J502" s="5">
        <v>326.08</v>
      </c>
      <c r="K502" s="3">
        <v>11</v>
      </c>
      <c r="L502" s="4" t="str">
        <f>IF(AND(J502&gt;350,K502&gt;6), "True","False")</f>
        <v>False</v>
      </c>
      <c r="M502" s="4" t="s">
        <v>71</v>
      </c>
      <c r="N502" s="3">
        <v>4</v>
      </c>
      <c r="O502" s="4" t="str" cm="1">
        <f t="array" ref="O502">_xlfn.IFS(P502&lt;=2,"Poor",P502=3,"Average",P502&gt;=4,"Good")</f>
        <v>Average</v>
      </c>
      <c r="P502" s="3">
        <v>3</v>
      </c>
      <c r="Q502" s="2">
        <v>2</v>
      </c>
      <c r="R502" s="4" t="s">
        <v>85</v>
      </c>
      <c r="S502" s="4" t="s">
        <v>58</v>
      </c>
      <c r="T502" s="3">
        <v>2</v>
      </c>
      <c r="U502" s="4" t="str" cm="1">
        <f t="array" ref="U502">_xlfn.IFS(V502&lt;=4, "Dissatisfied",V502&lt;=7,"Neutral",V502&gt;=8,"Satisfied")</f>
        <v>Neutral</v>
      </c>
      <c r="V502" s="3">
        <v>6</v>
      </c>
      <c r="W502" s="4" t="s">
        <v>85</v>
      </c>
      <c r="X502" s="4" t="s">
        <v>74</v>
      </c>
      <c r="Y502" s="4" t="s">
        <v>86</v>
      </c>
      <c r="Z502" s="1">
        <v>45473</v>
      </c>
      <c r="AA502" s="4" t="str" cm="1">
        <f t="array" ref="AA502">_xlfn.IFS(OR(AB502="December", AB502="February", AB502="January"), "Winter", OR(AB502="March", AB502="April", AB502="May"), "Spring", OR(AB502="June", AB502="July", AB502="August"), "Summer", TRUE, "Autumn")</f>
        <v>Summer</v>
      </c>
      <c r="AB502" s="7" t="str">
        <f>TEXT(Z502, "mmmm")</f>
        <v>June</v>
      </c>
      <c r="AC502" s="1" t="str">
        <f>TEXT(Z502, "dddd")</f>
        <v>Sunday</v>
      </c>
      <c r="AD502" s="4" t="s">
        <v>62</v>
      </c>
      <c r="AE502" s="4" t="s">
        <v>62</v>
      </c>
      <c r="AF502" s="4" t="s">
        <v>92</v>
      </c>
      <c r="AG502" s="4" t="s">
        <v>93</v>
      </c>
      <c r="AH502" s="3">
        <v>8</v>
      </c>
    </row>
    <row r="503" spans="1:34">
      <c r="A503" s="4" t="s">
        <v>1105</v>
      </c>
      <c r="B503" s="3">
        <v>46</v>
      </c>
      <c r="C503" s="9" t="str" cm="1">
        <f t="array" ref="C503">_xlfn.IFS(B503&gt;65,"+65",B503&gt;54,"55-65",B503&gt;44,"45-54",B503&gt;35,"36-44",B503&gt;25,"26-35",B503&gt;=18,"18-25")</f>
        <v>45-54</v>
      </c>
      <c r="D503" s="4" t="s">
        <v>66</v>
      </c>
      <c r="E503" s="4" t="s">
        <v>72</v>
      </c>
      <c r="F503" s="4" t="s">
        <v>67</v>
      </c>
      <c r="G503" s="4" t="s">
        <v>80</v>
      </c>
      <c r="H503" s="4" t="s">
        <v>1106</v>
      </c>
      <c r="I503" s="4" t="s">
        <v>105</v>
      </c>
      <c r="J503" s="5">
        <v>266.89999999999998</v>
      </c>
      <c r="K503" s="3">
        <v>11</v>
      </c>
      <c r="L503" s="4" t="str">
        <f>IF(AND(J503&gt;350,K503&gt;6), "True","False")</f>
        <v>False</v>
      </c>
      <c r="M503" s="4" t="s">
        <v>83</v>
      </c>
      <c r="N503" s="3">
        <v>4</v>
      </c>
      <c r="O503" s="4" t="str" cm="1">
        <f t="array" ref="O503">_xlfn.IFS(P503&lt;=2,"Poor",P503=3,"Average",P503&gt;=4,"Good")</f>
        <v>Poor</v>
      </c>
      <c r="P503" s="3">
        <v>2</v>
      </c>
      <c r="Q503" s="2">
        <v>2</v>
      </c>
      <c r="R503" s="4" t="s">
        <v>59</v>
      </c>
      <c r="S503" s="4" t="s">
        <v>58</v>
      </c>
      <c r="T503" s="3">
        <v>1</v>
      </c>
      <c r="U503" s="4" t="str" cm="1">
        <f t="array" ref="U503">_xlfn.IFS(V503&lt;=4, "Dissatisfied",V503&lt;=7,"Neutral",V503&gt;=8,"Satisfied")</f>
        <v>Satisfied</v>
      </c>
      <c r="V503" s="3">
        <v>8</v>
      </c>
      <c r="W503" s="4" t="s">
        <v>85</v>
      </c>
      <c r="X503" s="4" t="s">
        <v>101</v>
      </c>
      <c r="Y503" s="4" t="s">
        <v>86</v>
      </c>
      <c r="Z503" s="1">
        <v>45474</v>
      </c>
      <c r="AA503" s="4" t="str" cm="1">
        <f t="array" ref="AA503">_xlfn.IFS(OR(AB503="December", AB503="February", AB503="January"), "Winter", OR(AB503="March", AB503="April", AB503="May"), "Spring", OR(AB503="June", AB503="July", AB503="August"), "Summer", TRUE, "Autumn")</f>
        <v>Summer</v>
      </c>
      <c r="AB503" s="7" t="str">
        <f>TEXT(Z503, "mmmm")</f>
        <v>July</v>
      </c>
      <c r="AC503" s="1" t="str">
        <f>TEXT(Z503, "dddd")</f>
        <v>Monday</v>
      </c>
      <c r="AD503" s="4" t="s">
        <v>76</v>
      </c>
      <c r="AE503" s="4" t="s">
        <v>62</v>
      </c>
      <c r="AF503" s="4" t="s">
        <v>102</v>
      </c>
      <c r="AG503" s="4" t="s">
        <v>93</v>
      </c>
      <c r="AH503" s="3">
        <v>13</v>
      </c>
    </row>
    <row r="504" spans="1:34">
      <c r="A504" s="4" t="s">
        <v>1107</v>
      </c>
      <c r="B504" s="3">
        <v>39</v>
      </c>
      <c r="C504" s="9" t="str" cm="1">
        <f t="array" ref="C504">_xlfn.IFS(B504&gt;65,"+65",B504&gt;54,"55-65",B504&gt;44,"45-54",B504&gt;35,"36-44",B504&gt;25,"26-35",B504&gt;=18,"18-25")</f>
        <v>36-44</v>
      </c>
      <c r="D504" s="4" t="s">
        <v>66</v>
      </c>
      <c r="E504" s="4" t="s">
        <v>51</v>
      </c>
      <c r="F504" s="4" t="s">
        <v>79</v>
      </c>
      <c r="G504" s="4" t="s">
        <v>80</v>
      </c>
      <c r="H504" s="4" t="s">
        <v>1108</v>
      </c>
      <c r="I504" s="4" t="s">
        <v>82</v>
      </c>
      <c r="J504" s="5">
        <v>163.22</v>
      </c>
      <c r="K504" s="3">
        <v>8</v>
      </c>
      <c r="L504" s="4" t="str">
        <f>IF(AND(J504&gt;350,K504&gt;6), "True","False")</f>
        <v>False</v>
      </c>
      <c r="M504" s="4" t="s">
        <v>56</v>
      </c>
      <c r="N504" s="3">
        <v>5</v>
      </c>
      <c r="O504" s="4" t="str" cm="1">
        <f t="array" ref="O504">_xlfn.IFS(P504&lt;=2,"Poor",P504=3,"Average",P504&gt;=4,"Good")</f>
        <v>Average</v>
      </c>
      <c r="P504" s="3">
        <v>3</v>
      </c>
      <c r="Q504" s="2">
        <v>0</v>
      </c>
      <c r="R504" s="4" t="s">
        <v>72</v>
      </c>
      <c r="S504" s="4" t="s">
        <v>84</v>
      </c>
      <c r="T504" s="3">
        <v>1</v>
      </c>
      <c r="U504" s="4" t="str" cm="1">
        <f t="array" ref="U504">_xlfn.IFS(V504&lt;=4, "Dissatisfied",V504&lt;=7,"Neutral",V504&gt;=8,"Satisfied")</f>
        <v>Dissatisfied</v>
      </c>
      <c r="V504" s="3">
        <v>3</v>
      </c>
      <c r="W504" s="4" t="s">
        <v>57</v>
      </c>
      <c r="X504" s="4" t="s">
        <v>60</v>
      </c>
      <c r="Y504" s="4" t="s">
        <v>86</v>
      </c>
      <c r="Z504" s="1">
        <v>45474</v>
      </c>
      <c r="AA504" s="4" t="str" cm="1">
        <f t="array" ref="AA504">_xlfn.IFS(OR(AB504="December", AB504="February", AB504="January"), "Winter", OR(AB504="March", AB504="April", AB504="May"), "Spring", OR(AB504="June", AB504="July", AB504="August"), "Summer", TRUE, "Autumn")</f>
        <v>Summer</v>
      </c>
      <c r="AB504" s="7" t="str">
        <f>TEXT(Z504, "mmmm")</f>
        <v>July</v>
      </c>
      <c r="AC504" s="1" t="str">
        <f>TEXT(Z504, "dddd")</f>
        <v>Monday</v>
      </c>
      <c r="AD504" s="4" t="s">
        <v>76</v>
      </c>
      <c r="AE504" s="4" t="s">
        <v>62</v>
      </c>
      <c r="AF504" s="4" t="s">
        <v>102</v>
      </c>
      <c r="AG504" s="4" t="s">
        <v>88</v>
      </c>
      <c r="AH504" s="3">
        <v>8</v>
      </c>
    </row>
    <row r="505" spans="1:34">
      <c r="A505" s="4" t="s">
        <v>1109</v>
      </c>
      <c r="B505" s="3">
        <v>39</v>
      </c>
      <c r="C505" s="9" t="str" cm="1">
        <f t="array" ref="C505">_xlfn.IFS(B505&gt;65,"+65",B505&gt;54,"55-65",B505&gt;44,"45-54",B505&gt;35,"36-44",B505&gt;25,"26-35",B505&gt;=18,"18-25")</f>
        <v>36-44</v>
      </c>
      <c r="D505" s="4" t="s">
        <v>78</v>
      </c>
      <c r="E505" s="4" t="s">
        <v>51</v>
      </c>
      <c r="F505" s="4" t="s">
        <v>79</v>
      </c>
      <c r="G505" s="4" t="s">
        <v>53</v>
      </c>
      <c r="H505" s="4" t="s">
        <v>126</v>
      </c>
      <c r="I505" s="4" t="s">
        <v>275</v>
      </c>
      <c r="J505" s="5">
        <v>247.51</v>
      </c>
      <c r="K505" s="3">
        <v>10</v>
      </c>
      <c r="L505" s="4" t="str">
        <f>IF(AND(J505&gt;350,K505&gt;6), "True","False")</f>
        <v>False</v>
      </c>
      <c r="M505" s="4" t="s">
        <v>83</v>
      </c>
      <c r="N505" s="3">
        <v>2</v>
      </c>
      <c r="O505" s="4" t="str" cm="1">
        <f t="array" ref="O505">_xlfn.IFS(P505&lt;=2,"Poor",P505=3,"Average",P505&gt;=4,"Good")</f>
        <v>Poor</v>
      </c>
      <c r="P505" s="3">
        <v>1</v>
      </c>
      <c r="Q505" s="2">
        <v>2</v>
      </c>
      <c r="R505" s="4" t="s">
        <v>59</v>
      </c>
      <c r="S505" s="4" t="s">
        <v>84</v>
      </c>
      <c r="T505" s="3">
        <v>1</v>
      </c>
      <c r="U505" s="4" t="str" cm="1">
        <f t="array" ref="U505">_xlfn.IFS(V505&lt;=4, "Dissatisfied",V505&lt;=7,"Neutral",V505&gt;=8,"Satisfied")</f>
        <v>Satisfied</v>
      </c>
      <c r="V505" s="3">
        <v>8</v>
      </c>
      <c r="W505" s="4" t="s">
        <v>59</v>
      </c>
      <c r="X505" s="4" t="s">
        <v>74</v>
      </c>
      <c r="Y505" s="4" t="s">
        <v>119</v>
      </c>
      <c r="Z505" s="1">
        <v>45474</v>
      </c>
      <c r="AA505" s="4" t="str" cm="1">
        <f t="array" ref="AA505">_xlfn.IFS(OR(AB505="December", AB505="February", AB505="January"), "Winter", OR(AB505="March", AB505="April", AB505="May"), "Spring", OR(AB505="June", AB505="July", AB505="August"), "Summer", TRUE, "Autumn")</f>
        <v>Summer</v>
      </c>
      <c r="AB505" s="7" t="str">
        <f>TEXT(Z505, "mmmm")</f>
        <v>July</v>
      </c>
      <c r="AC505" s="1" t="str">
        <f>TEXT(Z505, "dddd")</f>
        <v>Monday</v>
      </c>
      <c r="AD505" s="4" t="s">
        <v>62</v>
      </c>
      <c r="AE505" s="4" t="s">
        <v>76</v>
      </c>
      <c r="AF505" s="4" t="s">
        <v>92</v>
      </c>
      <c r="AG505" s="4" t="s">
        <v>64</v>
      </c>
      <c r="AH505" s="3">
        <v>2</v>
      </c>
    </row>
    <row r="506" spans="1:34">
      <c r="A506" s="4" t="s">
        <v>1110</v>
      </c>
      <c r="B506" s="3">
        <v>29</v>
      </c>
      <c r="C506" s="9" t="str" cm="1">
        <f t="array" ref="C506">_xlfn.IFS(B506&gt;65,"+65",B506&gt;54,"55-65",B506&gt;44,"45-54",B506&gt;35,"36-44",B506&gt;25,"26-35",B506&gt;=18,"18-25")</f>
        <v>26-35</v>
      </c>
      <c r="D506" s="4" t="s">
        <v>78</v>
      </c>
      <c r="E506" s="4" t="s">
        <v>51</v>
      </c>
      <c r="F506" s="4" t="s">
        <v>79</v>
      </c>
      <c r="G506" s="4" t="s">
        <v>80</v>
      </c>
      <c r="H506" s="4" t="s">
        <v>1111</v>
      </c>
      <c r="I506" s="4" t="s">
        <v>151</v>
      </c>
      <c r="J506" s="5">
        <v>462.96</v>
      </c>
      <c r="K506" s="3">
        <v>2</v>
      </c>
      <c r="L506" s="4" t="str">
        <f>IF(AND(J506&gt;350,K506&gt;6), "True","False")</f>
        <v>False</v>
      </c>
      <c r="M506" s="4" t="s">
        <v>56</v>
      </c>
      <c r="N506" s="3">
        <v>4</v>
      </c>
      <c r="O506" s="4" t="str" cm="1">
        <f t="array" ref="O506">_xlfn.IFS(P506&lt;=2,"Poor",P506=3,"Average",P506&gt;=4,"Good")</f>
        <v>Poor</v>
      </c>
      <c r="P506" s="3">
        <v>2</v>
      </c>
      <c r="Q506" s="2">
        <v>0</v>
      </c>
      <c r="R506" s="4" t="s">
        <v>72</v>
      </c>
      <c r="S506" s="4" t="s">
        <v>73</v>
      </c>
      <c r="T506" s="3">
        <v>2</v>
      </c>
      <c r="U506" s="4" t="str" cm="1">
        <f t="array" ref="U506">_xlfn.IFS(V506&lt;=4, "Dissatisfied",V506&lt;=7,"Neutral",V506&gt;=8,"Satisfied")</f>
        <v>Neutral</v>
      </c>
      <c r="V506" s="3">
        <v>6</v>
      </c>
      <c r="W506" s="4" t="s">
        <v>72</v>
      </c>
      <c r="X506" s="4" t="s">
        <v>74</v>
      </c>
      <c r="Y506" s="4" t="s">
        <v>61</v>
      </c>
      <c r="Z506" s="1">
        <v>45474</v>
      </c>
      <c r="AA506" s="4" t="str" cm="1">
        <f t="array" ref="AA506">_xlfn.IFS(OR(AB506="December", AB506="February", AB506="January"), "Winter", OR(AB506="March", AB506="April", AB506="May"), "Spring", OR(AB506="June", AB506="July", AB506="August"), "Summer", TRUE, "Autumn")</f>
        <v>Summer</v>
      </c>
      <c r="AB506" s="7" t="str">
        <f>TEXT(Z506, "mmmm")</f>
        <v>July</v>
      </c>
      <c r="AC506" s="1" t="str">
        <f>TEXT(Z506, "dddd")</f>
        <v>Monday</v>
      </c>
      <c r="AD506" s="4" t="s">
        <v>62</v>
      </c>
      <c r="AE506" s="4" t="s">
        <v>76</v>
      </c>
      <c r="AF506" s="4" t="s">
        <v>87</v>
      </c>
      <c r="AG506" s="4" t="s">
        <v>88</v>
      </c>
      <c r="AH506" s="3">
        <v>3</v>
      </c>
    </row>
    <row r="507" spans="1:34">
      <c r="A507" s="4" t="s">
        <v>1112</v>
      </c>
      <c r="B507" s="3">
        <v>28</v>
      </c>
      <c r="C507" s="9" t="str" cm="1">
        <f t="array" ref="C507">_xlfn.IFS(B507&gt;65,"+65",B507&gt;54,"55-65",B507&gt;44,"45-54",B507&gt;35,"36-44",B507&gt;25,"26-35",B507&gt;=18,"18-25")</f>
        <v>26-35</v>
      </c>
      <c r="D507" s="4" t="s">
        <v>66</v>
      </c>
      <c r="E507" s="4" t="s">
        <v>51</v>
      </c>
      <c r="F507" s="4" t="s">
        <v>95</v>
      </c>
      <c r="G507" s="4" t="s">
        <v>68</v>
      </c>
      <c r="H507" s="4" t="s">
        <v>1113</v>
      </c>
      <c r="I507" s="4" t="s">
        <v>110</v>
      </c>
      <c r="J507" s="5">
        <v>255.42</v>
      </c>
      <c r="K507" s="3">
        <v>9</v>
      </c>
      <c r="L507" s="4" t="str">
        <f>IF(AND(J507&gt;350,K507&gt;6), "True","False")</f>
        <v>False</v>
      </c>
      <c r="M507" s="4" t="s">
        <v>83</v>
      </c>
      <c r="N507" s="3">
        <v>5</v>
      </c>
      <c r="O507" s="4" t="str" cm="1">
        <f t="array" ref="O507">_xlfn.IFS(P507&lt;=2,"Poor",P507=3,"Average",P507&gt;=4,"Good")</f>
        <v>Good</v>
      </c>
      <c r="P507" s="3">
        <v>5</v>
      </c>
      <c r="Q507" s="2">
        <v>2</v>
      </c>
      <c r="R507" s="4" t="s">
        <v>57</v>
      </c>
      <c r="S507" s="4" t="s">
        <v>84</v>
      </c>
      <c r="T507" s="3">
        <v>1</v>
      </c>
      <c r="U507" s="4" t="str" cm="1">
        <f t="array" ref="U507">_xlfn.IFS(V507&lt;=4, "Dissatisfied",V507&lt;=7,"Neutral",V507&gt;=8,"Satisfied")</f>
        <v>Satisfied</v>
      </c>
      <c r="V507" s="3">
        <v>9</v>
      </c>
      <c r="W507" s="4" t="s">
        <v>57</v>
      </c>
      <c r="X507" s="4" t="s">
        <v>74</v>
      </c>
      <c r="Y507" s="4" t="s">
        <v>86</v>
      </c>
      <c r="Z507" s="1">
        <v>45474</v>
      </c>
      <c r="AA507" s="4" t="str" cm="1">
        <f t="array" ref="AA507">_xlfn.IFS(OR(AB507="December", AB507="February", AB507="January"), "Winter", OR(AB507="March", AB507="April", AB507="May"), "Spring", OR(AB507="June", AB507="July", AB507="August"), "Summer", TRUE, "Autumn")</f>
        <v>Summer</v>
      </c>
      <c r="AB507" s="7" t="str">
        <f>TEXT(Z507, "mmmm")</f>
        <v>July</v>
      </c>
      <c r="AC507" s="1" t="str">
        <f>TEXT(Z507, "dddd")</f>
        <v>Monday</v>
      </c>
      <c r="AD507" s="4" t="s">
        <v>62</v>
      </c>
      <c r="AE507" s="4" t="s">
        <v>62</v>
      </c>
      <c r="AF507" s="4" t="s">
        <v>92</v>
      </c>
      <c r="AG507" s="4" t="s">
        <v>64</v>
      </c>
      <c r="AH507" s="3">
        <v>11</v>
      </c>
    </row>
    <row r="508" spans="1:34">
      <c r="A508" s="4" t="s">
        <v>1114</v>
      </c>
      <c r="B508" s="3">
        <v>33</v>
      </c>
      <c r="C508" s="9" t="str" cm="1">
        <f t="array" ref="C508">_xlfn.IFS(B508&gt;65,"+65",B508&gt;54,"55-65",B508&gt;44,"45-54",B508&gt;35,"36-44",B508&gt;25,"26-35",B508&gt;=18,"18-25")</f>
        <v>26-35</v>
      </c>
      <c r="D508" s="4" t="s">
        <v>66</v>
      </c>
      <c r="E508" s="4" t="s">
        <v>51</v>
      </c>
      <c r="F508" s="4" t="s">
        <v>95</v>
      </c>
      <c r="G508" s="4" t="s">
        <v>53</v>
      </c>
      <c r="H508" s="4" t="s">
        <v>1064</v>
      </c>
      <c r="I508" s="4" t="s">
        <v>234</v>
      </c>
      <c r="J508" s="5">
        <v>389.7</v>
      </c>
      <c r="K508" s="3">
        <v>12</v>
      </c>
      <c r="L508" s="4" t="str">
        <f>IF(AND(J508&gt;350,K508&gt;6), "True","False")</f>
        <v>True</v>
      </c>
      <c r="M508" s="4" t="s">
        <v>71</v>
      </c>
      <c r="N508" s="3">
        <v>1</v>
      </c>
      <c r="O508" s="4" t="str" cm="1">
        <f t="array" ref="O508">_xlfn.IFS(P508&lt;=2,"Poor",P508=3,"Average",P508&gt;=4,"Good")</f>
        <v>Good</v>
      </c>
      <c r="P508" s="3">
        <v>4</v>
      </c>
      <c r="Q508" s="2">
        <v>0.5</v>
      </c>
      <c r="R508" s="4" t="s">
        <v>59</v>
      </c>
      <c r="S508" s="4" t="s">
        <v>58</v>
      </c>
      <c r="T508" s="3">
        <v>0</v>
      </c>
      <c r="U508" s="4" t="str" cm="1">
        <f t="array" ref="U508">_xlfn.IFS(V508&lt;=4, "Dissatisfied",V508&lt;=7,"Neutral",V508&gt;=8,"Satisfied")</f>
        <v>Dissatisfied</v>
      </c>
      <c r="V508" s="3">
        <v>4</v>
      </c>
      <c r="W508" s="4" t="s">
        <v>72</v>
      </c>
      <c r="X508" s="4" t="s">
        <v>101</v>
      </c>
      <c r="Y508" s="4" t="s">
        <v>86</v>
      </c>
      <c r="Z508" s="1">
        <v>45475</v>
      </c>
      <c r="AA508" s="4" t="str" cm="1">
        <f t="array" ref="AA508">_xlfn.IFS(OR(AB508="December", AB508="February", AB508="January"), "Winter", OR(AB508="March", AB508="April", AB508="May"), "Spring", OR(AB508="June", AB508="July", AB508="August"), "Summer", TRUE, "Autumn")</f>
        <v>Summer</v>
      </c>
      <c r="AB508" s="7" t="str">
        <f>TEXT(Z508, "mmmm")</f>
        <v>July</v>
      </c>
      <c r="AC508" s="1" t="str">
        <f>TEXT(Z508, "dddd")</f>
        <v>Tuesday</v>
      </c>
      <c r="AD508" s="4" t="s">
        <v>62</v>
      </c>
      <c r="AE508" s="4" t="s">
        <v>76</v>
      </c>
      <c r="AF508" s="4" t="s">
        <v>87</v>
      </c>
      <c r="AG508" s="4" t="s">
        <v>93</v>
      </c>
      <c r="AH508" s="3">
        <v>12</v>
      </c>
    </row>
    <row r="509" spans="1:34">
      <c r="A509" s="4" t="s">
        <v>1115</v>
      </c>
      <c r="B509" s="3">
        <v>25</v>
      </c>
      <c r="C509" s="9" t="str" cm="1">
        <f t="array" ref="C509">_xlfn.IFS(B509&gt;65,"+65",B509&gt;54,"55-65",B509&gt;44,"45-54",B509&gt;35,"36-44",B509&gt;25,"26-35",B509&gt;=18,"18-25")</f>
        <v>18-25</v>
      </c>
      <c r="D509" s="4" t="s">
        <v>66</v>
      </c>
      <c r="E509" s="4" t="s">
        <v>51</v>
      </c>
      <c r="F509" s="4" t="s">
        <v>95</v>
      </c>
      <c r="G509" s="4" t="s">
        <v>68</v>
      </c>
      <c r="H509" s="4" t="s">
        <v>1116</v>
      </c>
      <c r="I509" s="4" t="s">
        <v>172</v>
      </c>
      <c r="J509" s="5">
        <v>365.37</v>
      </c>
      <c r="K509" s="3">
        <v>6</v>
      </c>
      <c r="L509" s="4" t="str">
        <f>IF(AND(J509&gt;350,K509&gt;6), "True","False")</f>
        <v>False</v>
      </c>
      <c r="M509" s="4" t="s">
        <v>83</v>
      </c>
      <c r="N509" s="3">
        <v>1</v>
      </c>
      <c r="O509" s="4" t="str" cm="1">
        <f t="array" ref="O509">_xlfn.IFS(P509&lt;=2,"Poor",P509=3,"Average",P509&gt;=4,"Good")</f>
        <v>Poor</v>
      </c>
      <c r="P509" s="3">
        <v>2</v>
      </c>
      <c r="Q509" s="2">
        <v>1</v>
      </c>
      <c r="R509" s="4" t="s">
        <v>59</v>
      </c>
      <c r="S509" s="4" t="s">
        <v>73</v>
      </c>
      <c r="T509" s="3">
        <v>1</v>
      </c>
      <c r="U509" s="4" t="str" cm="1">
        <f t="array" ref="U509">_xlfn.IFS(V509&lt;=4, "Dissatisfied",V509&lt;=7,"Neutral",V509&gt;=8,"Satisfied")</f>
        <v>Neutral</v>
      </c>
      <c r="V509" s="3">
        <v>5</v>
      </c>
      <c r="W509" s="4" t="s">
        <v>59</v>
      </c>
      <c r="X509" s="4" t="s">
        <v>60</v>
      </c>
      <c r="Y509" s="4" t="s">
        <v>86</v>
      </c>
      <c r="Z509" s="1">
        <v>45475</v>
      </c>
      <c r="AA509" s="4" t="str" cm="1">
        <f t="array" ref="AA509">_xlfn.IFS(OR(AB509="December", AB509="February", AB509="January"), "Winter", OR(AB509="March", AB509="April", AB509="May"), "Spring", OR(AB509="June", AB509="July", AB509="August"), "Summer", TRUE, "Autumn")</f>
        <v>Summer</v>
      </c>
      <c r="AB509" s="7" t="str">
        <f>TEXT(Z509, "mmmm")</f>
        <v>July</v>
      </c>
      <c r="AC509" s="1" t="str">
        <f>TEXT(Z509, "dddd")</f>
        <v>Tuesday</v>
      </c>
      <c r="AD509" s="4" t="s">
        <v>62</v>
      </c>
      <c r="AE509" s="4" t="s">
        <v>62</v>
      </c>
      <c r="AF509" s="4" t="s">
        <v>102</v>
      </c>
      <c r="AG509" s="4" t="s">
        <v>93</v>
      </c>
      <c r="AH509" s="3">
        <v>7</v>
      </c>
    </row>
    <row r="510" spans="1:34">
      <c r="A510" s="4" t="s">
        <v>1117</v>
      </c>
      <c r="B510" s="3">
        <v>25</v>
      </c>
      <c r="C510" s="9" t="str" cm="1">
        <f t="array" ref="C510">_xlfn.IFS(B510&gt;65,"+65",B510&gt;54,"55-65",B510&gt;44,"45-54",B510&gt;35,"36-44",B510&gt;25,"26-35",B510&gt;=18,"18-25")</f>
        <v>18-25</v>
      </c>
      <c r="D510" s="4" t="s">
        <v>66</v>
      </c>
      <c r="E510" s="4" t="s">
        <v>72</v>
      </c>
      <c r="F510" s="4" t="s">
        <v>79</v>
      </c>
      <c r="G510" s="4" t="s">
        <v>53</v>
      </c>
      <c r="H510" s="4" t="s">
        <v>1118</v>
      </c>
      <c r="I510" s="4" t="s">
        <v>118</v>
      </c>
      <c r="J510" s="5">
        <v>222.61</v>
      </c>
      <c r="K510" s="3">
        <v>3</v>
      </c>
      <c r="L510" s="4" t="str">
        <f>IF(AND(J510&gt;350,K510&gt;6), "True","False")</f>
        <v>False</v>
      </c>
      <c r="M510" s="4" t="s">
        <v>56</v>
      </c>
      <c r="N510" s="3">
        <v>1</v>
      </c>
      <c r="O510" s="4" t="str" cm="1">
        <f t="array" ref="O510">_xlfn.IFS(P510&lt;=2,"Poor",P510=3,"Average",P510&gt;=4,"Good")</f>
        <v>Poor</v>
      </c>
      <c r="P510" s="3">
        <v>2</v>
      </c>
      <c r="Q510" s="2">
        <v>1</v>
      </c>
      <c r="R510" s="4" t="s">
        <v>85</v>
      </c>
      <c r="S510" s="4" t="s">
        <v>73</v>
      </c>
      <c r="T510" s="3">
        <v>1</v>
      </c>
      <c r="U510" s="4" t="str" cm="1">
        <f t="array" ref="U510">_xlfn.IFS(V510&lt;=4, "Dissatisfied",V510&lt;=7,"Neutral",V510&gt;=8,"Satisfied")</f>
        <v>Dissatisfied</v>
      </c>
      <c r="V510" s="3">
        <v>1</v>
      </c>
      <c r="W510" s="4" t="s">
        <v>57</v>
      </c>
      <c r="X510" s="4" t="s">
        <v>101</v>
      </c>
      <c r="Y510" s="4" t="s">
        <v>86</v>
      </c>
      <c r="Z510" s="1">
        <v>45476</v>
      </c>
      <c r="AA510" s="4" t="str" cm="1">
        <f t="array" ref="AA510">_xlfn.IFS(OR(AB510="December", AB510="February", AB510="January"), "Winter", OR(AB510="March", AB510="April", AB510="May"), "Spring", OR(AB510="June", AB510="July", AB510="August"), "Summer", TRUE, "Autumn")</f>
        <v>Summer</v>
      </c>
      <c r="AB510" s="7" t="str">
        <f>TEXT(Z510, "mmmm")</f>
        <v>July</v>
      </c>
      <c r="AC510" s="1" t="str">
        <f>TEXT(Z510, "dddd")</f>
        <v>Wednesday</v>
      </c>
      <c r="AD510" s="4" t="s">
        <v>76</v>
      </c>
      <c r="AE510" s="4" t="s">
        <v>62</v>
      </c>
      <c r="AF510" s="4" t="s">
        <v>63</v>
      </c>
      <c r="AG510" s="4" t="s">
        <v>64</v>
      </c>
      <c r="AH510" s="3">
        <v>3</v>
      </c>
    </row>
    <row r="511" spans="1:34">
      <c r="A511" s="4" t="s">
        <v>1119</v>
      </c>
      <c r="B511" s="3">
        <v>25</v>
      </c>
      <c r="C511" s="9" t="str" cm="1">
        <f t="array" ref="C511">_xlfn.IFS(B511&gt;65,"+65",B511&gt;54,"55-65",B511&gt;44,"45-54",B511&gt;35,"36-44",B511&gt;25,"26-35",B511&gt;=18,"18-25")</f>
        <v>18-25</v>
      </c>
      <c r="D511" s="4" t="s">
        <v>78</v>
      </c>
      <c r="E511" s="4" t="s">
        <v>51</v>
      </c>
      <c r="F511" s="4" t="s">
        <v>67</v>
      </c>
      <c r="G511" s="4" t="s">
        <v>68</v>
      </c>
      <c r="H511" s="4" t="s">
        <v>1120</v>
      </c>
      <c r="I511" s="4" t="s">
        <v>234</v>
      </c>
      <c r="J511" s="5">
        <v>314.36</v>
      </c>
      <c r="K511" s="3">
        <v>7</v>
      </c>
      <c r="L511" s="4" t="str">
        <f>IF(AND(J511&gt;350,K511&gt;6), "True","False")</f>
        <v>False</v>
      </c>
      <c r="M511" s="4" t="s">
        <v>71</v>
      </c>
      <c r="N511" s="3">
        <v>3</v>
      </c>
      <c r="O511" s="4" t="str" cm="1">
        <f t="array" ref="O511">_xlfn.IFS(P511&lt;=2,"Poor",P511=3,"Average",P511&gt;=4,"Good")</f>
        <v>Good</v>
      </c>
      <c r="P511" s="3">
        <v>5</v>
      </c>
      <c r="Q511" s="2">
        <v>2</v>
      </c>
      <c r="R511" s="4" t="s">
        <v>85</v>
      </c>
      <c r="S511" s="4" t="s">
        <v>73</v>
      </c>
      <c r="T511" s="3">
        <v>1</v>
      </c>
      <c r="U511" s="4" t="str" cm="1">
        <f t="array" ref="U511">_xlfn.IFS(V511&lt;=4, "Dissatisfied",V511&lt;=7,"Neutral",V511&gt;=8,"Satisfied")</f>
        <v>Dissatisfied</v>
      </c>
      <c r="V511" s="3">
        <v>4</v>
      </c>
      <c r="W511" s="4" t="s">
        <v>57</v>
      </c>
      <c r="X511" s="4" t="s">
        <v>101</v>
      </c>
      <c r="Y511" s="4" t="s">
        <v>61</v>
      </c>
      <c r="Z511" s="1">
        <v>45476</v>
      </c>
      <c r="AA511" s="4" t="str" cm="1">
        <f t="array" ref="AA511">_xlfn.IFS(OR(AB511="December", AB511="February", AB511="January"), "Winter", OR(AB511="March", AB511="April", AB511="May"), "Spring", OR(AB511="June", AB511="July", AB511="August"), "Summer", TRUE, "Autumn")</f>
        <v>Summer</v>
      </c>
      <c r="AB511" s="7" t="str">
        <f>TEXT(Z511, "mmmm")</f>
        <v>July</v>
      </c>
      <c r="AC511" s="1" t="str">
        <f>TEXT(Z511, "dddd")</f>
        <v>Wednesday</v>
      </c>
      <c r="AD511" s="4" t="s">
        <v>62</v>
      </c>
      <c r="AE511" s="4" t="s">
        <v>76</v>
      </c>
      <c r="AF511" s="4" t="s">
        <v>92</v>
      </c>
      <c r="AG511" s="4" t="s">
        <v>93</v>
      </c>
      <c r="AH511" s="3">
        <v>1</v>
      </c>
    </row>
    <row r="512" spans="1:34">
      <c r="A512" s="4" t="s">
        <v>1121</v>
      </c>
      <c r="B512" s="3">
        <v>24</v>
      </c>
      <c r="C512" s="9" t="str" cm="1">
        <f t="array" ref="C512">_xlfn.IFS(B512&gt;65,"+65",B512&gt;54,"55-65",B512&gt;44,"45-54",B512&gt;35,"36-44",B512&gt;25,"26-35",B512&gt;=18,"18-25")</f>
        <v>18-25</v>
      </c>
      <c r="D512" s="4" t="s">
        <v>78</v>
      </c>
      <c r="E512" s="4" t="s">
        <v>72</v>
      </c>
      <c r="F512" s="4" t="s">
        <v>52</v>
      </c>
      <c r="G512" s="4" t="s">
        <v>80</v>
      </c>
      <c r="H512" s="4" t="s">
        <v>1122</v>
      </c>
      <c r="I512" s="4" t="s">
        <v>275</v>
      </c>
      <c r="J512" s="5">
        <v>497.75</v>
      </c>
      <c r="K512" s="3">
        <v>11</v>
      </c>
      <c r="L512" s="4" t="str">
        <f>IF(AND(J512&gt;350,K512&gt;6), "True","False")</f>
        <v>True</v>
      </c>
      <c r="M512" s="4" t="s">
        <v>71</v>
      </c>
      <c r="N512" s="3">
        <v>4</v>
      </c>
      <c r="O512" s="4" t="str" cm="1">
        <f t="array" ref="O512">_xlfn.IFS(P512&lt;=2,"Poor",P512=3,"Average",P512&gt;=4,"Good")</f>
        <v>Poor</v>
      </c>
      <c r="P512" s="3">
        <v>1</v>
      </c>
      <c r="Q512" s="2">
        <v>2</v>
      </c>
      <c r="R512" s="4" t="s">
        <v>57</v>
      </c>
      <c r="S512" s="4" t="s">
        <v>73</v>
      </c>
      <c r="T512" s="3">
        <v>2</v>
      </c>
      <c r="U512" s="4" t="str" cm="1">
        <f t="array" ref="U512">_xlfn.IFS(V512&lt;=4, "Dissatisfied",V512&lt;=7,"Neutral",V512&gt;=8,"Satisfied")</f>
        <v>Dissatisfied</v>
      </c>
      <c r="V512" s="3">
        <v>1</v>
      </c>
      <c r="W512" s="4" t="s">
        <v>85</v>
      </c>
      <c r="X512" s="4" t="s">
        <v>60</v>
      </c>
      <c r="Y512" s="4" t="s">
        <v>61</v>
      </c>
      <c r="Z512" s="1">
        <v>45476</v>
      </c>
      <c r="AA512" s="4" t="str" cm="1">
        <f t="array" ref="AA512">_xlfn.IFS(OR(AB512="December", AB512="February", AB512="January"), "Winter", OR(AB512="March", AB512="April", AB512="May"), "Spring", OR(AB512="June", AB512="July", AB512="August"), "Summer", TRUE, "Autumn")</f>
        <v>Summer</v>
      </c>
      <c r="AB512" s="7" t="str">
        <f>TEXT(Z512, "mmmm")</f>
        <v>July</v>
      </c>
      <c r="AC512" s="1" t="str">
        <f>TEXT(Z512, "dddd")</f>
        <v>Wednesday</v>
      </c>
      <c r="AD512" s="4" t="s">
        <v>62</v>
      </c>
      <c r="AE512" s="4" t="s">
        <v>76</v>
      </c>
      <c r="AF512" s="4" t="s">
        <v>102</v>
      </c>
      <c r="AG512" s="4" t="s">
        <v>93</v>
      </c>
      <c r="AH512" s="3">
        <v>13</v>
      </c>
    </row>
    <row r="513" spans="1:34">
      <c r="A513" s="4" t="s">
        <v>1123</v>
      </c>
      <c r="B513" s="3">
        <v>39</v>
      </c>
      <c r="C513" s="9" t="str" cm="1">
        <f t="array" ref="C513">_xlfn.IFS(B513&gt;65,"+65",B513&gt;54,"55-65",B513&gt;44,"45-54",B513&gt;35,"36-44",B513&gt;25,"26-35",B513&gt;=18,"18-25")</f>
        <v>36-44</v>
      </c>
      <c r="D513" s="4" t="s">
        <v>66</v>
      </c>
      <c r="E513" s="4" t="s">
        <v>72</v>
      </c>
      <c r="F513" s="4" t="s">
        <v>95</v>
      </c>
      <c r="G513" s="4" t="s">
        <v>68</v>
      </c>
      <c r="H513" s="4" t="s">
        <v>1124</v>
      </c>
      <c r="I513" s="4" t="s">
        <v>146</v>
      </c>
      <c r="J513" s="5">
        <v>438.26</v>
      </c>
      <c r="K513" s="3">
        <v>10</v>
      </c>
      <c r="L513" s="4" t="str">
        <f>IF(AND(J513&gt;350,K513&gt;6), "True","False")</f>
        <v>True</v>
      </c>
      <c r="M513" s="4" t="s">
        <v>71</v>
      </c>
      <c r="N513" s="3">
        <v>3</v>
      </c>
      <c r="O513" s="4" t="str" cm="1">
        <f t="array" ref="O513">_xlfn.IFS(P513&lt;=2,"Poor",P513=3,"Average",P513&gt;=4,"Good")</f>
        <v>Good</v>
      </c>
      <c r="P513" s="3">
        <v>4</v>
      </c>
      <c r="Q513" s="2">
        <v>1</v>
      </c>
      <c r="R513" s="4" t="s">
        <v>57</v>
      </c>
      <c r="S513" s="4" t="s">
        <v>84</v>
      </c>
      <c r="T513" s="3">
        <v>1</v>
      </c>
      <c r="U513" s="4" t="str" cm="1">
        <f t="array" ref="U513">_xlfn.IFS(V513&lt;=4, "Dissatisfied",V513&lt;=7,"Neutral",V513&gt;=8,"Satisfied")</f>
        <v>Dissatisfied</v>
      </c>
      <c r="V513" s="3">
        <v>3</v>
      </c>
      <c r="W513" s="4" t="s">
        <v>85</v>
      </c>
      <c r="X513" s="4" t="s">
        <v>60</v>
      </c>
      <c r="Y513" s="4" t="s">
        <v>75</v>
      </c>
      <c r="Z513" s="1">
        <v>45477</v>
      </c>
      <c r="AA513" s="4" t="str" cm="1">
        <f t="array" ref="AA513">_xlfn.IFS(OR(AB513="December", AB513="February", AB513="January"), "Winter", OR(AB513="March", AB513="April", AB513="May"), "Spring", OR(AB513="June", AB513="July", AB513="August"), "Summer", TRUE, "Autumn")</f>
        <v>Summer</v>
      </c>
      <c r="AB513" s="7" t="str">
        <f>TEXT(Z513, "mmmm")</f>
        <v>July</v>
      </c>
      <c r="AC513" s="1" t="str">
        <f>TEXT(Z513, "dddd")</f>
        <v>Thursday</v>
      </c>
      <c r="AD513" s="4" t="s">
        <v>62</v>
      </c>
      <c r="AE513" s="4" t="s">
        <v>76</v>
      </c>
      <c r="AF513" s="4" t="s">
        <v>87</v>
      </c>
      <c r="AG513" s="4" t="s">
        <v>93</v>
      </c>
      <c r="AH513" s="3">
        <v>10</v>
      </c>
    </row>
    <row r="514" spans="1:34">
      <c r="A514" s="4" t="s">
        <v>1125</v>
      </c>
      <c r="B514" s="3">
        <v>39</v>
      </c>
      <c r="C514" s="9" t="str" cm="1">
        <f t="array" ref="C514">_xlfn.IFS(B514&gt;65,"+65",B514&gt;54,"55-65",B514&gt;44,"45-54",B514&gt;35,"36-44",B514&gt;25,"26-35",B514&gt;=18,"18-25")</f>
        <v>36-44</v>
      </c>
      <c r="D514" s="4" t="s">
        <v>66</v>
      </c>
      <c r="E514" s="4" t="s">
        <v>51</v>
      </c>
      <c r="F514" s="4" t="s">
        <v>95</v>
      </c>
      <c r="G514" s="4" t="s">
        <v>53</v>
      </c>
      <c r="H514" s="4" t="s">
        <v>1126</v>
      </c>
      <c r="I514" s="4" t="s">
        <v>151</v>
      </c>
      <c r="J514" s="5">
        <v>251.8</v>
      </c>
      <c r="K514" s="3">
        <v>6</v>
      </c>
      <c r="L514" s="4" t="str">
        <f>IF(AND(J514&gt;350,K514&gt;6), "True","False")</f>
        <v>False</v>
      </c>
      <c r="M514" s="4" t="s">
        <v>83</v>
      </c>
      <c r="N514" s="3">
        <v>5</v>
      </c>
      <c r="O514" s="4" t="str" cm="1">
        <f t="array" ref="O514">_xlfn.IFS(P514&lt;=2,"Poor",P514=3,"Average",P514&gt;=4,"Good")</f>
        <v>Poor</v>
      </c>
      <c r="P514" s="3">
        <v>1</v>
      </c>
      <c r="Q514" s="2">
        <v>2</v>
      </c>
      <c r="R514" s="4" t="s">
        <v>72</v>
      </c>
      <c r="S514" s="4" t="s">
        <v>73</v>
      </c>
      <c r="T514" s="3">
        <v>1</v>
      </c>
      <c r="U514" s="4" t="str" cm="1">
        <f t="array" ref="U514">_xlfn.IFS(V514&lt;=4, "Dissatisfied",V514&lt;=7,"Neutral",V514&gt;=8,"Satisfied")</f>
        <v>Satisfied</v>
      </c>
      <c r="V514" s="3">
        <v>8</v>
      </c>
      <c r="W514" s="4" t="s">
        <v>59</v>
      </c>
      <c r="X514" s="4" t="s">
        <v>60</v>
      </c>
      <c r="Y514" s="4" t="s">
        <v>75</v>
      </c>
      <c r="Z514" s="1">
        <v>45478</v>
      </c>
      <c r="AA514" s="4" t="str" cm="1">
        <f t="array" ref="AA514">_xlfn.IFS(OR(AB514="December", AB514="February", AB514="January"), "Winter", OR(AB514="March", AB514="April", AB514="May"), "Spring", OR(AB514="June", AB514="July", AB514="August"), "Summer", TRUE, "Autumn")</f>
        <v>Summer</v>
      </c>
      <c r="AB514" s="7" t="str">
        <f>TEXT(Z514, "mmmm")</f>
        <v>July</v>
      </c>
      <c r="AC514" s="1" t="str">
        <f>TEXT(Z514, "dddd")</f>
        <v>Friday</v>
      </c>
      <c r="AD514" s="4" t="s">
        <v>62</v>
      </c>
      <c r="AE514" s="4" t="s">
        <v>62</v>
      </c>
      <c r="AF514" s="4" t="s">
        <v>92</v>
      </c>
      <c r="AG514" s="4" t="s">
        <v>88</v>
      </c>
      <c r="AH514" s="3">
        <v>11</v>
      </c>
    </row>
    <row r="515" spans="1:34">
      <c r="A515" s="4" t="s">
        <v>1127</v>
      </c>
      <c r="B515" s="3">
        <v>39</v>
      </c>
      <c r="C515" s="9" t="str" cm="1">
        <f t="array" ref="C515">_xlfn.IFS(B515&gt;65,"+65",B515&gt;54,"55-65",B515&gt;44,"45-54",B515&gt;35,"36-44",B515&gt;25,"26-35",B515&gt;=18,"18-25")</f>
        <v>36-44</v>
      </c>
      <c r="D515" s="4" t="s">
        <v>66</v>
      </c>
      <c r="E515" s="4" t="s">
        <v>51</v>
      </c>
      <c r="F515" s="4" t="s">
        <v>79</v>
      </c>
      <c r="G515" s="4" t="s">
        <v>53</v>
      </c>
      <c r="H515" s="4" t="s">
        <v>1128</v>
      </c>
      <c r="I515" s="4" t="s">
        <v>122</v>
      </c>
      <c r="J515" s="5">
        <v>293.43</v>
      </c>
      <c r="K515" s="3">
        <v>9</v>
      </c>
      <c r="L515" s="4" t="str">
        <f>IF(AND(J515&gt;350,K515&gt;6), "True","False")</f>
        <v>False</v>
      </c>
      <c r="M515" s="4" t="s">
        <v>71</v>
      </c>
      <c r="N515" s="3">
        <v>4</v>
      </c>
      <c r="O515" s="4" t="str" cm="1">
        <f t="array" ref="O515">_xlfn.IFS(P515&lt;=2,"Poor",P515=3,"Average",P515&gt;=4,"Good")</f>
        <v>Good</v>
      </c>
      <c r="P515" s="3">
        <v>4</v>
      </c>
      <c r="Q515" s="2">
        <v>1</v>
      </c>
      <c r="R515" s="4" t="s">
        <v>85</v>
      </c>
      <c r="S515" s="4" t="s">
        <v>73</v>
      </c>
      <c r="T515" s="3">
        <v>0</v>
      </c>
      <c r="U515" s="4" t="str" cm="1">
        <f t="array" ref="U515">_xlfn.IFS(V515&lt;=4, "Dissatisfied",V515&lt;=7,"Neutral",V515&gt;=8,"Satisfied")</f>
        <v>Neutral</v>
      </c>
      <c r="V515" s="3">
        <v>5</v>
      </c>
      <c r="W515" s="4" t="s">
        <v>57</v>
      </c>
      <c r="X515" s="4" t="s">
        <v>101</v>
      </c>
      <c r="Y515" s="4" t="s">
        <v>61</v>
      </c>
      <c r="Z515" s="1">
        <v>45478</v>
      </c>
      <c r="AA515" s="4" t="str" cm="1">
        <f t="array" ref="AA515">_xlfn.IFS(OR(AB515="December", AB515="February", AB515="January"), "Winter", OR(AB515="March", AB515="April", AB515="May"), "Spring", OR(AB515="June", AB515="July", AB515="August"), "Summer", TRUE, "Autumn")</f>
        <v>Summer</v>
      </c>
      <c r="AB515" s="7" t="str">
        <f>TEXT(Z515, "mmmm")</f>
        <v>July</v>
      </c>
      <c r="AC515" s="1" t="str">
        <f>TEXT(Z515, "dddd")</f>
        <v>Friday</v>
      </c>
      <c r="AD515" s="4" t="s">
        <v>76</v>
      </c>
      <c r="AE515" s="4" t="s">
        <v>62</v>
      </c>
      <c r="AF515" s="4" t="s">
        <v>63</v>
      </c>
      <c r="AG515" s="4" t="s">
        <v>64</v>
      </c>
      <c r="AH515" s="3">
        <v>7</v>
      </c>
    </row>
    <row r="516" spans="1:34">
      <c r="A516" s="4" t="s">
        <v>1129</v>
      </c>
      <c r="B516" s="3">
        <v>34</v>
      </c>
      <c r="C516" s="9" t="str" cm="1">
        <f t="array" ref="C516">_xlfn.IFS(B516&gt;65,"+65",B516&gt;54,"55-65",B516&gt;44,"45-54",B516&gt;35,"36-44",B516&gt;25,"26-35",B516&gt;=18,"18-25")</f>
        <v>26-35</v>
      </c>
      <c r="D516" s="4" t="s">
        <v>66</v>
      </c>
      <c r="E516" s="4" t="s">
        <v>72</v>
      </c>
      <c r="F516" s="4" t="s">
        <v>79</v>
      </c>
      <c r="G516" s="4" t="s">
        <v>80</v>
      </c>
      <c r="H516" s="4" t="s">
        <v>1130</v>
      </c>
      <c r="I516" s="4" t="s">
        <v>156</v>
      </c>
      <c r="J516" s="5">
        <v>210.21</v>
      </c>
      <c r="K516" s="3">
        <v>4</v>
      </c>
      <c r="L516" s="4" t="str">
        <f>IF(AND(J516&gt;350,K516&gt;6), "True","False")</f>
        <v>False</v>
      </c>
      <c r="M516" s="4" t="s">
        <v>83</v>
      </c>
      <c r="N516" s="3">
        <v>4</v>
      </c>
      <c r="O516" s="4" t="str" cm="1">
        <f t="array" ref="O516">_xlfn.IFS(P516&lt;=2,"Poor",P516=3,"Average",P516&gt;=4,"Good")</f>
        <v>Poor</v>
      </c>
      <c r="P516" s="3">
        <v>1</v>
      </c>
      <c r="Q516" s="2">
        <v>2</v>
      </c>
      <c r="R516" s="4" t="s">
        <v>72</v>
      </c>
      <c r="S516" s="4" t="s">
        <v>73</v>
      </c>
      <c r="T516" s="3">
        <v>0</v>
      </c>
      <c r="U516" s="4" t="str" cm="1">
        <f t="array" ref="U516">_xlfn.IFS(V516&lt;=4, "Dissatisfied",V516&lt;=7,"Neutral",V516&gt;=8,"Satisfied")</f>
        <v>Satisfied</v>
      </c>
      <c r="V516" s="3">
        <v>10</v>
      </c>
      <c r="W516" s="4" t="s">
        <v>72</v>
      </c>
      <c r="X516" s="4" t="s">
        <v>101</v>
      </c>
      <c r="Y516" s="4" t="s">
        <v>86</v>
      </c>
      <c r="Z516" s="1">
        <v>45478</v>
      </c>
      <c r="AA516" s="4" t="str" cm="1">
        <f t="array" ref="AA516">_xlfn.IFS(OR(AB516="December", AB516="February", AB516="January"), "Winter", OR(AB516="March", AB516="April", AB516="May"), "Spring", OR(AB516="June", AB516="July", AB516="August"), "Summer", TRUE, "Autumn")</f>
        <v>Summer</v>
      </c>
      <c r="AB516" s="7" t="str">
        <f>TEXT(Z516, "mmmm")</f>
        <v>July</v>
      </c>
      <c r="AC516" s="1" t="str">
        <f>TEXT(Z516, "dddd")</f>
        <v>Friday</v>
      </c>
      <c r="AD516" s="4" t="s">
        <v>76</v>
      </c>
      <c r="AE516" s="4" t="s">
        <v>62</v>
      </c>
      <c r="AF516" s="4" t="s">
        <v>63</v>
      </c>
      <c r="AG516" s="4" t="s">
        <v>88</v>
      </c>
      <c r="AH516" s="3">
        <v>14</v>
      </c>
    </row>
    <row r="517" spans="1:34">
      <c r="A517" s="4" t="s">
        <v>1131</v>
      </c>
      <c r="B517" s="3">
        <v>27</v>
      </c>
      <c r="C517" s="9" t="str" cm="1">
        <f t="array" ref="C517">_xlfn.IFS(B517&gt;65,"+65",B517&gt;54,"55-65",B517&gt;44,"45-54",B517&gt;35,"36-44",B517&gt;25,"26-35",B517&gt;=18,"18-25")</f>
        <v>26-35</v>
      </c>
      <c r="D517" s="4" t="s">
        <v>66</v>
      </c>
      <c r="E517" s="4" t="s">
        <v>51</v>
      </c>
      <c r="F517" s="4" t="s">
        <v>79</v>
      </c>
      <c r="G517" s="4" t="s">
        <v>80</v>
      </c>
      <c r="H517" s="4" t="s">
        <v>1132</v>
      </c>
      <c r="I517" s="4" t="s">
        <v>91</v>
      </c>
      <c r="J517" s="5">
        <v>299.75</v>
      </c>
      <c r="K517" s="3">
        <v>12</v>
      </c>
      <c r="L517" s="4" t="str">
        <f>IF(AND(J517&gt;350,K517&gt;6), "True","False")</f>
        <v>False</v>
      </c>
      <c r="M517" s="4" t="s">
        <v>83</v>
      </c>
      <c r="N517" s="3">
        <v>2</v>
      </c>
      <c r="O517" s="4" t="str" cm="1">
        <f t="array" ref="O517">_xlfn.IFS(P517&lt;=2,"Poor",P517=3,"Average",P517&gt;=4,"Good")</f>
        <v>Good</v>
      </c>
      <c r="P517" s="3">
        <v>5</v>
      </c>
      <c r="Q517" s="2">
        <v>0.3</v>
      </c>
      <c r="R517" s="4" t="s">
        <v>59</v>
      </c>
      <c r="S517" s="4" t="s">
        <v>73</v>
      </c>
      <c r="T517" s="3">
        <v>0</v>
      </c>
      <c r="U517" s="4" t="str" cm="1">
        <f t="array" ref="U517">_xlfn.IFS(V517&lt;=4, "Dissatisfied",V517&lt;=7,"Neutral",V517&gt;=8,"Satisfied")</f>
        <v>Dissatisfied</v>
      </c>
      <c r="V517" s="3">
        <v>4</v>
      </c>
      <c r="W517" s="4" t="s">
        <v>59</v>
      </c>
      <c r="X517" s="4" t="s">
        <v>101</v>
      </c>
      <c r="Y517" s="4" t="s">
        <v>119</v>
      </c>
      <c r="Z517" s="1">
        <v>45478</v>
      </c>
      <c r="AA517" s="4" t="str" cm="1">
        <f t="array" ref="AA517">_xlfn.IFS(OR(AB517="December", AB517="February", AB517="January"), "Winter", OR(AB517="March", AB517="April", AB517="May"), "Spring", OR(AB517="June", AB517="July", AB517="August"), "Summer", TRUE, "Autumn")</f>
        <v>Summer</v>
      </c>
      <c r="AB517" s="7" t="str">
        <f>TEXT(Z517, "mmmm")</f>
        <v>July</v>
      </c>
      <c r="AC517" s="1" t="str">
        <f>TEXT(Z517, "dddd")</f>
        <v>Friday</v>
      </c>
      <c r="AD517" s="4" t="s">
        <v>76</v>
      </c>
      <c r="AE517" s="4" t="s">
        <v>62</v>
      </c>
      <c r="AF517" s="4" t="s">
        <v>63</v>
      </c>
      <c r="AG517" s="4" t="s">
        <v>88</v>
      </c>
      <c r="AH517" s="3">
        <v>7</v>
      </c>
    </row>
    <row r="518" spans="1:34">
      <c r="A518" s="4" t="s">
        <v>1133</v>
      </c>
      <c r="B518" s="3">
        <v>47</v>
      </c>
      <c r="C518" s="9" t="str" cm="1">
        <f t="array" ref="C518">_xlfn.IFS(B518&gt;65,"+65",B518&gt;54,"55-65",B518&gt;44,"45-54",B518&gt;35,"36-44",B518&gt;25,"26-35",B518&gt;=18,"18-25")</f>
        <v>45-54</v>
      </c>
      <c r="D518" s="4" t="s">
        <v>66</v>
      </c>
      <c r="E518" s="4" t="s">
        <v>51</v>
      </c>
      <c r="F518" s="4" t="s">
        <v>52</v>
      </c>
      <c r="G518" s="4" t="s">
        <v>68</v>
      </c>
      <c r="H518" s="4" t="s">
        <v>1134</v>
      </c>
      <c r="I518" s="4" t="s">
        <v>169</v>
      </c>
      <c r="J518" s="5">
        <v>280.05</v>
      </c>
      <c r="K518" s="3">
        <v>10</v>
      </c>
      <c r="L518" s="4" t="str">
        <f>IF(AND(J518&gt;350,K518&gt;6), "True","False")</f>
        <v>False</v>
      </c>
      <c r="M518" s="4" t="s">
        <v>71</v>
      </c>
      <c r="N518" s="3">
        <v>4</v>
      </c>
      <c r="O518" s="4" t="str" cm="1">
        <f t="array" ref="O518">_xlfn.IFS(P518&lt;=2,"Poor",P518=3,"Average",P518&gt;=4,"Good")</f>
        <v>Poor</v>
      </c>
      <c r="P518" s="3">
        <v>1</v>
      </c>
      <c r="Q518" s="2">
        <v>2</v>
      </c>
      <c r="R518" s="4" t="s">
        <v>85</v>
      </c>
      <c r="S518" s="4" t="s">
        <v>73</v>
      </c>
      <c r="T518" s="3">
        <v>1</v>
      </c>
      <c r="U518" s="4" t="str" cm="1">
        <f t="array" ref="U518">_xlfn.IFS(V518&lt;=4, "Dissatisfied",V518&lt;=7,"Neutral",V518&gt;=8,"Satisfied")</f>
        <v>Dissatisfied</v>
      </c>
      <c r="V518" s="3">
        <v>2</v>
      </c>
      <c r="W518" s="4" t="s">
        <v>72</v>
      </c>
      <c r="X518" s="4" t="s">
        <v>60</v>
      </c>
      <c r="Y518" s="4" t="s">
        <v>119</v>
      </c>
      <c r="Z518" s="1">
        <v>45479</v>
      </c>
      <c r="AA518" s="4" t="str" cm="1">
        <f t="array" ref="AA518">_xlfn.IFS(OR(AB518="December", AB518="February", AB518="January"), "Winter", OR(AB518="March", AB518="April", AB518="May"), "Spring", OR(AB518="June", AB518="July", AB518="August"), "Summer", TRUE, "Autumn")</f>
        <v>Summer</v>
      </c>
      <c r="AB518" s="7" t="str">
        <f>TEXT(Z518, "mmmm")</f>
        <v>July</v>
      </c>
      <c r="AC518" s="1" t="str">
        <f>TEXT(Z518, "dddd")</f>
        <v>Saturday</v>
      </c>
      <c r="AD518" s="4" t="s">
        <v>62</v>
      </c>
      <c r="AE518" s="4" t="s">
        <v>76</v>
      </c>
      <c r="AF518" s="4" t="s">
        <v>102</v>
      </c>
      <c r="AG518" s="4" t="s">
        <v>88</v>
      </c>
      <c r="AH518" s="3">
        <v>11</v>
      </c>
    </row>
    <row r="519" spans="1:34">
      <c r="A519" s="4" t="s">
        <v>1135</v>
      </c>
      <c r="B519" s="3">
        <v>45</v>
      </c>
      <c r="C519" s="9" t="str" cm="1">
        <f t="array" ref="C519">_xlfn.IFS(B519&gt;65,"+65",B519&gt;54,"55-65",B519&gt;44,"45-54",B519&gt;35,"36-44",B519&gt;25,"26-35",B519&gt;=18,"18-25")</f>
        <v>45-54</v>
      </c>
      <c r="D519" s="4" t="s">
        <v>78</v>
      </c>
      <c r="E519" s="4" t="s">
        <v>51</v>
      </c>
      <c r="F519" s="4" t="s">
        <v>79</v>
      </c>
      <c r="G519" s="4" t="s">
        <v>80</v>
      </c>
      <c r="H519" s="4" t="s">
        <v>1136</v>
      </c>
      <c r="I519" s="4" t="s">
        <v>100</v>
      </c>
      <c r="J519" s="5">
        <v>382.24</v>
      </c>
      <c r="K519" s="3">
        <v>12</v>
      </c>
      <c r="L519" s="4" t="str">
        <f>IF(AND(J519&gt;350,K519&gt;6), "True","False")</f>
        <v>True</v>
      </c>
      <c r="M519" s="4" t="s">
        <v>71</v>
      </c>
      <c r="N519" s="3">
        <v>1</v>
      </c>
      <c r="O519" s="4" t="str" cm="1">
        <f t="array" ref="O519">_xlfn.IFS(P519&lt;=2,"Poor",P519=3,"Average",P519&gt;=4,"Good")</f>
        <v>Good</v>
      </c>
      <c r="P519" s="3">
        <v>5</v>
      </c>
      <c r="Q519" s="2">
        <v>1</v>
      </c>
      <c r="R519" s="4" t="s">
        <v>72</v>
      </c>
      <c r="S519" s="4" t="s">
        <v>73</v>
      </c>
      <c r="T519" s="3">
        <v>1</v>
      </c>
      <c r="U519" s="4" t="str" cm="1">
        <f t="array" ref="U519">_xlfn.IFS(V519&lt;=4, "Dissatisfied",V519&lt;=7,"Neutral",V519&gt;=8,"Satisfied")</f>
        <v>Dissatisfied</v>
      </c>
      <c r="V519" s="3">
        <v>4</v>
      </c>
      <c r="W519" s="4" t="s">
        <v>72</v>
      </c>
      <c r="X519" s="4" t="s">
        <v>74</v>
      </c>
      <c r="Y519" s="4" t="s">
        <v>86</v>
      </c>
      <c r="Z519" s="1">
        <v>45479</v>
      </c>
      <c r="AA519" s="4" t="str" cm="1">
        <f t="array" ref="AA519">_xlfn.IFS(OR(AB519="December", AB519="February", AB519="January"), "Winter", OR(AB519="March", AB519="April", AB519="May"), "Spring", OR(AB519="June", AB519="July", AB519="August"), "Summer", TRUE, "Autumn")</f>
        <v>Summer</v>
      </c>
      <c r="AB519" s="7" t="str">
        <f>TEXT(Z519, "mmmm")</f>
        <v>July</v>
      </c>
      <c r="AC519" s="1" t="str">
        <f>TEXT(Z519, "dddd")</f>
        <v>Saturday</v>
      </c>
      <c r="AD519" s="4" t="s">
        <v>62</v>
      </c>
      <c r="AE519" s="4" t="s">
        <v>62</v>
      </c>
      <c r="AF519" s="4" t="s">
        <v>87</v>
      </c>
      <c r="AG519" s="4" t="s">
        <v>64</v>
      </c>
      <c r="AH519" s="3">
        <v>3</v>
      </c>
    </row>
    <row r="520" spans="1:34">
      <c r="A520" s="4" t="s">
        <v>1137</v>
      </c>
      <c r="B520" s="3">
        <v>38</v>
      </c>
      <c r="C520" s="9" t="str" cm="1">
        <f t="array" ref="C520">_xlfn.IFS(B520&gt;65,"+65",B520&gt;54,"55-65",B520&gt;44,"45-54",B520&gt;35,"36-44",B520&gt;25,"26-35",B520&gt;=18,"18-25")</f>
        <v>36-44</v>
      </c>
      <c r="D520" s="4" t="s">
        <v>66</v>
      </c>
      <c r="E520" s="4" t="s">
        <v>72</v>
      </c>
      <c r="F520" s="4" t="s">
        <v>52</v>
      </c>
      <c r="G520" s="4" t="s">
        <v>68</v>
      </c>
      <c r="H520" s="4" t="s">
        <v>1138</v>
      </c>
      <c r="I520" s="4" t="s">
        <v>156</v>
      </c>
      <c r="J520" s="5">
        <v>476.48</v>
      </c>
      <c r="K520" s="3">
        <v>8</v>
      </c>
      <c r="L520" s="4" t="str">
        <f>IF(AND(J520&gt;350,K520&gt;6), "True","False")</f>
        <v>True</v>
      </c>
      <c r="M520" s="4" t="s">
        <v>56</v>
      </c>
      <c r="N520" s="3">
        <v>5</v>
      </c>
      <c r="O520" s="4" t="str" cm="1">
        <f t="array" ref="O520">_xlfn.IFS(P520&lt;=2,"Poor",P520=3,"Average",P520&gt;=4,"Good")</f>
        <v>Poor</v>
      </c>
      <c r="P520" s="3">
        <v>2</v>
      </c>
      <c r="Q520" s="2">
        <v>1</v>
      </c>
      <c r="R520" s="4" t="s">
        <v>57</v>
      </c>
      <c r="S520" s="4" t="s">
        <v>84</v>
      </c>
      <c r="T520" s="3">
        <v>2</v>
      </c>
      <c r="U520" s="4" t="str" cm="1">
        <f t="array" ref="U520">_xlfn.IFS(V520&lt;=4, "Dissatisfied",V520&lt;=7,"Neutral",V520&gt;=8,"Satisfied")</f>
        <v>Satisfied</v>
      </c>
      <c r="V520" s="3">
        <v>10</v>
      </c>
      <c r="W520" s="4" t="s">
        <v>72</v>
      </c>
      <c r="X520" s="4" t="s">
        <v>101</v>
      </c>
      <c r="Y520" s="4" t="s">
        <v>86</v>
      </c>
      <c r="Z520" s="1">
        <v>45479</v>
      </c>
      <c r="AA520" s="4" t="str" cm="1">
        <f t="array" ref="AA520">_xlfn.IFS(OR(AB520="December", AB520="February", AB520="January"), "Winter", OR(AB520="March", AB520="April", AB520="May"), "Spring", OR(AB520="June", AB520="July", AB520="August"), "Summer", TRUE, "Autumn")</f>
        <v>Summer</v>
      </c>
      <c r="AB520" s="7" t="str">
        <f>TEXT(Z520, "mmmm")</f>
        <v>July</v>
      </c>
      <c r="AC520" s="1" t="str">
        <f>TEXT(Z520, "dddd")</f>
        <v>Saturday</v>
      </c>
      <c r="AD520" s="4" t="s">
        <v>76</v>
      </c>
      <c r="AE520" s="4" t="s">
        <v>62</v>
      </c>
      <c r="AF520" s="4" t="s">
        <v>92</v>
      </c>
      <c r="AG520" s="4" t="s">
        <v>93</v>
      </c>
      <c r="AH520" s="3">
        <v>3</v>
      </c>
    </row>
    <row r="521" spans="1:34">
      <c r="A521" s="4" t="s">
        <v>1139</v>
      </c>
      <c r="B521" s="3">
        <v>45</v>
      </c>
      <c r="C521" s="9" t="str" cm="1">
        <f t="array" ref="C521">_xlfn.IFS(B521&gt;65,"+65",B521&gt;54,"55-65",B521&gt;44,"45-54",B521&gt;35,"36-44",B521&gt;25,"26-35",B521&gt;=18,"18-25")</f>
        <v>45-54</v>
      </c>
      <c r="D521" s="4" t="s">
        <v>188</v>
      </c>
      <c r="E521" s="4" t="s">
        <v>51</v>
      </c>
      <c r="F521" s="4" t="s">
        <v>95</v>
      </c>
      <c r="G521" s="4" t="s">
        <v>53</v>
      </c>
      <c r="H521" s="4" t="s">
        <v>1140</v>
      </c>
      <c r="I521" s="4" t="s">
        <v>100</v>
      </c>
      <c r="J521" s="5">
        <v>133.04</v>
      </c>
      <c r="K521" s="3">
        <v>12</v>
      </c>
      <c r="L521" s="4" t="str">
        <f>IF(AND(J521&gt;350,K521&gt;6), "True","False")</f>
        <v>False</v>
      </c>
      <c r="M521" s="4" t="s">
        <v>56</v>
      </c>
      <c r="N521" s="3">
        <v>1</v>
      </c>
      <c r="O521" s="4" t="str" cm="1">
        <f t="array" ref="O521">_xlfn.IFS(P521&lt;=2,"Poor",P521=3,"Average",P521&gt;=4,"Good")</f>
        <v>Average</v>
      </c>
      <c r="P521" s="3">
        <v>3</v>
      </c>
      <c r="Q521" s="2">
        <v>2</v>
      </c>
      <c r="R521" s="4" t="s">
        <v>72</v>
      </c>
      <c r="S521" s="4" t="s">
        <v>58</v>
      </c>
      <c r="T521" s="3">
        <v>2</v>
      </c>
      <c r="U521" s="4" t="str" cm="1">
        <f t="array" ref="U521">_xlfn.IFS(V521&lt;=4, "Dissatisfied",V521&lt;=7,"Neutral",V521&gt;=8,"Satisfied")</f>
        <v>Neutral</v>
      </c>
      <c r="V521" s="3">
        <v>6</v>
      </c>
      <c r="W521" s="4" t="s">
        <v>57</v>
      </c>
      <c r="X521" s="4" t="s">
        <v>101</v>
      </c>
      <c r="Y521" s="4" t="s">
        <v>61</v>
      </c>
      <c r="Z521" s="1">
        <v>45480</v>
      </c>
      <c r="AA521" s="4" t="str" cm="1">
        <f t="array" ref="AA521">_xlfn.IFS(OR(AB521="December", AB521="February", AB521="January"), "Winter", OR(AB521="March", AB521="April", AB521="May"), "Spring", OR(AB521="June", AB521="July", AB521="August"), "Summer", TRUE, "Autumn")</f>
        <v>Summer</v>
      </c>
      <c r="AB521" s="7" t="str">
        <f>TEXT(Z521, "mmmm")</f>
        <v>July</v>
      </c>
      <c r="AC521" s="1" t="str">
        <f>TEXT(Z521, "dddd")</f>
        <v>Sunday</v>
      </c>
      <c r="AD521" s="4" t="s">
        <v>62</v>
      </c>
      <c r="AE521" s="4" t="s">
        <v>62</v>
      </c>
      <c r="AF521" s="4" t="s">
        <v>92</v>
      </c>
      <c r="AG521" s="4" t="s">
        <v>64</v>
      </c>
      <c r="AH521" s="3">
        <v>11</v>
      </c>
    </row>
    <row r="522" spans="1:34">
      <c r="A522" s="4" t="s">
        <v>1141</v>
      </c>
      <c r="B522" s="3">
        <v>45</v>
      </c>
      <c r="C522" s="9" t="str" cm="1">
        <f t="array" ref="C522">_xlfn.IFS(B522&gt;65,"+65",B522&gt;54,"55-65",B522&gt;44,"45-54",B522&gt;35,"36-44",B522&gt;25,"26-35",B522&gt;=18,"18-25")</f>
        <v>45-54</v>
      </c>
      <c r="D522" s="4" t="s">
        <v>66</v>
      </c>
      <c r="E522" s="4" t="s">
        <v>51</v>
      </c>
      <c r="F522" s="4" t="s">
        <v>67</v>
      </c>
      <c r="G522" s="4" t="s">
        <v>80</v>
      </c>
      <c r="H522" s="4" t="s">
        <v>1142</v>
      </c>
      <c r="I522" s="4" t="s">
        <v>97</v>
      </c>
      <c r="J522" s="5">
        <v>146.07</v>
      </c>
      <c r="K522" s="3">
        <v>7</v>
      </c>
      <c r="L522" s="4" t="str">
        <f>IF(AND(J522&gt;350,K522&gt;6), "True","False")</f>
        <v>False</v>
      </c>
      <c r="M522" s="4" t="s">
        <v>71</v>
      </c>
      <c r="N522" s="3">
        <v>4</v>
      </c>
      <c r="O522" s="4" t="str" cm="1">
        <f t="array" ref="O522">_xlfn.IFS(P522&lt;=2,"Poor",P522=3,"Average",P522&gt;=4,"Good")</f>
        <v>Poor</v>
      </c>
      <c r="P522" s="3">
        <v>2</v>
      </c>
      <c r="Q522" s="2">
        <v>1</v>
      </c>
      <c r="R522" s="4" t="s">
        <v>59</v>
      </c>
      <c r="S522" s="4" t="s">
        <v>73</v>
      </c>
      <c r="T522" s="3">
        <v>1</v>
      </c>
      <c r="U522" s="4" t="str" cm="1">
        <f t="array" ref="U522">_xlfn.IFS(V522&lt;=4, "Dissatisfied",V522&lt;=7,"Neutral",V522&gt;=8,"Satisfied")</f>
        <v>Neutral</v>
      </c>
      <c r="V522" s="3">
        <v>6</v>
      </c>
      <c r="W522" s="4" t="s">
        <v>57</v>
      </c>
      <c r="X522" s="4" t="s">
        <v>74</v>
      </c>
      <c r="Y522" s="4" t="s">
        <v>119</v>
      </c>
      <c r="Z522" s="1">
        <v>45480</v>
      </c>
      <c r="AA522" s="4" t="str" cm="1">
        <f t="array" ref="AA522">_xlfn.IFS(OR(AB522="December", AB522="February", AB522="January"), "Winter", OR(AB522="March", AB522="April", AB522="May"), "Spring", OR(AB522="June", AB522="July", AB522="August"), "Summer", TRUE, "Autumn")</f>
        <v>Summer</v>
      </c>
      <c r="AB522" s="7" t="str">
        <f>TEXT(Z522, "mmmm")</f>
        <v>July</v>
      </c>
      <c r="AC522" s="1" t="str">
        <f>TEXT(Z522, "dddd")</f>
        <v>Sunday</v>
      </c>
      <c r="AD522" s="4" t="s">
        <v>62</v>
      </c>
      <c r="AE522" s="4" t="s">
        <v>62</v>
      </c>
      <c r="AF522" s="4" t="s">
        <v>63</v>
      </c>
      <c r="AG522" s="4" t="s">
        <v>64</v>
      </c>
      <c r="AH522" s="3">
        <v>1</v>
      </c>
    </row>
    <row r="523" spans="1:34">
      <c r="A523" s="4" t="s">
        <v>1143</v>
      </c>
      <c r="B523" s="3">
        <v>44</v>
      </c>
      <c r="C523" s="9" t="str" cm="1">
        <f t="array" ref="C523">_xlfn.IFS(B523&gt;65,"+65",B523&gt;54,"55-65",B523&gt;44,"45-54",B523&gt;35,"36-44",B523&gt;25,"26-35",B523&gt;=18,"18-25")</f>
        <v>36-44</v>
      </c>
      <c r="D523" s="4" t="s">
        <v>78</v>
      </c>
      <c r="E523" s="4" t="s">
        <v>72</v>
      </c>
      <c r="F523" s="4" t="s">
        <v>95</v>
      </c>
      <c r="G523" s="4" t="s">
        <v>53</v>
      </c>
      <c r="H523" s="4" t="s">
        <v>1144</v>
      </c>
      <c r="I523" s="4" t="s">
        <v>234</v>
      </c>
      <c r="J523" s="5">
        <v>463.67</v>
      </c>
      <c r="K523" s="3">
        <v>5</v>
      </c>
      <c r="L523" s="4" t="str">
        <f>IF(AND(J523&gt;350,K523&gt;6), "True","False")</f>
        <v>False</v>
      </c>
      <c r="M523" s="4" t="s">
        <v>56</v>
      </c>
      <c r="N523" s="3">
        <v>2</v>
      </c>
      <c r="O523" s="4" t="str" cm="1">
        <f t="array" ref="O523">_xlfn.IFS(P523&lt;=2,"Poor",P523=3,"Average",P523&gt;=4,"Good")</f>
        <v>Good</v>
      </c>
      <c r="P523" s="3">
        <v>4</v>
      </c>
      <c r="Q523" s="2">
        <v>0.3</v>
      </c>
      <c r="R523" s="4" t="s">
        <v>72</v>
      </c>
      <c r="S523" s="4" t="s">
        <v>58</v>
      </c>
      <c r="T523" s="3">
        <v>2</v>
      </c>
      <c r="U523" s="4" t="str" cm="1">
        <f t="array" ref="U523">_xlfn.IFS(V523&lt;=4, "Dissatisfied",V523&lt;=7,"Neutral",V523&gt;=8,"Satisfied")</f>
        <v>Dissatisfied</v>
      </c>
      <c r="V523" s="3">
        <v>4</v>
      </c>
      <c r="W523" s="4" t="s">
        <v>57</v>
      </c>
      <c r="X523" s="4" t="s">
        <v>74</v>
      </c>
      <c r="Y523" s="4" t="s">
        <v>86</v>
      </c>
      <c r="Z523" s="1">
        <v>45480</v>
      </c>
      <c r="AA523" s="4" t="str" cm="1">
        <f t="array" ref="AA523">_xlfn.IFS(OR(AB523="December", AB523="February", AB523="January"), "Winter", OR(AB523="March", AB523="April", AB523="May"), "Spring", OR(AB523="June", AB523="July", AB523="August"), "Summer", TRUE, "Autumn")</f>
        <v>Summer</v>
      </c>
      <c r="AB523" s="7" t="str">
        <f>TEXT(Z523, "mmmm")</f>
        <v>July</v>
      </c>
      <c r="AC523" s="1" t="str">
        <f>TEXT(Z523, "dddd")</f>
        <v>Sunday</v>
      </c>
      <c r="AD523" s="4" t="s">
        <v>62</v>
      </c>
      <c r="AE523" s="4" t="s">
        <v>76</v>
      </c>
      <c r="AF523" s="4" t="s">
        <v>63</v>
      </c>
      <c r="AG523" s="4" t="s">
        <v>64</v>
      </c>
      <c r="AH523" s="3">
        <v>5</v>
      </c>
    </row>
    <row r="524" spans="1:34">
      <c r="A524" s="4" t="s">
        <v>1145</v>
      </c>
      <c r="B524" s="3">
        <v>35</v>
      </c>
      <c r="C524" s="9" t="str" cm="1">
        <f t="array" ref="C524">_xlfn.IFS(B524&gt;65,"+65",B524&gt;54,"55-65",B524&gt;44,"45-54",B524&gt;35,"36-44",B524&gt;25,"26-35",B524&gt;=18,"18-25")</f>
        <v>26-35</v>
      </c>
      <c r="D524" s="4" t="s">
        <v>66</v>
      </c>
      <c r="E524" s="4" t="s">
        <v>72</v>
      </c>
      <c r="F524" s="4" t="s">
        <v>95</v>
      </c>
      <c r="G524" s="4" t="s">
        <v>68</v>
      </c>
      <c r="H524" s="4" t="s">
        <v>1146</v>
      </c>
      <c r="I524" s="4" t="s">
        <v>100</v>
      </c>
      <c r="J524" s="5">
        <v>227.03</v>
      </c>
      <c r="K524" s="3">
        <v>12</v>
      </c>
      <c r="L524" s="4" t="str">
        <f>IF(AND(J524&gt;350,K524&gt;6), "True","False")</f>
        <v>False</v>
      </c>
      <c r="M524" s="4" t="s">
        <v>56</v>
      </c>
      <c r="N524" s="3">
        <v>2</v>
      </c>
      <c r="O524" s="4" t="str" cm="1">
        <f t="array" ref="O524">_xlfn.IFS(P524&lt;=2,"Poor",P524=3,"Average",P524&gt;=4,"Good")</f>
        <v>Poor</v>
      </c>
      <c r="P524" s="3">
        <v>2</v>
      </c>
      <c r="Q524" s="2">
        <v>0</v>
      </c>
      <c r="R524" s="4" t="s">
        <v>72</v>
      </c>
      <c r="S524" s="4" t="s">
        <v>73</v>
      </c>
      <c r="T524" s="3">
        <v>2</v>
      </c>
      <c r="U524" s="4" t="str" cm="1">
        <f t="array" ref="U524">_xlfn.IFS(V524&lt;=4, "Dissatisfied",V524&lt;=7,"Neutral",V524&gt;=8,"Satisfied")</f>
        <v>Satisfied</v>
      </c>
      <c r="V524" s="3">
        <v>10</v>
      </c>
      <c r="W524" s="4" t="s">
        <v>59</v>
      </c>
      <c r="X524" s="4" t="s">
        <v>101</v>
      </c>
      <c r="Y524" s="4" t="s">
        <v>86</v>
      </c>
      <c r="Z524" s="1">
        <v>45480</v>
      </c>
      <c r="AA524" s="4" t="str" cm="1">
        <f t="array" ref="AA524">_xlfn.IFS(OR(AB524="December", AB524="February", AB524="January"), "Winter", OR(AB524="March", AB524="April", AB524="May"), "Spring", OR(AB524="June", AB524="July", AB524="August"), "Summer", TRUE, "Autumn")</f>
        <v>Summer</v>
      </c>
      <c r="AB524" s="7" t="str">
        <f>TEXT(Z524, "mmmm")</f>
        <v>July</v>
      </c>
      <c r="AC524" s="1" t="str">
        <f>TEXT(Z524, "dddd")</f>
        <v>Sunday</v>
      </c>
      <c r="AD524" s="4" t="s">
        <v>62</v>
      </c>
      <c r="AE524" s="4" t="s">
        <v>62</v>
      </c>
      <c r="AF524" s="4" t="s">
        <v>87</v>
      </c>
      <c r="AG524" s="4" t="s">
        <v>64</v>
      </c>
      <c r="AH524" s="3">
        <v>2</v>
      </c>
    </row>
    <row r="525" spans="1:34">
      <c r="A525" s="4" t="s">
        <v>1147</v>
      </c>
      <c r="B525" s="3">
        <v>23</v>
      </c>
      <c r="C525" s="9" t="str" cm="1">
        <f t="array" ref="C525">_xlfn.IFS(B525&gt;65,"+65",B525&gt;54,"55-65",B525&gt;44,"45-54",B525&gt;35,"36-44",B525&gt;25,"26-35",B525&gt;=18,"18-25")</f>
        <v>18-25</v>
      </c>
      <c r="D525" s="4" t="s">
        <v>188</v>
      </c>
      <c r="E525" s="4" t="s">
        <v>51</v>
      </c>
      <c r="F525" s="4" t="s">
        <v>79</v>
      </c>
      <c r="G525" s="4" t="s">
        <v>53</v>
      </c>
      <c r="H525" s="4" t="s">
        <v>1148</v>
      </c>
      <c r="I525" s="4" t="s">
        <v>164</v>
      </c>
      <c r="J525" s="5">
        <v>297.45</v>
      </c>
      <c r="K525" s="3">
        <v>3</v>
      </c>
      <c r="L525" s="4" t="str">
        <f>IF(AND(J525&gt;350,K525&gt;6), "True","False")</f>
        <v>False</v>
      </c>
      <c r="M525" s="4" t="s">
        <v>83</v>
      </c>
      <c r="N525" s="3">
        <v>1</v>
      </c>
      <c r="O525" s="4" t="str" cm="1">
        <f t="array" ref="O525">_xlfn.IFS(P525&lt;=2,"Poor",P525=3,"Average",P525&gt;=4,"Good")</f>
        <v>Good</v>
      </c>
      <c r="P525" s="3">
        <v>5</v>
      </c>
      <c r="Q525" s="2">
        <v>0</v>
      </c>
      <c r="R525" s="4" t="s">
        <v>85</v>
      </c>
      <c r="S525" s="4" t="s">
        <v>73</v>
      </c>
      <c r="T525" s="3">
        <v>0</v>
      </c>
      <c r="U525" s="4" t="str" cm="1">
        <f t="array" ref="U525">_xlfn.IFS(V525&lt;=4, "Dissatisfied",V525&lt;=7,"Neutral",V525&gt;=8,"Satisfied")</f>
        <v>Neutral</v>
      </c>
      <c r="V525" s="3">
        <v>7</v>
      </c>
      <c r="W525" s="4" t="s">
        <v>59</v>
      </c>
      <c r="X525" s="4" t="s">
        <v>74</v>
      </c>
      <c r="Y525" s="4" t="s">
        <v>75</v>
      </c>
      <c r="Z525" s="1">
        <v>45480</v>
      </c>
      <c r="AA525" s="4" t="str" cm="1">
        <f t="array" ref="AA525">_xlfn.IFS(OR(AB525="December", AB525="February", AB525="January"), "Winter", OR(AB525="March", AB525="April", AB525="May"), "Spring", OR(AB525="June", AB525="July", AB525="August"), "Summer", TRUE, "Autumn")</f>
        <v>Summer</v>
      </c>
      <c r="AB525" s="7" t="str">
        <f>TEXT(Z525, "mmmm")</f>
        <v>July</v>
      </c>
      <c r="AC525" s="1" t="str">
        <f>TEXT(Z525, "dddd")</f>
        <v>Sunday</v>
      </c>
      <c r="AD525" s="4" t="s">
        <v>76</v>
      </c>
      <c r="AE525" s="4" t="s">
        <v>76</v>
      </c>
      <c r="AF525" s="4" t="s">
        <v>87</v>
      </c>
      <c r="AG525" s="4" t="s">
        <v>88</v>
      </c>
      <c r="AH525" s="3">
        <v>4</v>
      </c>
    </row>
    <row r="526" spans="1:34">
      <c r="A526" s="4" t="s">
        <v>1149</v>
      </c>
      <c r="B526" s="3">
        <v>19</v>
      </c>
      <c r="C526" s="9" t="str" cm="1">
        <f t="array" ref="C526">_xlfn.IFS(B526&gt;65,"+65",B526&gt;54,"55-65",B526&gt;44,"45-54",B526&gt;35,"36-44",B526&gt;25,"26-35",B526&gt;=18,"18-25")</f>
        <v>18-25</v>
      </c>
      <c r="D526" s="4" t="s">
        <v>78</v>
      </c>
      <c r="E526" s="4" t="s">
        <v>72</v>
      </c>
      <c r="F526" s="4" t="s">
        <v>52</v>
      </c>
      <c r="G526" s="4" t="s">
        <v>80</v>
      </c>
      <c r="H526" s="4" t="s">
        <v>1150</v>
      </c>
      <c r="I526" s="4" t="s">
        <v>97</v>
      </c>
      <c r="J526" s="5">
        <v>195.46</v>
      </c>
      <c r="K526" s="3">
        <v>10</v>
      </c>
      <c r="L526" s="4" t="str">
        <f>IF(AND(J526&gt;350,K526&gt;6), "True","False")</f>
        <v>False</v>
      </c>
      <c r="M526" s="4" t="s">
        <v>83</v>
      </c>
      <c r="N526" s="3">
        <v>5</v>
      </c>
      <c r="O526" s="4" t="str" cm="1">
        <f t="array" ref="O526">_xlfn.IFS(P526&lt;=2,"Poor",P526=3,"Average",P526&gt;=4,"Good")</f>
        <v>Average</v>
      </c>
      <c r="P526" s="3">
        <v>3</v>
      </c>
      <c r="Q526" s="2">
        <v>2</v>
      </c>
      <c r="R526" s="4" t="s">
        <v>57</v>
      </c>
      <c r="S526" s="4" t="s">
        <v>58</v>
      </c>
      <c r="T526" s="3">
        <v>0</v>
      </c>
      <c r="U526" s="4" t="str" cm="1">
        <f t="array" ref="U526">_xlfn.IFS(V526&lt;=4, "Dissatisfied",V526&lt;=7,"Neutral",V526&gt;=8,"Satisfied")</f>
        <v>Satisfied</v>
      </c>
      <c r="V526" s="3">
        <v>10</v>
      </c>
      <c r="W526" s="4" t="s">
        <v>59</v>
      </c>
      <c r="X526" s="4" t="s">
        <v>74</v>
      </c>
      <c r="Y526" s="4" t="s">
        <v>111</v>
      </c>
      <c r="Z526" s="1">
        <v>45480</v>
      </c>
      <c r="AA526" s="4" t="str" cm="1">
        <f t="array" ref="AA526">_xlfn.IFS(OR(AB526="December", AB526="February", AB526="January"), "Winter", OR(AB526="March", AB526="April", AB526="May"), "Spring", OR(AB526="June", AB526="July", AB526="August"), "Summer", TRUE, "Autumn")</f>
        <v>Summer</v>
      </c>
      <c r="AB526" s="7" t="str">
        <f>TEXT(Z526, "mmmm")</f>
        <v>July</v>
      </c>
      <c r="AC526" s="1" t="str">
        <f>TEXT(Z526, "dddd")</f>
        <v>Sunday</v>
      </c>
      <c r="AD526" s="4" t="s">
        <v>62</v>
      </c>
      <c r="AE526" s="4" t="s">
        <v>76</v>
      </c>
      <c r="AF526" s="4" t="s">
        <v>92</v>
      </c>
      <c r="AG526" s="4" t="s">
        <v>64</v>
      </c>
      <c r="AH526" s="3">
        <v>9</v>
      </c>
    </row>
    <row r="527" spans="1:34">
      <c r="A527" s="4" t="s">
        <v>1151</v>
      </c>
      <c r="B527" s="3">
        <v>45</v>
      </c>
      <c r="C527" s="9" t="str" cm="1">
        <f t="array" ref="C527">_xlfn.IFS(B527&gt;65,"+65",B527&gt;54,"55-65",B527&gt;44,"45-54",B527&gt;35,"36-44",B527&gt;25,"26-35",B527&gt;=18,"18-25")</f>
        <v>45-54</v>
      </c>
      <c r="D527" s="4" t="s">
        <v>66</v>
      </c>
      <c r="E527" s="4" t="s">
        <v>51</v>
      </c>
      <c r="F527" s="4" t="s">
        <v>79</v>
      </c>
      <c r="G527" s="4" t="s">
        <v>80</v>
      </c>
      <c r="H527" s="4" t="s">
        <v>1152</v>
      </c>
      <c r="I527" s="4" t="s">
        <v>97</v>
      </c>
      <c r="J527" s="5">
        <v>163.4</v>
      </c>
      <c r="K527" s="3">
        <v>3</v>
      </c>
      <c r="L527" s="4" t="str">
        <f>IF(AND(J527&gt;350,K527&gt;6), "True","False")</f>
        <v>False</v>
      </c>
      <c r="M527" s="4" t="s">
        <v>71</v>
      </c>
      <c r="N527" s="3">
        <v>3</v>
      </c>
      <c r="O527" s="4" t="str" cm="1">
        <f t="array" ref="O527">_xlfn.IFS(P527&lt;=2,"Poor",P527=3,"Average",P527&gt;=4,"Good")</f>
        <v>Good</v>
      </c>
      <c r="P527" s="3">
        <v>5</v>
      </c>
      <c r="Q527" s="2">
        <v>1</v>
      </c>
      <c r="R527" s="4" t="s">
        <v>72</v>
      </c>
      <c r="S527" s="4" t="s">
        <v>84</v>
      </c>
      <c r="T527" s="3">
        <v>2</v>
      </c>
      <c r="U527" s="4" t="str" cm="1">
        <f t="array" ref="U527">_xlfn.IFS(V527&lt;=4, "Dissatisfied",V527&lt;=7,"Neutral",V527&gt;=8,"Satisfied")</f>
        <v>Satisfied</v>
      </c>
      <c r="V527" s="3">
        <v>10</v>
      </c>
      <c r="W527" s="4" t="s">
        <v>72</v>
      </c>
      <c r="X527" s="4" t="s">
        <v>101</v>
      </c>
      <c r="Y527" s="4" t="s">
        <v>61</v>
      </c>
      <c r="Z527" s="1">
        <v>45481</v>
      </c>
      <c r="AA527" s="4" t="str" cm="1">
        <f t="array" ref="AA527">_xlfn.IFS(OR(AB527="December", AB527="February", AB527="January"), "Winter", OR(AB527="March", AB527="April", AB527="May"), "Spring", OR(AB527="June", AB527="July", AB527="August"), "Summer", TRUE, "Autumn")</f>
        <v>Summer</v>
      </c>
      <c r="AB527" s="7" t="str">
        <f>TEXT(Z527, "mmmm")</f>
        <v>July</v>
      </c>
      <c r="AC527" s="1" t="str">
        <f>TEXT(Z527, "dddd")</f>
        <v>Monday</v>
      </c>
      <c r="AD527" s="4" t="s">
        <v>62</v>
      </c>
      <c r="AE527" s="4" t="s">
        <v>76</v>
      </c>
      <c r="AF527" s="4" t="s">
        <v>87</v>
      </c>
      <c r="AG527" s="4" t="s">
        <v>64</v>
      </c>
      <c r="AH527" s="3">
        <v>7</v>
      </c>
    </row>
    <row r="528" spans="1:34">
      <c r="A528" s="4" t="s">
        <v>1153</v>
      </c>
      <c r="B528" s="3">
        <v>29</v>
      </c>
      <c r="C528" s="9" t="str" cm="1">
        <f t="array" ref="C528">_xlfn.IFS(B528&gt;65,"+65",B528&gt;54,"55-65",B528&gt;44,"45-54",B528&gt;35,"36-44",B528&gt;25,"26-35",B528&gt;=18,"18-25")</f>
        <v>26-35</v>
      </c>
      <c r="D528" s="4" t="s">
        <v>78</v>
      </c>
      <c r="E528" s="4" t="s">
        <v>72</v>
      </c>
      <c r="F528" s="4" t="s">
        <v>79</v>
      </c>
      <c r="G528" s="4" t="s">
        <v>53</v>
      </c>
      <c r="H528" s="4" t="s">
        <v>1154</v>
      </c>
      <c r="I528" s="4" t="s">
        <v>156</v>
      </c>
      <c r="J528" s="5">
        <v>490.75</v>
      </c>
      <c r="K528" s="3">
        <v>10</v>
      </c>
      <c r="L528" s="4" t="str">
        <f>IF(AND(J528&gt;350,K528&gt;6), "True","False")</f>
        <v>True</v>
      </c>
      <c r="M528" s="4" t="s">
        <v>71</v>
      </c>
      <c r="N528" s="3">
        <v>2</v>
      </c>
      <c r="O528" s="4" t="str" cm="1">
        <f t="array" ref="O528">_xlfn.IFS(P528&lt;=2,"Poor",P528=3,"Average",P528&gt;=4,"Good")</f>
        <v>Good</v>
      </c>
      <c r="P528" s="3">
        <v>4</v>
      </c>
      <c r="Q528" s="2">
        <v>1</v>
      </c>
      <c r="R528" s="4" t="s">
        <v>57</v>
      </c>
      <c r="S528" s="4" t="s">
        <v>73</v>
      </c>
      <c r="T528" s="3">
        <v>1</v>
      </c>
      <c r="U528" s="4" t="str" cm="1">
        <f t="array" ref="U528">_xlfn.IFS(V528&lt;=4, "Dissatisfied",V528&lt;=7,"Neutral",V528&gt;=8,"Satisfied")</f>
        <v>Dissatisfied</v>
      </c>
      <c r="V528" s="3">
        <v>4</v>
      </c>
      <c r="W528" s="4" t="s">
        <v>59</v>
      </c>
      <c r="X528" s="4" t="s">
        <v>60</v>
      </c>
      <c r="Y528" s="4" t="s">
        <v>75</v>
      </c>
      <c r="Z528" s="1">
        <v>45481</v>
      </c>
      <c r="AA528" s="4" t="str" cm="1">
        <f t="array" ref="AA528">_xlfn.IFS(OR(AB528="December", AB528="February", AB528="January"), "Winter", OR(AB528="March", AB528="April", AB528="May"), "Spring", OR(AB528="June", AB528="July", AB528="August"), "Summer", TRUE, "Autumn")</f>
        <v>Summer</v>
      </c>
      <c r="AB528" s="7" t="str">
        <f>TEXT(Z528, "mmmm")</f>
        <v>July</v>
      </c>
      <c r="AC528" s="1" t="str">
        <f>TEXT(Z528, "dddd")</f>
        <v>Monday</v>
      </c>
      <c r="AD528" s="4" t="s">
        <v>76</v>
      </c>
      <c r="AE528" s="4" t="s">
        <v>76</v>
      </c>
      <c r="AF528" s="4" t="s">
        <v>102</v>
      </c>
      <c r="AG528" s="4" t="s">
        <v>64</v>
      </c>
      <c r="AH528" s="3">
        <v>13</v>
      </c>
    </row>
    <row r="529" spans="1:34">
      <c r="A529" s="4" t="s">
        <v>1155</v>
      </c>
      <c r="B529" s="3">
        <v>27</v>
      </c>
      <c r="C529" s="9" t="str" cm="1">
        <f t="array" ref="C529">_xlfn.IFS(B529&gt;65,"+65",B529&gt;54,"55-65",B529&gt;44,"45-54",B529&gt;35,"36-44",B529&gt;25,"26-35",B529&gt;=18,"18-25")</f>
        <v>26-35</v>
      </c>
      <c r="D529" s="4" t="s">
        <v>66</v>
      </c>
      <c r="E529" s="4" t="s">
        <v>72</v>
      </c>
      <c r="F529" s="4" t="s">
        <v>79</v>
      </c>
      <c r="G529" s="4" t="s">
        <v>80</v>
      </c>
      <c r="H529" s="4" t="s">
        <v>1156</v>
      </c>
      <c r="I529" s="4" t="s">
        <v>100</v>
      </c>
      <c r="J529" s="5">
        <v>207.66</v>
      </c>
      <c r="K529" s="3">
        <v>10</v>
      </c>
      <c r="L529" s="4" t="str">
        <f>IF(AND(J529&gt;350,K529&gt;6), "True","False")</f>
        <v>False</v>
      </c>
      <c r="M529" s="4" t="s">
        <v>71</v>
      </c>
      <c r="N529" s="3">
        <v>2</v>
      </c>
      <c r="O529" s="4" t="str" cm="1">
        <f t="array" ref="O529">_xlfn.IFS(P529&lt;=2,"Poor",P529=3,"Average",P529&gt;=4,"Good")</f>
        <v>Average</v>
      </c>
      <c r="P529" s="3">
        <v>3</v>
      </c>
      <c r="Q529" s="2">
        <v>1</v>
      </c>
      <c r="R529" s="4" t="s">
        <v>72</v>
      </c>
      <c r="S529" s="4" t="s">
        <v>73</v>
      </c>
      <c r="T529" s="3">
        <v>2</v>
      </c>
      <c r="U529" s="4" t="str" cm="1">
        <f t="array" ref="U529">_xlfn.IFS(V529&lt;=4, "Dissatisfied",V529&lt;=7,"Neutral",V529&gt;=8,"Satisfied")</f>
        <v>Dissatisfied</v>
      </c>
      <c r="V529" s="3">
        <v>2</v>
      </c>
      <c r="W529" s="4" t="s">
        <v>85</v>
      </c>
      <c r="X529" s="4" t="s">
        <v>101</v>
      </c>
      <c r="Y529" s="4" t="s">
        <v>111</v>
      </c>
      <c r="Z529" s="1">
        <v>45481</v>
      </c>
      <c r="AA529" s="4" t="str" cm="1">
        <f t="array" ref="AA529">_xlfn.IFS(OR(AB529="December", AB529="February", AB529="January"), "Winter", OR(AB529="March", AB529="April", AB529="May"), "Spring", OR(AB529="June", AB529="July", AB529="August"), "Summer", TRUE, "Autumn")</f>
        <v>Summer</v>
      </c>
      <c r="AB529" s="7" t="str">
        <f>TEXT(Z529, "mmmm")</f>
        <v>July</v>
      </c>
      <c r="AC529" s="1" t="str">
        <f>TEXT(Z529, "dddd")</f>
        <v>Monday</v>
      </c>
      <c r="AD529" s="4" t="s">
        <v>76</v>
      </c>
      <c r="AE529" s="4" t="s">
        <v>62</v>
      </c>
      <c r="AF529" s="4" t="s">
        <v>102</v>
      </c>
      <c r="AG529" s="4" t="s">
        <v>64</v>
      </c>
      <c r="AH529" s="3">
        <v>8</v>
      </c>
    </row>
    <row r="530" spans="1:34">
      <c r="A530" s="4" t="s">
        <v>1157</v>
      </c>
      <c r="B530" s="3">
        <v>50</v>
      </c>
      <c r="C530" s="9" t="str" cm="1">
        <f t="array" ref="C530">_xlfn.IFS(B530&gt;65,"+65",B530&gt;54,"55-65",B530&gt;44,"45-54",B530&gt;35,"36-44",B530&gt;25,"26-35",B530&gt;=18,"18-25")</f>
        <v>45-54</v>
      </c>
      <c r="D530" s="4" t="s">
        <v>78</v>
      </c>
      <c r="E530" s="4" t="s">
        <v>51</v>
      </c>
      <c r="F530" s="4" t="s">
        <v>95</v>
      </c>
      <c r="G530" s="4" t="s">
        <v>53</v>
      </c>
      <c r="H530" s="4" t="s">
        <v>1158</v>
      </c>
      <c r="I530" s="4" t="s">
        <v>194</v>
      </c>
      <c r="J530" s="5">
        <v>142.02000000000001</v>
      </c>
      <c r="K530" s="3">
        <v>7</v>
      </c>
      <c r="L530" s="4" t="str">
        <f>IF(AND(J530&gt;350,K530&gt;6), "True","False")</f>
        <v>False</v>
      </c>
      <c r="M530" s="4" t="s">
        <v>71</v>
      </c>
      <c r="N530" s="3">
        <v>1</v>
      </c>
      <c r="O530" s="4" t="str" cm="1">
        <f t="array" ref="O530">_xlfn.IFS(P530&lt;=2,"Poor",P530=3,"Average",P530&gt;=4,"Good")</f>
        <v>Good</v>
      </c>
      <c r="P530" s="3">
        <v>5</v>
      </c>
      <c r="Q530" s="2">
        <v>0</v>
      </c>
      <c r="R530" s="4" t="s">
        <v>59</v>
      </c>
      <c r="S530" s="4" t="s">
        <v>73</v>
      </c>
      <c r="T530" s="3">
        <v>1</v>
      </c>
      <c r="U530" s="4" t="str" cm="1">
        <f t="array" ref="U530">_xlfn.IFS(V530&lt;=4, "Dissatisfied",V530&lt;=7,"Neutral",V530&gt;=8,"Satisfied")</f>
        <v>Satisfied</v>
      </c>
      <c r="V530" s="3">
        <v>9</v>
      </c>
      <c r="W530" s="4" t="s">
        <v>85</v>
      </c>
      <c r="X530" s="4" t="s">
        <v>101</v>
      </c>
      <c r="Y530" s="4" t="s">
        <v>61</v>
      </c>
      <c r="Z530" s="1">
        <v>45482</v>
      </c>
      <c r="AA530" s="4" t="str" cm="1">
        <f t="array" ref="AA530">_xlfn.IFS(OR(AB530="December", AB530="February", AB530="January"), "Winter", OR(AB530="March", AB530="April", AB530="May"), "Spring", OR(AB530="June", AB530="July", AB530="August"), "Summer", TRUE, "Autumn")</f>
        <v>Summer</v>
      </c>
      <c r="AB530" s="7" t="str">
        <f>TEXT(Z530, "mmmm")</f>
        <v>July</v>
      </c>
      <c r="AC530" s="1" t="str">
        <f>TEXT(Z530, "dddd")</f>
        <v>Tuesday</v>
      </c>
      <c r="AD530" s="4" t="s">
        <v>62</v>
      </c>
      <c r="AE530" s="4" t="s">
        <v>76</v>
      </c>
      <c r="AF530" s="4" t="s">
        <v>92</v>
      </c>
      <c r="AG530" s="4" t="s">
        <v>64</v>
      </c>
      <c r="AH530" s="3">
        <v>3</v>
      </c>
    </row>
    <row r="531" spans="1:34">
      <c r="A531" s="4" t="s">
        <v>1159</v>
      </c>
      <c r="B531" s="3">
        <v>33</v>
      </c>
      <c r="C531" s="9" t="str" cm="1">
        <f t="array" ref="C531">_xlfn.IFS(B531&gt;65,"+65",B531&gt;54,"55-65",B531&gt;44,"45-54",B531&gt;35,"36-44",B531&gt;25,"26-35",B531&gt;=18,"18-25")</f>
        <v>26-35</v>
      </c>
      <c r="D531" s="4" t="s">
        <v>188</v>
      </c>
      <c r="E531" s="4" t="s">
        <v>72</v>
      </c>
      <c r="F531" s="4" t="s">
        <v>67</v>
      </c>
      <c r="G531" s="4" t="s">
        <v>53</v>
      </c>
      <c r="H531" s="4" t="s">
        <v>1160</v>
      </c>
      <c r="I531" s="4" t="s">
        <v>110</v>
      </c>
      <c r="J531" s="5">
        <v>348.5</v>
      </c>
      <c r="K531" s="3">
        <v>3</v>
      </c>
      <c r="L531" s="4" t="str">
        <f>IF(AND(J531&gt;350,K531&gt;6), "True","False")</f>
        <v>False</v>
      </c>
      <c r="M531" s="4" t="s">
        <v>83</v>
      </c>
      <c r="N531" s="3">
        <v>2</v>
      </c>
      <c r="O531" s="4" t="str" cm="1">
        <f t="array" ref="O531">_xlfn.IFS(P531&lt;=2,"Poor",P531=3,"Average",P531&gt;=4,"Good")</f>
        <v>Average</v>
      </c>
      <c r="P531" s="3">
        <v>3</v>
      </c>
      <c r="Q531" s="2">
        <v>2</v>
      </c>
      <c r="R531" s="4" t="s">
        <v>57</v>
      </c>
      <c r="S531" s="4" t="s">
        <v>58</v>
      </c>
      <c r="T531" s="3">
        <v>0</v>
      </c>
      <c r="U531" s="4" t="str" cm="1">
        <f t="array" ref="U531">_xlfn.IFS(V531&lt;=4, "Dissatisfied",V531&lt;=7,"Neutral",V531&gt;=8,"Satisfied")</f>
        <v>Neutral</v>
      </c>
      <c r="V531" s="3">
        <v>6</v>
      </c>
      <c r="W531" s="4" t="s">
        <v>85</v>
      </c>
      <c r="X531" s="4" t="s">
        <v>60</v>
      </c>
      <c r="Y531" s="4" t="s">
        <v>75</v>
      </c>
      <c r="Z531" s="1">
        <v>45482</v>
      </c>
      <c r="AA531" s="4" t="str" cm="1">
        <f t="array" ref="AA531">_xlfn.IFS(OR(AB531="December", AB531="February", AB531="January"), "Winter", OR(AB531="March", AB531="April", AB531="May"), "Spring", OR(AB531="June", AB531="July", AB531="August"), "Summer", TRUE, "Autumn")</f>
        <v>Summer</v>
      </c>
      <c r="AB531" s="7" t="str">
        <f>TEXT(Z531, "mmmm")</f>
        <v>July</v>
      </c>
      <c r="AC531" s="1" t="str">
        <f>TEXT(Z531, "dddd")</f>
        <v>Tuesday</v>
      </c>
      <c r="AD531" s="4" t="s">
        <v>76</v>
      </c>
      <c r="AE531" s="4" t="s">
        <v>76</v>
      </c>
      <c r="AF531" s="4" t="s">
        <v>87</v>
      </c>
      <c r="AG531" s="4" t="s">
        <v>88</v>
      </c>
      <c r="AH531" s="3">
        <v>8</v>
      </c>
    </row>
    <row r="532" spans="1:34">
      <c r="A532" s="4" t="s">
        <v>1161</v>
      </c>
      <c r="B532" s="3">
        <v>32</v>
      </c>
      <c r="C532" s="9" t="str" cm="1">
        <f t="array" ref="C532">_xlfn.IFS(B532&gt;65,"+65",B532&gt;54,"55-65",B532&gt;44,"45-54",B532&gt;35,"36-44",B532&gt;25,"26-35",B532&gt;=18,"18-25")</f>
        <v>26-35</v>
      </c>
      <c r="D532" s="4" t="s">
        <v>78</v>
      </c>
      <c r="E532" s="4" t="s">
        <v>51</v>
      </c>
      <c r="F532" s="4" t="s">
        <v>67</v>
      </c>
      <c r="G532" s="4" t="s">
        <v>68</v>
      </c>
      <c r="H532" s="4" t="s">
        <v>1162</v>
      </c>
      <c r="I532" s="4" t="s">
        <v>97</v>
      </c>
      <c r="J532" s="5">
        <v>433.14</v>
      </c>
      <c r="K532" s="3">
        <v>10</v>
      </c>
      <c r="L532" s="4" t="str">
        <f>IF(AND(J532&gt;350,K532&gt;6), "True","False")</f>
        <v>True</v>
      </c>
      <c r="M532" s="4" t="s">
        <v>71</v>
      </c>
      <c r="N532" s="3">
        <v>3</v>
      </c>
      <c r="O532" s="4" t="str" cm="1">
        <f t="array" ref="O532">_xlfn.IFS(P532&lt;=2,"Poor",P532=3,"Average",P532&gt;=4,"Good")</f>
        <v>Poor</v>
      </c>
      <c r="P532" s="3">
        <v>1</v>
      </c>
      <c r="Q532" s="2">
        <v>2</v>
      </c>
      <c r="R532" s="4" t="s">
        <v>85</v>
      </c>
      <c r="S532" s="4" t="s">
        <v>58</v>
      </c>
      <c r="T532" s="3">
        <v>2</v>
      </c>
      <c r="U532" s="4" t="str" cm="1">
        <f t="array" ref="U532">_xlfn.IFS(V532&lt;=4, "Dissatisfied",V532&lt;=7,"Neutral",V532&gt;=8,"Satisfied")</f>
        <v>Dissatisfied</v>
      </c>
      <c r="V532" s="3">
        <v>3</v>
      </c>
      <c r="W532" s="4" t="s">
        <v>72</v>
      </c>
      <c r="X532" s="4" t="s">
        <v>74</v>
      </c>
      <c r="Y532" s="4" t="s">
        <v>75</v>
      </c>
      <c r="Z532" s="1">
        <v>45482</v>
      </c>
      <c r="AA532" s="4" t="str" cm="1">
        <f t="array" ref="AA532">_xlfn.IFS(OR(AB532="December", AB532="February", AB532="January"), "Winter", OR(AB532="March", AB532="April", AB532="May"), "Spring", OR(AB532="June", AB532="July", AB532="August"), "Summer", TRUE, "Autumn")</f>
        <v>Summer</v>
      </c>
      <c r="AB532" s="7" t="str">
        <f>TEXT(Z532, "mmmm")</f>
        <v>July</v>
      </c>
      <c r="AC532" s="1" t="str">
        <f>TEXT(Z532, "dddd")</f>
        <v>Tuesday</v>
      </c>
      <c r="AD532" s="4" t="s">
        <v>76</v>
      </c>
      <c r="AE532" s="4" t="s">
        <v>76</v>
      </c>
      <c r="AF532" s="4" t="s">
        <v>92</v>
      </c>
      <c r="AG532" s="4" t="s">
        <v>88</v>
      </c>
      <c r="AH532" s="3">
        <v>5</v>
      </c>
    </row>
    <row r="533" spans="1:34">
      <c r="A533" s="4" t="s">
        <v>1163</v>
      </c>
      <c r="B533" s="3">
        <v>21</v>
      </c>
      <c r="C533" s="9" t="str" cm="1">
        <f t="array" ref="C533">_xlfn.IFS(B533&gt;65,"+65",B533&gt;54,"55-65",B533&gt;44,"45-54",B533&gt;35,"36-44",B533&gt;25,"26-35",B533&gt;=18,"18-25")</f>
        <v>18-25</v>
      </c>
      <c r="D533" s="4" t="s">
        <v>66</v>
      </c>
      <c r="E533" s="4" t="s">
        <v>51</v>
      </c>
      <c r="F533" s="4" t="s">
        <v>52</v>
      </c>
      <c r="G533" s="4" t="s">
        <v>68</v>
      </c>
      <c r="H533" s="4" t="s">
        <v>1164</v>
      </c>
      <c r="I533" s="4" t="s">
        <v>164</v>
      </c>
      <c r="J533" s="5">
        <v>242.65</v>
      </c>
      <c r="K533" s="3">
        <v>3</v>
      </c>
      <c r="L533" s="4" t="str">
        <f>IF(AND(J533&gt;350,K533&gt;6), "True","False")</f>
        <v>False</v>
      </c>
      <c r="M533" s="4" t="s">
        <v>83</v>
      </c>
      <c r="N533" s="3">
        <v>5</v>
      </c>
      <c r="O533" s="4" t="str" cm="1">
        <f t="array" ref="O533">_xlfn.IFS(P533&lt;=2,"Poor",P533=3,"Average",P533&gt;=4,"Good")</f>
        <v>Average</v>
      </c>
      <c r="P533" s="3">
        <v>3</v>
      </c>
      <c r="Q533" s="2">
        <v>0.2</v>
      </c>
      <c r="R533" s="4" t="s">
        <v>57</v>
      </c>
      <c r="S533" s="4" t="s">
        <v>73</v>
      </c>
      <c r="T533" s="3">
        <v>2</v>
      </c>
      <c r="U533" s="4" t="str" cm="1">
        <f t="array" ref="U533">_xlfn.IFS(V533&lt;=4, "Dissatisfied",V533&lt;=7,"Neutral",V533&gt;=8,"Satisfied")</f>
        <v>Satisfied</v>
      </c>
      <c r="V533" s="3">
        <v>8</v>
      </c>
      <c r="W533" s="4" t="s">
        <v>57</v>
      </c>
      <c r="X533" s="4" t="s">
        <v>74</v>
      </c>
      <c r="Y533" s="4" t="s">
        <v>61</v>
      </c>
      <c r="Z533" s="1">
        <v>45482</v>
      </c>
      <c r="AA533" s="4" t="str" cm="1">
        <f t="array" ref="AA533">_xlfn.IFS(OR(AB533="December", AB533="February", AB533="January"), "Winter", OR(AB533="March", AB533="April", AB533="May"), "Spring", OR(AB533="June", AB533="July", AB533="August"), "Summer", TRUE, "Autumn")</f>
        <v>Summer</v>
      </c>
      <c r="AB533" s="7" t="str">
        <f>TEXT(Z533, "mmmm")</f>
        <v>July</v>
      </c>
      <c r="AC533" s="1" t="str">
        <f>TEXT(Z533, "dddd")</f>
        <v>Tuesday</v>
      </c>
      <c r="AD533" s="4" t="s">
        <v>76</v>
      </c>
      <c r="AE533" s="4" t="s">
        <v>62</v>
      </c>
      <c r="AF533" s="4" t="s">
        <v>87</v>
      </c>
      <c r="AG533" s="4" t="s">
        <v>88</v>
      </c>
      <c r="AH533" s="3">
        <v>9</v>
      </c>
    </row>
    <row r="534" spans="1:34">
      <c r="A534" s="4" t="s">
        <v>1165</v>
      </c>
      <c r="B534" s="3">
        <v>18</v>
      </c>
      <c r="C534" s="9" t="str" cm="1">
        <f t="array" ref="C534">_xlfn.IFS(B534&gt;65,"+65",B534&gt;54,"55-65",B534&gt;44,"45-54",B534&gt;35,"36-44",B534&gt;25,"26-35",B534&gt;=18,"18-25")</f>
        <v>18-25</v>
      </c>
      <c r="D534" s="4" t="s">
        <v>78</v>
      </c>
      <c r="E534" s="4" t="s">
        <v>72</v>
      </c>
      <c r="F534" s="4" t="s">
        <v>79</v>
      </c>
      <c r="G534" s="4" t="s">
        <v>53</v>
      </c>
      <c r="H534" s="4" t="s">
        <v>1166</v>
      </c>
      <c r="I534" s="4" t="s">
        <v>91</v>
      </c>
      <c r="J534" s="5">
        <v>160.82</v>
      </c>
      <c r="K534" s="3">
        <v>7</v>
      </c>
      <c r="L534" s="4" t="str">
        <f>IF(AND(J534&gt;350,K534&gt;6), "True","False")</f>
        <v>False</v>
      </c>
      <c r="M534" s="4" t="s">
        <v>71</v>
      </c>
      <c r="N534" s="3">
        <v>3</v>
      </c>
      <c r="O534" s="4" t="str" cm="1">
        <f t="array" ref="O534">_xlfn.IFS(P534&lt;=2,"Poor",P534=3,"Average",P534&gt;=4,"Good")</f>
        <v>Poor</v>
      </c>
      <c r="P534" s="3">
        <v>1</v>
      </c>
      <c r="Q534" s="2">
        <v>1</v>
      </c>
      <c r="R534" s="4" t="s">
        <v>72</v>
      </c>
      <c r="S534" s="4" t="s">
        <v>84</v>
      </c>
      <c r="T534" s="3">
        <v>0</v>
      </c>
      <c r="U534" s="4" t="str" cm="1">
        <f t="array" ref="U534">_xlfn.IFS(V534&lt;=4, "Dissatisfied",V534&lt;=7,"Neutral",V534&gt;=8,"Satisfied")</f>
        <v>Dissatisfied</v>
      </c>
      <c r="V534" s="3">
        <v>1</v>
      </c>
      <c r="W534" s="4" t="s">
        <v>72</v>
      </c>
      <c r="X534" s="4" t="s">
        <v>60</v>
      </c>
      <c r="Y534" s="4" t="s">
        <v>61</v>
      </c>
      <c r="Z534" s="1">
        <v>45482</v>
      </c>
      <c r="AA534" s="4" t="str" cm="1">
        <f t="array" ref="AA534">_xlfn.IFS(OR(AB534="December", AB534="February", AB534="January"), "Winter", OR(AB534="March", AB534="April", AB534="May"), "Spring", OR(AB534="June", AB534="July", AB534="August"), "Summer", TRUE, "Autumn")</f>
        <v>Summer</v>
      </c>
      <c r="AB534" s="7" t="str">
        <f>TEXT(Z534, "mmmm")</f>
        <v>July</v>
      </c>
      <c r="AC534" s="1" t="str">
        <f>TEXT(Z534, "dddd")</f>
        <v>Tuesday</v>
      </c>
      <c r="AD534" s="4" t="s">
        <v>62</v>
      </c>
      <c r="AE534" s="4" t="s">
        <v>62</v>
      </c>
      <c r="AF534" s="4" t="s">
        <v>102</v>
      </c>
      <c r="AG534" s="4" t="s">
        <v>88</v>
      </c>
      <c r="AH534" s="3">
        <v>3</v>
      </c>
    </row>
    <row r="535" spans="1:34">
      <c r="A535" s="4" t="s">
        <v>1167</v>
      </c>
      <c r="B535" s="3">
        <v>50</v>
      </c>
      <c r="C535" s="9" t="str" cm="1">
        <f t="array" ref="C535">_xlfn.IFS(B535&gt;65,"+65",B535&gt;54,"55-65",B535&gt;44,"45-54",B535&gt;35,"36-44",B535&gt;25,"26-35",B535&gt;=18,"18-25")</f>
        <v>45-54</v>
      </c>
      <c r="D535" s="4" t="s">
        <v>78</v>
      </c>
      <c r="E535" s="4" t="s">
        <v>51</v>
      </c>
      <c r="F535" s="4" t="s">
        <v>79</v>
      </c>
      <c r="G535" s="4" t="s">
        <v>80</v>
      </c>
      <c r="H535" s="4" t="s">
        <v>1168</v>
      </c>
      <c r="I535" s="4" t="s">
        <v>70</v>
      </c>
      <c r="J535" s="5">
        <v>474.99</v>
      </c>
      <c r="K535" s="3">
        <v>9</v>
      </c>
      <c r="L535" s="4" t="str">
        <f>IF(AND(J535&gt;350,K535&gt;6), "True","False")</f>
        <v>True</v>
      </c>
      <c r="M535" s="4" t="s">
        <v>56</v>
      </c>
      <c r="N535" s="3">
        <v>2</v>
      </c>
      <c r="O535" s="4" t="str" cm="1">
        <f t="array" ref="O535">_xlfn.IFS(P535&lt;=2,"Poor",P535=3,"Average",P535&gt;=4,"Good")</f>
        <v>Good</v>
      </c>
      <c r="P535" s="3">
        <v>4</v>
      </c>
      <c r="Q535" s="2">
        <v>1</v>
      </c>
      <c r="R535" s="4" t="s">
        <v>57</v>
      </c>
      <c r="S535" s="4" t="s">
        <v>84</v>
      </c>
      <c r="T535" s="3">
        <v>0</v>
      </c>
      <c r="U535" s="4" t="str" cm="1">
        <f t="array" ref="U535">_xlfn.IFS(V535&lt;=4, "Dissatisfied",V535&lt;=7,"Neutral",V535&gt;=8,"Satisfied")</f>
        <v>Satisfied</v>
      </c>
      <c r="V535" s="3">
        <v>8</v>
      </c>
      <c r="W535" s="4" t="s">
        <v>72</v>
      </c>
      <c r="X535" s="4" t="s">
        <v>101</v>
      </c>
      <c r="Y535" s="4" t="s">
        <v>119</v>
      </c>
      <c r="Z535" s="1">
        <v>45483</v>
      </c>
      <c r="AA535" s="4" t="str" cm="1">
        <f t="array" ref="AA535">_xlfn.IFS(OR(AB535="December", AB535="February", AB535="January"), "Winter", OR(AB535="March", AB535="April", AB535="May"), "Spring", OR(AB535="June", AB535="July", AB535="August"), "Summer", TRUE, "Autumn")</f>
        <v>Summer</v>
      </c>
      <c r="AB535" s="7" t="str">
        <f>TEXT(Z535, "mmmm")</f>
        <v>July</v>
      </c>
      <c r="AC535" s="1" t="str">
        <f>TEXT(Z535, "dddd")</f>
        <v>Wednesday</v>
      </c>
      <c r="AD535" s="4" t="s">
        <v>62</v>
      </c>
      <c r="AE535" s="4" t="s">
        <v>76</v>
      </c>
      <c r="AF535" s="4" t="s">
        <v>87</v>
      </c>
      <c r="AG535" s="4" t="s">
        <v>64</v>
      </c>
      <c r="AH535" s="3">
        <v>5</v>
      </c>
    </row>
    <row r="536" spans="1:34">
      <c r="A536" s="4" t="s">
        <v>1169</v>
      </c>
      <c r="B536" s="3">
        <v>38</v>
      </c>
      <c r="C536" s="9" t="str" cm="1">
        <f t="array" ref="C536">_xlfn.IFS(B536&gt;65,"+65",B536&gt;54,"55-65",B536&gt;44,"45-54",B536&gt;35,"36-44",B536&gt;25,"26-35",B536&gt;=18,"18-25")</f>
        <v>36-44</v>
      </c>
      <c r="D536" s="4" t="s">
        <v>78</v>
      </c>
      <c r="E536" s="4" t="s">
        <v>72</v>
      </c>
      <c r="F536" s="4" t="s">
        <v>95</v>
      </c>
      <c r="G536" s="4" t="s">
        <v>80</v>
      </c>
      <c r="H536" s="4" t="s">
        <v>1170</v>
      </c>
      <c r="I536" s="4" t="s">
        <v>133</v>
      </c>
      <c r="J536" s="5">
        <v>178.61</v>
      </c>
      <c r="K536" s="3">
        <v>12</v>
      </c>
      <c r="L536" s="4" t="str">
        <f>IF(AND(J536&gt;350,K536&gt;6), "True","False")</f>
        <v>False</v>
      </c>
      <c r="M536" s="4" t="s">
        <v>56</v>
      </c>
      <c r="N536" s="3">
        <v>5</v>
      </c>
      <c r="O536" s="4" t="str" cm="1">
        <f t="array" ref="O536">_xlfn.IFS(P536&lt;=2,"Poor",P536=3,"Average",P536&gt;=4,"Good")</f>
        <v>Poor</v>
      </c>
      <c r="P536" s="3">
        <v>1</v>
      </c>
      <c r="Q536" s="2">
        <v>2</v>
      </c>
      <c r="R536" s="4" t="s">
        <v>72</v>
      </c>
      <c r="S536" s="4" t="s">
        <v>58</v>
      </c>
      <c r="T536" s="3">
        <v>0</v>
      </c>
      <c r="U536" s="4" t="str" cm="1">
        <f t="array" ref="U536">_xlfn.IFS(V536&lt;=4, "Dissatisfied",V536&lt;=7,"Neutral",V536&gt;=8,"Satisfied")</f>
        <v>Dissatisfied</v>
      </c>
      <c r="V536" s="3">
        <v>3</v>
      </c>
      <c r="W536" s="4" t="s">
        <v>57</v>
      </c>
      <c r="X536" s="4" t="s">
        <v>60</v>
      </c>
      <c r="Y536" s="4" t="s">
        <v>119</v>
      </c>
      <c r="Z536" s="1">
        <v>45483</v>
      </c>
      <c r="AA536" s="4" t="str" cm="1">
        <f t="array" ref="AA536">_xlfn.IFS(OR(AB536="December", AB536="February", AB536="January"), "Winter", OR(AB536="March", AB536="April", AB536="May"), "Spring", OR(AB536="June", AB536="July", AB536="August"), "Summer", TRUE, "Autumn")</f>
        <v>Summer</v>
      </c>
      <c r="AB536" s="7" t="str">
        <f>TEXT(Z536, "mmmm")</f>
        <v>July</v>
      </c>
      <c r="AC536" s="1" t="str">
        <f>TEXT(Z536, "dddd")</f>
        <v>Wednesday</v>
      </c>
      <c r="AD536" s="4" t="s">
        <v>62</v>
      </c>
      <c r="AE536" s="4" t="s">
        <v>76</v>
      </c>
      <c r="AF536" s="4" t="s">
        <v>92</v>
      </c>
      <c r="AG536" s="4" t="s">
        <v>88</v>
      </c>
      <c r="AH536" s="3">
        <v>8</v>
      </c>
    </row>
    <row r="537" spans="1:34">
      <c r="A537" s="4" t="s">
        <v>1171</v>
      </c>
      <c r="B537" s="3">
        <v>37</v>
      </c>
      <c r="C537" s="9" t="str" cm="1">
        <f t="array" ref="C537">_xlfn.IFS(B537&gt;65,"+65",B537&gt;54,"55-65",B537&gt;44,"45-54",B537&gt;35,"36-44",B537&gt;25,"26-35",B537&gt;=18,"18-25")</f>
        <v>36-44</v>
      </c>
      <c r="D537" s="4" t="s">
        <v>78</v>
      </c>
      <c r="E537" s="4" t="s">
        <v>51</v>
      </c>
      <c r="F537" s="4" t="s">
        <v>52</v>
      </c>
      <c r="G537" s="4" t="s">
        <v>53</v>
      </c>
      <c r="H537" s="4" t="s">
        <v>1172</v>
      </c>
      <c r="I537" s="4" t="s">
        <v>164</v>
      </c>
      <c r="J537" s="5">
        <v>461</v>
      </c>
      <c r="K537" s="3">
        <v>7</v>
      </c>
      <c r="L537" s="4" t="str">
        <f>IF(AND(J537&gt;350,K537&gt;6), "True","False")</f>
        <v>True</v>
      </c>
      <c r="M537" s="4" t="s">
        <v>56</v>
      </c>
      <c r="N537" s="3">
        <v>2</v>
      </c>
      <c r="O537" s="4" t="str" cm="1">
        <f t="array" ref="O537">_xlfn.IFS(P537&lt;=2,"Poor",P537=3,"Average",P537&gt;=4,"Good")</f>
        <v>Good</v>
      </c>
      <c r="P537" s="3">
        <v>4</v>
      </c>
      <c r="Q537" s="2">
        <v>1</v>
      </c>
      <c r="R537" s="4" t="s">
        <v>72</v>
      </c>
      <c r="S537" s="4" t="s">
        <v>58</v>
      </c>
      <c r="T537" s="3">
        <v>0</v>
      </c>
      <c r="U537" s="4" t="str" cm="1">
        <f t="array" ref="U537">_xlfn.IFS(V537&lt;=4, "Dissatisfied",V537&lt;=7,"Neutral",V537&gt;=8,"Satisfied")</f>
        <v>Satisfied</v>
      </c>
      <c r="V537" s="3">
        <v>8</v>
      </c>
      <c r="W537" s="4" t="s">
        <v>59</v>
      </c>
      <c r="X537" s="4" t="s">
        <v>74</v>
      </c>
      <c r="Y537" s="4" t="s">
        <v>61</v>
      </c>
      <c r="Z537" s="1">
        <v>45483</v>
      </c>
      <c r="AA537" s="4" t="str" cm="1">
        <f t="array" ref="AA537">_xlfn.IFS(OR(AB537="December", AB537="February", AB537="January"), "Winter", OR(AB537="March", AB537="April", AB537="May"), "Spring", OR(AB537="June", AB537="July", AB537="August"), "Summer", TRUE, "Autumn")</f>
        <v>Summer</v>
      </c>
      <c r="AB537" s="7" t="str">
        <f>TEXT(Z537, "mmmm")</f>
        <v>July</v>
      </c>
      <c r="AC537" s="1" t="str">
        <f>TEXT(Z537, "dddd")</f>
        <v>Wednesday</v>
      </c>
      <c r="AD537" s="4" t="s">
        <v>76</v>
      </c>
      <c r="AE537" s="4" t="s">
        <v>62</v>
      </c>
      <c r="AF537" s="4" t="s">
        <v>102</v>
      </c>
      <c r="AG537" s="4" t="s">
        <v>64</v>
      </c>
      <c r="AH537" s="3">
        <v>9</v>
      </c>
    </row>
    <row r="538" spans="1:34">
      <c r="A538" s="4" t="s">
        <v>1173</v>
      </c>
      <c r="B538" s="3">
        <v>38</v>
      </c>
      <c r="C538" s="9" t="str" cm="1">
        <f t="array" ref="C538">_xlfn.IFS(B538&gt;65,"+65",B538&gt;54,"55-65",B538&gt;44,"45-54",B538&gt;35,"36-44",B538&gt;25,"26-35",B538&gt;=18,"18-25")</f>
        <v>36-44</v>
      </c>
      <c r="D538" s="4" t="s">
        <v>78</v>
      </c>
      <c r="E538" s="4" t="s">
        <v>72</v>
      </c>
      <c r="F538" s="4" t="s">
        <v>67</v>
      </c>
      <c r="G538" s="4" t="s">
        <v>80</v>
      </c>
      <c r="H538" s="4" t="s">
        <v>1174</v>
      </c>
      <c r="I538" s="4" t="s">
        <v>91</v>
      </c>
      <c r="J538" s="5">
        <v>193.32</v>
      </c>
      <c r="K538" s="3">
        <v>9</v>
      </c>
      <c r="L538" s="4" t="str">
        <f>IF(AND(J538&gt;350,K538&gt;6), "True","False")</f>
        <v>False</v>
      </c>
      <c r="M538" s="4" t="s">
        <v>83</v>
      </c>
      <c r="N538" s="3">
        <v>4</v>
      </c>
      <c r="O538" s="4" t="str" cm="1">
        <f t="array" ref="O538">_xlfn.IFS(P538&lt;=2,"Poor",P538=3,"Average",P538&gt;=4,"Good")</f>
        <v>Average</v>
      </c>
      <c r="P538" s="3">
        <v>3</v>
      </c>
      <c r="Q538" s="2">
        <v>0</v>
      </c>
      <c r="R538" s="4" t="s">
        <v>57</v>
      </c>
      <c r="S538" s="4" t="s">
        <v>73</v>
      </c>
      <c r="T538" s="3">
        <v>0</v>
      </c>
      <c r="U538" s="4" t="str" cm="1">
        <f t="array" ref="U538">_xlfn.IFS(V538&lt;=4, "Dissatisfied",V538&lt;=7,"Neutral",V538&gt;=8,"Satisfied")</f>
        <v>Satisfied</v>
      </c>
      <c r="V538" s="3">
        <v>8</v>
      </c>
      <c r="W538" s="4" t="s">
        <v>72</v>
      </c>
      <c r="X538" s="4" t="s">
        <v>74</v>
      </c>
      <c r="Y538" s="4" t="s">
        <v>86</v>
      </c>
      <c r="Z538" s="1">
        <v>45484</v>
      </c>
      <c r="AA538" s="4" t="str" cm="1">
        <f t="array" ref="AA538">_xlfn.IFS(OR(AB538="December", AB538="February", AB538="January"), "Winter", OR(AB538="March", AB538="April", AB538="May"), "Spring", OR(AB538="June", AB538="July", AB538="August"), "Summer", TRUE, "Autumn")</f>
        <v>Summer</v>
      </c>
      <c r="AB538" s="7" t="str">
        <f>TEXT(Z538, "mmmm")</f>
        <v>July</v>
      </c>
      <c r="AC538" s="1" t="str">
        <f>TEXT(Z538, "dddd")</f>
        <v>Thursday</v>
      </c>
      <c r="AD538" s="4" t="s">
        <v>76</v>
      </c>
      <c r="AE538" s="4" t="s">
        <v>62</v>
      </c>
      <c r="AF538" s="4" t="s">
        <v>102</v>
      </c>
      <c r="AG538" s="4" t="s">
        <v>93</v>
      </c>
      <c r="AH538" s="3">
        <v>6</v>
      </c>
    </row>
    <row r="539" spans="1:34">
      <c r="A539" s="4" t="s">
        <v>1175</v>
      </c>
      <c r="B539" s="3">
        <v>25</v>
      </c>
      <c r="C539" s="9" t="str" cm="1">
        <f t="array" ref="C539">_xlfn.IFS(B539&gt;65,"+65",B539&gt;54,"55-65",B539&gt;44,"45-54",B539&gt;35,"36-44",B539&gt;25,"26-35",B539&gt;=18,"18-25")</f>
        <v>18-25</v>
      </c>
      <c r="D539" s="4" t="s">
        <v>66</v>
      </c>
      <c r="E539" s="4" t="s">
        <v>51</v>
      </c>
      <c r="F539" s="4" t="s">
        <v>95</v>
      </c>
      <c r="G539" s="4" t="s">
        <v>68</v>
      </c>
      <c r="H539" s="4" t="s">
        <v>1176</v>
      </c>
      <c r="I539" s="4" t="s">
        <v>156</v>
      </c>
      <c r="J539" s="5">
        <v>384.26</v>
      </c>
      <c r="K539" s="3">
        <v>6</v>
      </c>
      <c r="L539" s="4" t="str">
        <f>IF(AND(J539&gt;350,K539&gt;6), "True","False")</f>
        <v>False</v>
      </c>
      <c r="M539" s="4" t="s">
        <v>83</v>
      </c>
      <c r="N539" s="3">
        <v>4</v>
      </c>
      <c r="O539" s="4" t="str" cm="1">
        <f t="array" ref="O539">_xlfn.IFS(P539&lt;=2,"Poor",P539=3,"Average",P539&gt;=4,"Good")</f>
        <v>Poor</v>
      </c>
      <c r="P539" s="3">
        <v>2</v>
      </c>
      <c r="Q539" s="2">
        <v>1</v>
      </c>
      <c r="R539" s="4" t="s">
        <v>72</v>
      </c>
      <c r="S539" s="4" t="s">
        <v>58</v>
      </c>
      <c r="T539" s="3">
        <v>0</v>
      </c>
      <c r="U539" s="4" t="str" cm="1">
        <f t="array" ref="U539">_xlfn.IFS(V539&lt;=4, "Dissatisfied",V539&lt;=7,"Neutral",V539&gt;=8,"Satisfied")</f>
        <v>Satisfied</v>
      </c>
      <c r="V539" s="3">
        <v>9</v>
      </c>
      <c r="W539" s="4" t="s">
        <v>85</v>
      </c>
      <c r="X539" s="4" t="s">
        <v>60</v>
      </c>
      <c r="Y539" s="4" t="s">
        <v>86</v>
      </c>
      <c r="Z539" s="1">
        <v>45484</v>
      </c>
      <c r="AA539" s="4" t="str" cm="1">
        <f t="array" ref="AA539">_xlfn.IFS(OR(AB539="December", AB539="February", AB539="January"), "Winter", OR(AB539="March", AB539="April", AB539="May"), "Spring", OR(AB539="June", AB539="July", AB539="August"), "Summer", TRUE, "Autumn")</f>
        <v>Summer</v>
      </c>
      <c r="AB539" s="7" t="str">
        <f>TEXT(Z539, "mmmm")</f>
        <v>July</v>
      </c>
      <c r="AC539" s="1" t="str">
        <f>TEXT(Z539, "dddd")</f>
        <v>Thursday</v>
      </c>
      <c r="AD539" s="4" t="s">
        <v>76</v>
      </c>
      <c r="AE539" s="4" t="s">
        <v>62</v>
      </c>
      <c r="AF539" s="4" t="s">
        <v>63</v>
      </c>
      <c r="AG539" s="4" t="s">
        <v>88</v>
      </c>
      <c r="AH539" s="3">
        <v>11</v>
      </c>
    </row>
    <row r="540" spans="1:34">
      <c r="A540" s="4" t="s">
        <v>1177</v>
      </c>
      <c r="B540" s="3">
        <v>49</v>
      </c>
      <c r="C540" s="9" t="str" cm="1">
        <f t="array" ref="C540">_xlfn.IFS(B540&gt;65,"+65",B540&gt;54,"55-65",B540&gt;44,"45-54",B540&gt;35,"36-44",B540&gt;25,"26-35",B540&gt;=18,"18-25")</f>
        <v>45-54</v>
      </c>
      <c r="D540" s="4" t="s">
        <v>66</v>
      </c>
      <c r="E540" s="4" t="s">
        <v>72</v>
      </c>
      <c r="F540" s="4" t="s">
        <v>79</v>
      </c>
      <c r="G540" s="4" t="s">
        <v>80</v>
      </c>
      <c r="H540" s="4" t="s">
        <v>1178</v>
      </c>
      <c r="I540" s="4" t="s">
        <v>97</v>
      </c>
      <c r="J540" s="5">
        <v>158.84</v>
      </c>
      <c r="K540" s="3">
        <v>6</v>
      </c>
      <c r="L540" s="4" t="str">
        <f>IF(AND(J540&gt;350,K540&gt;6), "True","False")</f>
        <v>False</v>
      </c>
      <c r="M540" s="4" t="s">
        <v>56</v>
      </c>
      <c r="N540" s="3">
        <v>2</v>
      </c>
      <c r="O540" s="4" t="str" cm="1">
        <f t="array" ref="O540">_xlfn.IFS(P540&lt;=2,"Poor",P540=3,"Average",P540&gt;=4,"Good")</f>
        <v>Poor</v>
      </c>
      <c r="P540" s="3">
        <v>1</v>
      </c>
      <c r="Q540" s="2">
        <v>1</v>
      </c>
      <c r="R540" s="4" t="s">
        <v>57</v>
      </c>
      <c r="S540" s="4" t="s">
        <v>58</v>
      </c>
      <c r="T540" s="3">
        <v>1</v>
      </c>
      <c r="U540" s="4" t="str" cm="1">
        <f t="array" ref="U540">_xlfn.IFS(V540&lt;=4, "Dissatisfied",V540&lt;=7,"Neutral",V540&gt;=8,"Satisfied")</f>
        <v>Satisfied</v>
      </c>
      <c r="V540" s="3">
        <v>8</v>
      </c>
      <c r="W540" s="4" t="s">
        <v>59</v>
      </c>
      <c r="X540" s="4" t="s">
        <v>101</v>
      </c>
      <c r="Y540" s="4" t="s">
        <v>61</v>
      </c>
      <c r="Z540" s="1">
        <v>45485</v>
      </c>
      <c r="AA540" s="4" t="str" cm="1">
        <f t="array" ref="AA540">_xlfn.IFS(OR(AB540="December", AB540="February", AB540="January"), "Winter", OR(AB540="March", AB540="April", AB540="May"), "Spring", OR(AB540="June", AB540="July", AB540="August"), "Summer", TRUE, "Autumn")</f>
        <v>Summer</v>
      </c>
      <c r="AB540" s="7" t="str">
        <f>TEXT(Z540, "mmmm")</f>
        <v>July</v>
      </c>
      <c r="AC540" s="1" t="str">
        <f>TEXT(Z540, "dddd")</f>
        <v>Friday</v>
      </c>
      <c r="AD540" s="4" t="s">
        <v>62</v>
      </c>
      <c r="AE540" s="4" t="s">
        <v>62</v>
      </c>
      <c r="AF540" s="4" t="s">
        <v>63</v>
      </c>
      <c r="AG540" s="4" t="s">
        <v>93</v>
      </c>
      <c r="AH540" s="3">
        <v>5</v>
      </c>
    </row>
    <row r="541" spans="1:34">
      <c r="A541" s="4" t="s">
        <v>1179</v>
      </c>
      <c r="B541" s="3">
        <v>35</v>
      </c>
      <c r="C541" s="9" t="str" cm="1">
        <f t="array" ref="C541">_xlfn.IFS(B541&gt;65,"+65",B541&gt;54,"55-65",B541&gt;44,"45-54",B541&gt;35,"36-44",B541&gt;25,"26-35",B541&gt;=18,"18-25")</f>
        <v>26-35</v>
      </c>
      <c r="D541" s="4" t="s">
        <v>78</v>
      </c>
      <c r="E541" s="4" t="s">
        <v>51</v>
      </c>
      <c r="F541" s="4" t="s">
        <v>79</v>
      </c>
      <c r="G541" s="4" t="s">
        <v>80</v>
      </c>
      <c r="H541" s="4" t="s">
        <v>1180</v>
      </c>
      <c r="I541" s="4" t="s">
        <v>97</v>
      </c>
      <c r="J541" s="5">
        <v>286.43</v>
      </c>
      <c r="K541" s="3">
        <v>4</v>
      </c>
      <c r="L541" s="4" t="str">
        <f>IF(AND(J541&gt;350,K541&gt;6), "True","False")</f>
        <v>False</v>
      </c>
      <c r="M541" s="4" t="s">
        <v>83</v>
      </c>
      <c r="N541" s="3">
        <v>1</v>
      </c>
      <c r="O541" s="4" t="str" cm="1">
        <f t="array" ref="O541">_xlfn.IFS(P541&lt;=2,"Poor",P541=3,"Average",P541&gt;=4,"Good")</f>
        <v>Average</v>
      </c>
      <c r="P541" s="3">
        <v>3</v>
      </c>
      <c r="Q541" s="2">
        <v>0</v>
      </c>
      <c r="R541" s="4" t="s">
        <v>72</v>
      </c>
      <c r="S541" s="4" t="s">
        <v>73</v>
      </c>
      <c r="T541" s="3">
        <v>2</v>
      </c>
      <c r="U541" s="4" t="str" cm="1">
        <f t="array" ref="U541">_xlfn.IFS(V541&lt;=4, "Dissatisfied",V541&lt;=7,"Neutral",V541&gt;=8,"Satisfied")</f>
        <v>Dissatisfied</v>
      </c>
      <c r="V541" s="3">
        <v>3</v>
      </c>
      <c r="W541" s="4" t="s">
        <v>57</v>
      </c>
      <c r="X541" s="4" t="s">
        <v>101</v>
      </c>
      <c r="Y541" s="4" t="s">
        <v>61</v>
      </c>
      <c r="Z541" s="1">
        <v>45485</v>
      </c>
      <c r="AA541" s="4" t="str" cm="1">
        <f t="array" ref="AA541">_xlfn.IFS(OR(AB541="December", AB541="February", AB541="January"), "Winter", OR(AB541="March", AB541="April", AB541="May"), "Spring", OR(AB541="June", AB541="July", AB541="August"), "Summer", TRUE, "Autumn")</f>
        <v>Summer</v>
      </c>
      <c r="AB541" s="7" t="str">
        <f>TEXT(Z541, "mmmm")</f>
        <v>July</v>
      </c>
      <c r="AC541" s="1" t="str">
        <f>TEXT(Z541, "dddd")</f>
        <v>Friday</v>
      </c>
      <c r="AD541" s="4" t="s">
        <v>62</v>
      </c>
      <c r="AE541" s="4" t="s">
        <v>76</v>
      </c>
      <c r="AF541" s="4" t="s">
        <v>102</v>
      </c>
      <c r="AG541" s="4" t="s">
        <v>93</v>
      </c>
      <c r="AH541" s="3">
        <v>14</v>
      </c>
    </row>
    <row r="542" spans="1:34">
      <c r="A542" s="4" t="s">
        <v>1181</v>
      </c>
      <c r="B542" s="3">
        <v>31</v>
      </c>
      <c r="C542" s="9" t="str" cm="1">
        <f t="array" ref="C542">_xlfn.IFS(B542&gt;65,"+65",B542&gt;54,"55-65",B542&gt;44,"45-54",B542&gt;35,"36-44",B542&gt;25,"26-35",B542&gt;=18,"18-25")</f>
        <v>26-35</v>
      </c>
      <c r="D542" s="4" t="s">
        <v>78</v>
      </c>
      <c r="E542" s="4" t="s">
        <v>72</v>
      </c>
      <c r="F542" s="4" t="s">
        <v>67</v>
      </c>
      <c r="G542" s="4" t="s">
        <v>68</v>
      </c>
      <c r="H542" s="4" t="s">
        <v>1182</v>
      </c>
      <c r="I542" s="4" t="s">
        <v>100</v>
      </c>
      <c r="J542" s="5">
        <v>344.43</v>
      </c>
      <c r="K542" s="3">
        <v>7</v>
      </c>
      <c r="L542" s="4" t="str">
        <f>IF(AND(J542&gt;350,K542&gt;6), "True","False")</f>
        <v>False</v>
      </c>
      <c r="M542" s="4" t="s">
        <v>56</v>
      </c>
      <c r="N542" s="3">
        <v>3</v>
      </c>
      <c r="O542" s="4" t="str" cm="1">
        <f t="array" ref="O542">_xlfn.IFS(P542&lt;=2,"Poor",P542=3,"Average",P542&gt;=4,"Good")</f>
        <v>Good</v>
      </c>
      <c r="P542" s="3">
        <v>5</v>
      </c>
      <c r="Q542" s="2">
        <v>0</v>
      </c>
      <c r="R542" s="4" t="s">
        <v>85</v>
      </c>
      <c r="S542" s="4" t="s">
        <v>58</v>
      </c>
      <c r="T542" s="3">
        <v>2</v>
      </c>
      <c r="U542" s="4" t="str" cm="1">
        <f t="array" ref="U542">_xlfn.IFS(V542&lt;=4, "Dissatisfied",V542&lt;=7,"Neutral",V542&gt;=8,"Satisfied")</f>
        <v>Dissatisfied</v>
      </c>
      <c r="V542" s="3">
        <v>4</v>
      </c>
      <c r="W542" s="4" t="s">
        <v>85</v>
      </c>
      <c r="X542" s="4" t="s">
        <v>101</v>
      </c>
      <c r="Y542" s="4" t="s">
        <v>119</v>
      </c>
      <c r="Z542" s="1">
        <v>45485</v>
      </c>
      <c r="AA542" s="4" t="str" cm="1">
        <f t="array" ref="AA542">_xlfn.IFS(OR(AB542="December", AB542="February", AB542="January"), "Winter", OR(AB542="March", AB542="April", AB542="May"), "Spring", OR(AB542="June", AB542="July", AB542="August"), "Summer", TRUE, "Autumn")</f>
        <v>Summer</v>
      </c>
      <c r="AB542" s="7" t="str">
        <f>TEXT(Z542, "mmmm")</f>
        <v>July</v>
      </c>
      <c r="AC542" s="1" t="str">
        <f>TEXT(Z542, "dddd")</f>
        <v>Friday</v>
      </c>
      <c r="AD542" s="4" t="s">
        <v>62</v>
      </c>
      <c r="AE542" s="4" t="s">
        <v>76</v>
      </c>
      <c r="AF542" s="4" t="s">
        <v>92</v>
      </c>
      <c r="AG542" s="4" t="s">
        <v>64</v>
      </c>
      <c r="AH542" s="3">
        <v>5</v>
      </c>
    </row>
    <row r="543" spans="1:34">
      <c r="A543" s="4" t="s">
        <v>1183</v>
      </c>
      <c r="B543" s="3">
        <v>46</v>
      </c>
      <c r="C543" s="9" t="str" cm="1">
        <f t="array" ref="C543">_xlfn.IFS(B543&gt;65,"+65",B543&gt;54,"55-65",B543&gt;44,"45-54",B543&gt;35,"36-44",B543&gt;25,"26-35",B543&gt;=18,"18-25")</f>
        <v>45-54</v>
      </c>
      <c r="D543" s="4" t="s">
        <v>66</v>
      </c>
      <c r="E543" s="4" t="s">
        <v>72</v>
      </c>
      <c r="F543" s="4" t="s">
        <v>67</v>
      </c>
      <c r="G543" s="4" t="s">
        <v>68</v>
      </c>
      <c r="H543" s="4" t="s">
        <v>1184</v>
      </c>
      <c r="I543" s="4" t="s">
        <v>234</v>
      </c>
      <c r="J543" s="5">
        <v>460.37</v>
      </c>
      <c r="K543" s="3">
        <v>10</v>
      </c>
      <c r="L543" s="4" t="str">
        <f>IF(AND(J543&gt;350,K543&gt;6), "True","False")</f>
        <v>True</v>
      </c>
      <c r="M543" s="4" t="s">
        <v>56</v>
      </c>
      <c r="N543" s="3">
        <v>5</v>
      </c>
      <c r="O543" s="4" t="str" cm="1">
        <f t="array" ref="O543">_xlfn.IFS(P543&lt;=2,"Poor",P543=3,"Average",P543&gt;=4,"Good")</f>
        <v>Good</v>
      </c>
      <c r="P543" s="3">
        <v>4</v>
      </c>
      <c r="Q543" s="2">
        <v>2</v>
      </c>
      <c r="R543" s="4" t="s">
        <v>59</v>
      </c>
      <c r="S543" s="4" t="s">
        <v>73</v>
      </c>
      <c r="T543" s="3">
        <v>2</v>
      </c>
      <c r="U543" s="4" t="str" cm="1">
        <f t="array" ref="U543">_xlfn.IFS(V543&lt;=4, "Dissatisfied",V543&lt;=7,"Neutral",V543&gt;=8,"Satisfied")</f>
        <v>Neutral</v>
      </c>
      <c r="V543" s="3">
        <v>7</v>
      </c>
      <c r="W543" s="4" t="s">
        <v>72</v>
      </c>
      <c r="X543" s="4" t="s">
        <v>101</v>
      </c>
      <c r="Y543" s="4" t="s">
        <v>119</v>
      </c>
      <c r="Z543" s="1">
        <v>45486</v>
      </c>
      <c r="AA543" s="4" t="str" cm="1">
        <f t="array" ref="AA543">_xlfn.IFS(OR(AB543="December", AB543="February", AB543="January"), "Winter", OR(AB543="March", AB543="April", AB543="May"), "Spring", OR(AB543="June", AB543="July", AB543="August"), "Summer", TRUE, "Autumn")</f>
        <v>Summer</v>
      </c>
      <c r="AB543" s="7" t="str">
        <f>TEXT(Z543, "mmmm")</f>
        <v>July</v>
      </c>
      <c r="AC543" s="1" t="str">
        <f>TEXT(Z543, "dddd")</f>
        <v>Saturday</v>
      </c>
      <c r="AD543" s="4" t="s">
        <v>62</v>
      </c>
      <c r="AE543" s="4" t="s">
        <v>62</v>
      </c>
      <c r="AF543" s="4" t="s">
        <v>102</v>
      </c>
      <c r="AG543" s="4" t="s">
        <v>93</v>
      </c>
      <c r="AH543" s="3">
        <v>12</v>
      </c>
    </row>
    <row r="544" spans="1:34">
      <c r="A544" s="4" t="s">
        <v>1185</v>
      </c>
      <c r="B544" s="3">
        <v>42</v>
      </c>
      <c r="C544" s="9" t="str" cm="1">
        <f t="array" ref="C544">_xlfn.IFS(B544&gt;65,"+65",B544&gt;54,"55-65",B544&gt;44,"45-54",B544&gt;35,"36-44",B544&gt;25,"26-35",B544&gt;=18,"18-25")</f>
        <v>36-44</v>
      </c>
      <c r="D544" s="4" t="s">
        <v>78</v>
      </c>
      <c r="E544" s="4" t="s">
        <v>72</v>
      </c>
      <c r="F544" s="4" t="s">
        <v>67</v>
      </c>
      <c r="G544" s="4" t="s">
        <v>53</v>
      </c>
      <c r="H544" s="4" t="s">
        <v>1186</v>
      </c>
      <c r="I544" s="4" t="s">
        <v>55</v>
      </c>
      <c r="J544" s="5">
        <v>164.27</v>
      </c>
      <c r="K544" s="3">
        <v>6</v>
      </c>
      <c r="L544" s="4" t="str">
        <f>IF(AND(J544&gt;350,K544&gt;6), "True","False")</f>
        <v>False</v>
      </c>
      <c r="M544" s="4" t="s">
        <v>56</v>
      </c>
      <c r="N544" s="3">
        <v>5</v>
      </c>
      <c r="O544" s="4" t="str" cm="1">
        <f t="array" ref="O544">_xlfn.IFS(P544&lt;=2,"Poor",P544=3,"Average",P544&gt;=4,"Good")</f>
        <v>Average</v>
      </c>
      <c r="P544" s="3">
        <v>3</v>
      </c>
      <c r="Q544" s="2">
        <v>2</v>
      </c>
      <c r="R544" s="4" t="s">
        <v>72</v>
      </c>
      <c r="S544" s="4" t="s">
        <v>58</v>
      </c>
      <c r="T544" s="3">
        <v>2</v>
      </c>
      <c r="U544" s="4" t="str" cm="1">
        <f t="array" ref="U544">_xlfn.IFS(V544&lt;=4, "Dissatisfied",V544&lt;=7,"Neutral",V544&gt;=8,"Satisfied")</f>
        <v>Neutral</v>
      </c>
      <c r="V544" s="3">
        <v>7</v>
      </c>
      <c r="W544" s="4" t="s">
        <v>59</v>
      </c>
      <c r="X544" s="4" t="s">
        <v>101</v>
      </c>
      <c r="Y544" s="4" t="s">
        <v>86</v>
      </c>
      <c r="Z544" s="1">
        <v>45486</v>
      </c>
      <c r="AA544" s="4" t="str" cm="1">
        <f t="array" ref="AA544">_xlfn.IFS(OR(AB544="December", AB544="February", AB544="January"), "Winter", OR(AB544="March", AB544="April", AB544="May"), "Spring", OR(AB544="June", AB544="July", AB544="August"), "Summer", TRUE, "Autumn")</f>
        <v>Summer</v>
      </c>
      <c r="AB544" s="7" t="str">
        <f>TEXT(Z544, "mmmm")</f>
        <v>July</v>
      </c>
      <c r="AC544" s="1" t="str">
        <f>TEXT(Z544, "dddd")</f>
        <v>Saturday</v>
      </c>
      <c r="AD544" s="4" t="s">
        <v>62</v>
      </c>
      <c r="AE544" s="4" t="s">
        <v>76</v>
      </c>
      <c r="AF544" s="4" t="s">
        <v>102</v>
      </c>
      <c r="AG544" s="4" t="s">
        <v>88</v>
      </c>
      <c r="AH544" s="3">
        <v>14</v>
      </c>
    </row>
    <row r="545" spans="1:34">
      <c r="A545" s="4" t="s">
        <v>1187</v>
      </c>
      <c r="B545" s="3">
        <v>26</v>
      </c>
      <c r="C545" s="9" t="str" cm="1">
        <f t="array" ref="C545">_xlfn.IFS(B545&gt;65,"+65",B545&gt;54,"55-65",B545&gt;44,"45-54",B545&gt;35,"36-44",B545&gt;25,"26-35",B545&gt;=18,"18-25")</f>
        <v>26-35</v>
      </c>
      <c r="D545" s="4" t="s">
        <v>78</v>
      </c>
      <c r="E545" s="4" t="s">
        <v>72</v>
      </c>
      <c r="F545" s="4" t="s">
        <v>52</v>
      </c>
      <c r="G545" s="4" t="s">
        <v>80</v>
      </c>
      <c r="H545" s="4" t="s">
        <v>1188</v>
      </c>
      <c r="I545" s="4" t="s">
        <v>223</v>
      </c>
      <c r="J545" s="5">
        <v>227.58</v>
      </c>
      <c r="K545" s="3">
        <v>5</v>
      </c>
      <c r="L545" s="4" t="str">
        <f>IF(AND(J545&gt;350,K545&gt;6), "True","False")</f>
        <v>False</v>
      </c>
      <c r="M545" s="4" t="s">
        <v>56</v>
      </c>
      <c r="N545" s="3">
        <v>4</v>
      </c>
      <c r="O545" s="4" t="str" cm="1">
        <f t="array" ref="O545">_xlfn.IFS(P545&lt;=2,"Poor",P545=3,"Average",P545&gt;=4,"Good")</f>
        <v>Poor</v>
      </c>
      <c r="P545" s="3">
        <v>2</v>
      </c>
      <c r="Q545" s="2">
        <v>1</v>
      </c>
      <c r="R545" s="4" t="s">
        <v>72</v>
      </c>
      <c r="S545" s="4" t="s">
        <v>58</v>
      </c>
      <c r="T545" s="3">
        <v>0</v>
      </c>
      <c r="U545" s="4" t="str" cm="1">
        <f t="array" ref="U545">_xlfn.IFS(V545&lt;=4, "Dissatisfied",V545&lt;=7,"Neutral",V545&gt;=8,"Satisfied")</f>
        <v>Dissatisfied</v>
      </c>
      <c r="V545" s="3">
        <v>1</v>
      </c>
      <c r="W545" s="4" t="s">
        <v>59</v>
      </c>
      <c r="X545" s="4" t="s">
        <v>74</v>
      </c>
      <c r="Y545" s="4" t="s">
        <v>119</v>
      </c>
      <c r="Z545" s="1">
        <v>45486</v>
      </c>
      <c r="AA545" s="4" t="str" cm="1">
        <f t="array" ref="AA545">_xlfn.IFS(OR(AB545="December", AB545="February", AB545="January"), "Winter", OR(AB545="March", AB545="April", AB545="May"), "Spring", OR(AB545="June", AB545="July", AB545="August"), "Summer", TRUE, "Autumn")</f>
        <v>Summer</v>
      </c>
      <c r="AB545" s="7" t="str">
        <f>TEXT(Z545, "mmmm")</f>
        <v>July</v>
      </c>
      <c r="AC545" s="1" t="str">
        <f>TEXT(Z545, "dddd")</f>
        <v>Saturday</v>
      </c>
      <c r="AD545" s="4" t="s">
        <v>62</v>
      </c>
      <c r="AE545" s="4" t="s">
        <v>76</v>
      </c>
      <c r="AF545" s="4" t="s">
        <v>63</v>
      </c>
      <c r="AG545" s="4" t="s">
        <v>88</v>
      </c>
      <c r="AH545" s="3">
        <v>11</v>
      </c>
    </row>
    <row r="546" spans="1:34">
      <c r="A546" s="4" t="s">
        <v>1189</v>
      </c>
      <c r="B546" s="3">
        <v>20</v>
      </c>
      <c r="C546" s="9" t="str" cm="1">
        <f t="array" ref="C546">_xlfn.IFS(B546&gt;65,"+65",B546&gt;54,"55-65",B546&gt;44,"45-54",B546&gt;35,"36-44",B546&gt;25,"26-35",B546&gt;=18,"18-25")</f>
        <v>18-25</v>
      </c>
      <c r="D546" s="4" t="s">
        <v>66</v>
      </c>
      <c r="E546" s="4" t="s">
        <v>51</v>
      </c>
      <c r="F546" s="4" t="s">
        <v>79</v>
      </c>
      <c r="G546" s="4" t="s">
        <v>80</v>
      </c>
      <c r="H546" s="4" t="s">
        <v>1190</v>
      </c>
      <c r="I546" s="4" t="s">
        <v>164</v>
      </c>
      <c r="J546" s="5">
        <v>238.01</v>
      </c>
      <c r="K546" s="3">
        <v>8</v>
      </c>
      <c r="L546" s="4" t="str">
        <f>IF(AND(J546&gt;350,K546&gt;6), "True","False")</f>
        <v>False</v>
      </c>
      <c r="M546" s="4" t="s">
        <v>71</v>
      </c>
      <c r="N546" s="3">
        <v>2</v>
      </c>
      <c r="O546" s="4" t="str" cm="1">
        <f t="array" ref="O546">_xlfn.IFS(P546&lt;=2,"Poor",P546=3,"Average",P546&gt;=4,"Good")</f>
        <v>Poor</v>
      </c>
      <c r="P546" s="3">
        <v>2</v>
      </c>
      <c r="Q546" s="2">
        <v>0</v>
      </c>
      <c r="R546" s="4" t="s">
        <v>72</v>
      </c>
      <c r="S546" s="4" t="s">
        <v>84</v>
      </c>
      <c r="T546" s="3">
        <v>0</v>
      </c>
      <c r="U546" s="4" t="str" cm="1">
        <f t="array" ref="U546">_xlfn.IFS(V546&lt;=4, "Dissatisfied",V546&lt;=7,"Neutral",V546&gt;=8,"Satisfied")</f>
        <v>Satisfied</v>
      </c>
      <c r="V546" s="3">
        <v>9</v>
      </c>
      <c r="W546" s="4" t="s">
        <v>59</v>
      </c>
      <c r="X546" s="4" t="s">
        <v>101</v>
      </c>
      <c r="Y546" s="4" t="s">
        <v>61</v>
      </c>
      <c r="Z546" s="1">
        <v>45486</v>
      </c>
      <c r="AA546" s="4" t="str" cm="1">
        <f t="array" ref="AA546">_xlfn.IFS(OR(AB546="December", AB546="February", AB546="January"), "Winter", OR(AB546="March", AB546="April", AB546="May"), "Spring", OR(AB546="June", AB546="July", AB546="August"), "Summer", TRUE, "Autumn")</f>
        <v>Summer</v>
      </c>
      <c r="AB546" s="7" t="str">
        <f>TEXT(Z546, "mmmm")</f>
        <v>July</v>
      </c>
      <c r="AC546" s="1" t="str">
        <f>TEXT(Z546, "dddd")</f>
        <v>Saturday</v>
      </c>
      <c r="AD546" s="4" t="s">
        <v>76</v>
      </c>
      <c r="AE546" s="4" t="s">
        <v>62</v>
      </c>
      <c r="AF546" s="4" t="s">
        <v>63</v>
      </c>
      <c r="AG546" s="4" t="s">
        <v>64</v>
      </c>
      <c r="AH546" s="3">
        <v>5</v>
      </c>
    </row>
    <row r="547" spans="1:34">
      <c r="A547" s="4" t="s">
        <v>1191</v>
      </c>
      <c r="B547" s="3">
        <v>42</v>
      </c>
      <c r="C547" s="9" t="str" cm="1">
        <f t="array" ref="C547">_xlfn.IFS(B547&gt;65,"+65",B547&gt;54,"55-65",B547&gt;44,"45-54",B547&gt;35,"36-44",B547&gt;25,"26-35",B547&gt;=18,"18-25")</f>
        <v>36-44</v>
      </c>
      <c r="D547" s="4" t="s">
        <v>66</v>
      </c>
      <c r="E547" s="4" t="s">
        <v>51</v>
      </c>
      <c r="F547" s="4" t="s">
        <v>67</v>
      </c>
      <c r="G547" s="4" t="s">
        <v>68</v>
      </c>
      <c r="H547" s="4" t="s">
        <v>1192</v>
      </c>
      <c r="I547" s="4" t="s">
        <v>164</v>
      </c>
      <c r="J547" s="5">
        <v>138.35</v>
      </c>
      <c r="K547" s="3">
        <v>2</v>
      </c>
      <c r="L547" s="4" t="str">
        <f>IF(AND(J547&gt;350,K547&gt;6), "True","False")</f>
        <v>False</v>
      </c>
      <c r="M547" s="4" t="s">
        <v>56</v>
      </c>
      <c r="N547" s="3">
        <v>4</v>
      </c>
      <c r="O547" s="4" t="str" cm="1">
        <f t="array" ref="O547">_xlfn.IFS(P547&lt;=2,"Poor",P547=3,"Average",P547&gt;=4,"Good")</f>
        <v>Good</v>
      </c>
      <c r="P547" s="3">
        <v>5</v>
      </c>
      <c r="Q547" s="2">
        <v>2</v>
      </c>
      <c r="R547" s="4" t="s">
        <v>59</v>
      </c>
      <c r="S547" s="4" t="s">
        <v>58</v>
      </c>
      <c r="T547" s="3">
        <v>0</v>
      </c>
      <c r="U547" s="4" t="str" cm="1">
        <f t="array" ref="U547">_xlfn.IFS(V547&lt;=4, "Dissatisfied",V547&lt;=7,"Neutral",V547&gt;=8,"Satisfied")</f>
        <v>Dissatisfied</v>
      </c>
      <c r="V547" s="3">
        <v>2</v>
      </c>
      <c r="W547" s="4" t="s">
        <v>59</v>
      </c>
      <c r="X547" s="4" t="s">
        <v>60</v>
      </c>
      <c r="Y547" s="4" t="s">
        <v>111</v>
      </c>
      <c r="Z547" s="1">
        <v>45487</v>
      </c>
      <c r="AA547" s="4" t="str" cm="1">
        <f t="array" ref="AA547">_xlfn.IFS(OR(AB547="December", AB547="February", AB547="January"), "Winter", OR(AB547="March", AB547="April", AB547="May"), "Spring", OR(AB547="June", AB547="July", AB547="August"), "Summer", TRUE, "Autumn")</f>
        <v>Summer</v>
      </c>
      <c r="AB547" s="7" t="str">
        <f>TEXT(Z547, "mmmm")</f>
        <v>July</v>
      </c>
      <c r="AC547" s="1" t="str">
        <f>TEXT(Z547, "dddd")</f>
        <v>Sunday</v>
      </c>
      <c r="AD547" s="4" t="s">
        <v>62</v>
      </c>
      <c r="AE547" s="4" t="s">
        <v>62</v>
      </c>
      <c r="AF547" s="4" t="s">
        <v>102</v>
      </c>
      <c r="AG547" s="4" t="s">
        <v>88</v>
      </c>
      <c r="AH547" s="3">
        <v>8</v>
      </c>
    </row>
    <row r="548" spans="1:34">
      <c r="A548" s="4" t="s">
        <v>1193</v>
      </c>
      <c r="B548" s="3">
        <v>27</v>
      </c>
      <c r="C548" s="9" t="str" cm="1">
        <f t="array" ref="C548">_xlfn.IFS(B548&gt;65,"+65",B548&gt;54,"55-65",B548&gt;44,"45-54",B548&gt;35,"36-44",B548&gt;25,"26-35",B548&gt;=18,"18-25")</f>
        <v>26-35</v>
      </c>
      <c r="D548" s="4" t="s">
        <v>78</v>
      </c>
      <c r="E548" s="4" t="s">
        <v>51</v>
      </c>
      <c r="F548" s="4" t="s">
        <v>95</v>
      </c>
      <c r="G548" s="4" t="s">
        <v>80</v>
      </c>
      <c r="H548" s="4" t="s">
        <v>954</v>
      </c>
      <c r="I548" s="4" t="s">
        <v>146</v>
      </c>
      <c r="J548" s="5">
        <v>53.45</v>
      </c>
      <c r="K548" s="3">
        <v>6</v>
      </c>
      <c r="L548" s="4" t="str">
        <f>IF(AND(J548&gt;350,K548&gt;6), "True","False")</f>
        <v>False</v>
      </c>
      <c r="M548" s="4" t="s">
        <v>83</v>
      </c>
      <c r="N548" s="3">
        <v>2</v>
      </c>
      <c r="O548" s="4" t="str" cm="1">
        <f t="array" ref="O548">_xlfn.IFS(P548&lt;=2,"Poor",P548=3,"Average",P548&gt;=4,"Good")</f>
        <v>Average</v>
      </c>
      <c r="P548" s="3">
        <v>3</v>
      </c>
      <c r="Q548" s="2">
        <v>1</v>
      </c>
      <c r="R548" s="4" t="s">
        <v>72</v>
      </c>
      <c r="S548" s="4" t="s">
        <v>84</v>
      </c>
      <c r="T548" s="3">
        <v>1</v>
      </c>
      <c r="U548" s="4" t="str" cm="1">
        <f t="array" ref="U548">_xlfn.IFS(V548&lt;=4, "Dissatisfied",V548&lt;=7,"Neutral",V548&gt;=8,"Satisfied")</f>
        <v>Satisfied</v>
      </c>
      <c r="V548" s="3">
        <v>9</v>
      </c>
      <c r="W548" s="4" t="s">
        <v>72</v>
      </c>
      <c r="X548" s="4" t="s">
        <v>74</v>
      </c>
      <c r="Y548" s="4" t="s">
        <v>75</v>
      </c>
      <c r="Z548" s="1">
        <v>45487</v>
      </c>
      <c r="AA548" s="4" t="str" cm="1">
        <f t="array" ref="AA548">_xlfn.IFS(OR(AB548="December", AB548="February", AB548="January"), "Winter", OR(AB548="March", AB548="April", AB548="May"), "Spring", OR(AB548="June", AB548="July", AB548="August"), "Summer", TRUE, "Autumn")</f>
        <v>Summer</v>
      </c>
      <c r="AB548" s="7" t="str">
        <f>TEXT(Z548, "mmmm")</f>
        <v>July</v>
      </c>
      <c r="AC548" s="1" t="str">
        <f>TEXT(Z548, "dddd")</f>
        <v>Sunday</v>
      </c>
      <c r="AD548" s="4" t="s">
        <v>76</v>
      </c>
      <c r="AE548" s="4" t="s">
        <v>76</v>
      </c>
      <c r="AF548" s="4" t="s">
        <v>63</v>
      </c>
      <c r="AG548" s="4" t="s">
        <v>64</v>
      </c>
      <c r="AH548" s="3">
        <v>11</v>
      </c>
    </row>
    <row r="549" spans="1:34">
      <c r="A549" s="4" t="s">
        <v>1194</v>
      </c>
      <c r="B549" s="3">
        <v>27</v>
      </c>
      <c r="C549" s="9" t="str" cm="1">
        <f t="array" ref="C549">_xlfn.IFS(B549&gt;65,"+65",B549&gt;54,"55-65",B549&gt;44,"45-54",B549&gt;35,"36-44",B549&gt;25,"26-35",B549&gt;=18,"18-25")</f>
        <v>26-35</v>
      </c>
      <c r="D549" s="4" t="s">
        <v>66</v>
      </c>
      <c r="E549" s="4" t="s">
        <v>72</v>
      </c>
      <c r="F549" s="4" t="s">
        <v>52</v>
      </c>
      <c r="G549" s="4" t="s">
        <v>68</v>
      </c>
      <c r="H549" s="4" t="s">
        <v>1195</v>
      </c>
      <c r="I549" s="4" t="s">
        <v>194</v>
      </c>
      <c r="J549" s="5">
        <v>199.44</v>
      </c>
      <c r="K549" s="3">
        <v>7</v>
      </c>
      <c r="L549" s="4" t="str">
        <f>IF(AND(J549&gt;350,K549&gt;6), "True","False")</f>
        <v>False</v>
      </c>
      <c r="M549" s="4" t="s">
        <v>56</v>
      </c>
      <c r="N549" s="3">
        <v>2</v>
      </c>
      <c r="O549" s="4" t="str" cm="1">
        <f t="array" ref="O549">_xlfn.IFS(P549&lt;=2,"Poor",P549=3,"Average",P549&gt;=4,"Good")</f>
        <v>Poor</v>
      </c>
      <c r="P549" s="3">
        <v>1</v>
      </c>
      <c r="Q549" s="2">
        <v>2</v>
      </c>
      <c r="R549" s="4" t="s">
        <v>57</v>
      </c>
      <c r="S549" s="4" t="s">
        <v>73</v>
      </c>
      <c r="T549" s="3">
        <v>0</v>
      </c>
      <c r="U549" s="4" t="str" cm="1">
        <f t="array" ref="U549">_xlfn.IFS(V549&lt;=4, "Dissatisfied",V549&lt;=7,"Neutral",V549&gt;=8,"Satisfied")</f>
        <v>Dissatisfied</v>
      </c>
      <c r="V549" s="3">
        <v>3</v>
      </c>
      <c r="W549" s="4" t="s">
        <v>57</v>
      </c>
      <c r="X549" s="4" t="s">
        <v>74</v>
      </c>
      <c r="Y549" s="4" t="s">
        <v>61</v>
      </c>
      <c r="Z549" s="1">
        <v>45487</v>
      </c>
      <c r="AA549" s="4" t="str" cm="1">
        <f t="array" ref="AA549">_xlfn.IFS(OR(AB549="December", AB549="February", AB549="January"), "Winter", OR(AB549="March", AB549="April", AB549="May"), "Spring", OR(AB549="June", AB549="July", AB549="August"), "Summer", TRUE, "Autumn")</f>
        <v>Summer</v>
      </c>
      <c r="AB549" s="7" t="str">
        <f>TEXT(Z549, "mmmm")</f>
        <v>July</v>
      </c>
      <c r="AC549" s="1" t="str">
        <f>TEXT(Z549, "dddd")</f>
        <v>Sunday</v>
      </c>
      <c r="AD549" s="4" t="s">
        <v>76</v>
      </c>
      <c r="AE549" s="4" t="s">
        <v>62</v>
      </c>
      <c r="AF549" s="4" t="s">
        <v>63</v>
      </c>
      <c r="AG549" s="4" t="s">
        <v>64</v>
      </c>
      <c r="AH549" s="3">
        <v>1</v>
      </c>
    </row>
    <row r="550" spans="1:34">
      <c r="A550" s="4" t="s">
        <v>1196</v>
      </c>
      <c r="B550" s="3">
        <v>44</v>
      </c>
      <c r="C550" s="9" t="str" cm="1">
        <f t="array" ref="C550">_xlfn.IFS(B550&gt;65,"+65",B550&gt;54,"55-65",B550&gt;44,"45-54",B550&gt;35,"36-44",B550&gt;25,"26-35",B550&gt;=18,"18-25")</f>
        <v>36-44</v>
      </c>
      <c r="D550" s="4" t="s">
        <v>456</v>
      </c>
      <c r="E550" s="4" t="s">
        <v>51</v>
      </c>
      <c r="F550" s="4" t="s">
        <v>52</v>
      </c>
      <c r="G550" s="4" t="s">
        <v>68</v>
      </c>
      <c r="H550" s="4" t="s">
        <v>1197</v>
      </c>
      <c r="I550" s="4" t="s">
        <v>91</v>
      </c>
      <c r="J550" s="5">
        <v>108.5</v>
      </c>
      <c r="K550" s="3">
        <v>11</v>
      </c>
      <c r="L550" s="4" t="str">
        <f>IF(AND(J550&gt;350,K550&gt;6), "True","False")</f>
        <v>False</v>
      </c>
      <c r="M550" s="4" t="s">
        <v>83</v>
      </c>
      <c r="N550" s="3">
        <v>5</v>
      </c>
      <c r="O550" s="4" t="str" cm="1">
        <f t="array" ref="O550">_xlfn.IFS(P550&lt;=2,"Poor",P550=3,"Average",P550&gt;=4,"Good")</f>
        <v>Good</v>
      </c>
      <c r="P550" s="3">
        <v>5</v>
      </c>
      <c r="Q550" s="2">
        <v>0</v>
      </c>
      <c r="R550" s="4" t="s">
        <v>57</v>
      </c>
      <c r="S550" s="4" t="s">
        <v>73</v>
      </c>
      <c r="T550" s="3">
        <v>1</v>
      </c>
      <c r="U550" s="4" t="str" cm="1">
        <f t="array" ref="U550">_xlfn.IFS(V550&lt;=4, "Dissatisfied",V550&lt;=7,"Neutral",V550&gt;=8,"Satisfied")</f>
        <v>Dissatisfied</v>
      </c>
      <c r="V550" s="3">
        <v>2</v>
      </c>
      <c r="W550" s="4" t="s">
        <v>85</v>
      </c>
      <c r="X550" s="4" t="s">
        <v>60</v>
      </c>
      <c r="Y550" s="4" t="s">
        <v>86</v>
      </c>
      <c r="Z550" s="1">
        <v>45489</v>
      </c>
      <c r="AA550" s="4" t="str" cm="1">
        <f t="array" ref="AA550">_xlfn.IFS(OR(AB550="December", AB550="February", AB550="January"), "Winter", OR(AB550="March", AB550="April", AB550="May"), "Spring", OR(AB550="June", AB550="July", AB550="August"), "Summer", TRUE, "Autumn")</f>
        <v>Summer</v>
      </c>
      <c r="AB550" s="7" t="str">
        <f>TEXT(Z550, "mmmm")</f>
        <v>July</v>
      </c>
      <c r="AC550" s="1" t="str">
        <f>TEXT(Z550, "dddd")</f>
        <v>Tuesday</v>
      </c>
      <c r="AD550" s="4" t="s">
        <v>76</v>
      </c>
      <c r="AE550" s="4" t="s">
        <v>76</v>
      </c>
      <c r="AF550" s="4" t="s">
        <v>102</v>
      </c>
      <c r="AG550" s="4" t="s">
        <v>88</v>
      </c>
      <c r="AH550" s="3">
        <v>10</v>
      </c>
    </row>
    <row r="551" spans="1:34">
      <c r="A551" s="4" t="s">
        <v>1198</v>
      </c>
      <c r="B551" s="3">
        <v>32</v>
      </c>
      <c r="C551" s="9" t="str" cm="1">
        <f t="array" ref="C551">_xlfn.IFS(B551&gt;65,"+65",B551&gt;54,"55-65",B551&gt;44,"45-54",B551&gt;35,"36-44",B551&gt;25,"26-35",B551&gt;=18,"18-25")</f>
        <v>26-35</v>
      </c>
      <c r="D551" s="4" t="s">
        <v>66</v>
      </c>
      <c r="E551" s="4" t="s">
        <v>72</v>
      </c>
      <c r="F551" s="4" t="s">
        <v>67</v>
      </c>
      <c r="G551" s="4" t="s">
        <v>80</v>
      </c>
      <c r="H551" s="4" t="s">
        <v>1199</v>
      </c>
      <c r="I551" s="4" t="s">
        <v>172</v>
      </c>
      <c r="J551" s="5">
        <v>79.81</v>
      </c>
      <c r="K551" s="3">
        <v>4</v>
      </c>
      <c r="L551" s="4" t="str">
        <f>IF(AND(J551&gt;350,K551&gt;6), "True","False")</f>
        <v>False</v>
      </c>
      <c r="M551" s="4" t="s">
        <v>83</v>
      </c>
      <c r="N551" s="3">
        <v>5</v>
      </c>
      <c r="O551" s="4" t="str" cm="1">
        <f t="array" ref="O551">_xlfn.IFS(P551&lt;=2,"Poor",P551=3,"Average",P551&gt;=4,"Good")</f>
        <v>Good</v>
      </c>
      <c r="P551" s="3">
        <v>5</v>
      </c>
      <c r="Q551" s="2">
        <v>0</v>
      </c>
      <c r="R551" s="4" t="s">
        <v>72</v>
      </c>
      <c r="S551" s="4" t="s">
        <v>58</v>
      </c>
      <c r="T551" s="3">
        <v>0</v>
      </c>
      <c r="U551" s="4" t="str" cm="1">
        <f t="array" ref="U551">_xlfn.IFS(V551&lt;=4, "Dissatisfied",V551&lt;=7,"Neutral",V551&gt;=8,"Satisfied")</f>
        <v>Satisfied</v>
      </c>
      <c r="V551" s="3">
        <v>9</v>
      </c>
      <c r="W551" s="4" t="s">
        <v>72</v>
      </c>
      <c r="X551" s="4" t="s">
        <v>60</v>
      </c>
      <c r="Y551" s="4" t="s">
        <v>75</v>
      </c>
      <c r="Z551" s="1">
        <v>45489</v>
      </c>
      <c r="AA551" s="4" t="str" cm="1">
        <f t="array" ref="AA551">_xlfn.IFS(OR(AB551="December", AB551="February", AB551="January"), "Winter", OR(AB551="March", AB551="April", AB551="May"), "Spring", OR(AB551="June", AB551="July", AB551="August"), "Summer", TRUE, "Autumn")</f>
        <v>Summer</v>
      </c>
      <c r="AB551" s="7" t="str">
        <f>TEXT(Z551, "mmmm")</f>
        <v>July</v>
      </c>
      <c r="AC551" s="1" t="str">
        <f>TEXT(Z551, "dddd")</f>
        <v>Tuesday</v>
      </c>
      <c r="AD551" s="4" t="s">
        <v>76</v>
      </c>
      <c r="AE551" s="4" t="s">
        <v>62</v>
      </c>
      <c r="AF551" s="4" t="s">
        <v>102</v>
      </c>
      <c r="AG551" s="4" t="s">
        <v>64</v>
      </c>
      <c r="AH551" s="3">
        <v>14</v>
      </c>
    </row>
    <row r="552" spans="1:34">
      <c r="A552" s="4" t="s">
        <v>1200</v>
      </c>
      <c r="B552" s="3">
        <v>31</v>
      </c>
      <c r="C552" s="9" t="str" cm="1">
        <f t="array" ref="C552">_xlfn.IFS(B552&gt;65,"+65",B552&gt;54,"55-65",B552&gt;44,"45-54",B552&gt;35,"36-44",B552&gt;25,"26-35",B552&gt;=18,"18-25")</f>
        <v>26-35</v>
      </c>
      <c r="D552" s="4" t="s">
        <v>78</v>
      </c>
      <c r="E552" s="4" t="s">
        <v>72</v>
      </c>
      <c r="F552" s="4" t="s">
        <v>95</v>
      </c>
      <c r="G552" s="4" t="s">
        <v>68</v>
      </c>
      <c r="H552" s="4" t="s">
        <v>1201</v>
      </c>
      <c r="I552" s="4" t="s">
        <v>97</v>
      </c>
      <c r="J552" s="5">
        <v>178.04</v>
      </c>
      <c r="K552" s="3">
        <v>5</v>
      </c>
      <c r="L552" s="4" t="str">
        <f>IF(AND(J552&gt;350,K552&gt;6), "True","False")</f>
        <v>False</v>
      </c>
      <c r="M552" s="4" t="s">
        <v>71</v>
      </c>
      <c r="N552" s="3">
        <v>5</v>
      </c>
      <c r="O552" s="4" t="str" cm="1">
        <f t="array" ref="O552">_xlfn.IFS(P552&lt;=2,"Poor",P552=3,"Average",P552&gt;=4,"Good")</f>
        <v>Poor</v>
      </c>
      <c r="P552" s="3">
        <v>1</v>
      </c>
      <c r="Q552" s="2">
        <v>2</v>
      </c>
      <c r="R552" s="4" t="s">
        <v>85</v>
      </c>
      <c r="S552" s="4" t="s">
        <v>84</v>
      </c>
      <c r="T552" s="3">
        <v>0</v>
      </c>
      <c r="U552" s="4" t="str" cm="1">
        <f t="array" ref="U552">_xlfn.IFS(V552&lt;=4, "Dissatisfied",V552&lt;=7,"Neutral",V552&gt;=8,"Satisfied")</f>
        <v>Neutral</v>
      </c>
      <c r="V552" s="3">
        <v>5</v>
      </c>
      <c r="W552" s="4" t="s">
        <v>72</v>
      </c>
      <c r="X552" s="4" t="s">
        <v>74</v>
      </c>
      <c r="Y552" s="4" t="s">
        <v>119</v>
      </c>
      <c r="Z552" s="1">
        <v>45489</v>
      </c>
      <c r="AA552" s="4" t="str" cm="1">
        <f t="array" ref="AA552">_xlfn.IFS(OR(AB552="December", AB552="February", AB552="January"), "Winter", OR(AB552="March", AB552="April", AB552="May"), "Spring", OR(AB552="June", AB552="July", AB552="August"), "Summer", TRUE, "Autumn")</f>
        <v>Summer</v>
      </c>
      <c r="AB552" s="7" t="str">
        <f>TEXT(Z552, "mmmm")</f>
        <v>July</v>
      </c>
      <c r="AC552" s="1" t="str">
        <f>TEXT(Z552, "dddd")</f>
        <v>Tuesday</v>
      </c>
      <c r="AD552" s="4" t="s">
        <v>76</v>
      </c>
      <c r="AE552" s="4" t="s">
        <v>76</v>
      </c>
      <c r="AF552" s="4" t="s">
        <v>63</v>
      </c>
      <c r="AG552" s="4" t="s">
        <v>88</v>
      </c>
      <c r="AH552" s="3">
        <v>12</v>
      </c>
    </row>
    <row r="553" spans="1:34">
      <c r="A553" s="4" t="s">
        <v>1202</v>
      </c>
      <c r="B553" s="3">
        <v>29</v>
      </c>
      <c r="C553" s="9" t="str" cm="1">
        <f t="array" ref="C553">_xlfn.IFS(B553&gt;65,"+65",B553&gt;54,"55-65",B553&gt;44,"45-54",B553&gt;35,"36-44",B553&gt;25,"26-35",B553&gt;=18,"18-25")</f>
        <v>26-35</v>
      </c>
      <c r="D553" s="4" t="s">
        <v>66</v>
      </c>
      <c r="E553" s="4" t="s">
        <v>51</v>
      </c>
      <c r="F553" s="4" t="s">
        <v>79</v>
      </c>
      <c r="G553" s="4" t="s">
        <v>68</v>
      </c>
      <c r="H553" s="4" t="s">
        <v>1203</v>
      </c>
      <c r="I553" s="4" t="s">
        <v>100</v>
      </c>
      <c r="J553" s="5">
        <v>408.81</v>
      </c>
      <c r="K553" s="3">
        <v>8</v>
      </c>
      <c r="L553" s="4" t="str">
        <f>IF(AND(J553&gt;350,K553&gt;6), "True","False")</f>
        <v>True</v>
      </c>
      <c r="M553" s="4" t="s">
        <v>83</v>
      </c>
      <c r="N553" s="3">
        <v>5</v>
      </c>
      <c r="O553" s="4" t="str" cm="1">
        <f t="array" ref="O553">_xlfn.IFS(P553&lt;=2,"Poor",P553=3,"Average",P553&gt;=4,"Good")</f>
        <v>Good</v>
      </c>
      <c r="P553" s="3">
        <v>4</v>
      </c>
      <c r="Q553" s="2">
        <v>2</v>
      </c>
      <c r="R553" s="4" t="s">
        <v>59</v>
      </c>
      <c r="S553" s="4" t="s">
        <v>73</v>
      </c>
      <c r="T553" s="3">
        <v>1</v>
      </c>
      <c r="U553" s="4" t="str" cm="1">
        <f t="array" ref="U553">_xlfn.IFS(V553&lt;=4, "Dissatisfied",V553&lt;=7,"Neutral",V553&gt;=8,"Satisfied")</f>
        <v>Dissatisfied</v>
      </c>
      <c r="V553" s="3">
        <v>3</v>
      </c>
      <c r="W553" s="4" t="s">
        <v>85</v>
      </c>
      <c r="X553" s="4" t="s">
        <v>101</v>
      </c>
      <c r="Y553" s="4" t="s">
        <v>75</v>
      </c>
      <c r="Z553" s="1">
        <v>45489</v>
      </c>
      <c r="AA553" s="4" t="str" cm="1">
        <f t="array" ref="AA553">_xlfn.IFS(OR(AB553="December", AB553="February", AB553="January"), "Winter", OR(AB553="March", AB553="April", AB553="May"), "Spring", OR(AB553="June", AB553="July", AB553="August"), "Summer", TRUE, "Autumn")</f>
        <v>Summer</v>
      </c>
      <c r="AB553" s="7" t="str">
        <f>TEXT(Z553, "mmmm")</f>
        <v>July</v>
      </c>
      <c r="AC553" s="1" t="str">
        <f>TEXT(Z553, "dddd")</f>
        <v>Tuesday</v>
      </c>
      <c r="AD553" s="4" t="s">
        <v>76</v>
      </c>
      <c r="AE553" s="4" t="s">
        <v>62</v>
      </c>
      <c r="AF553" s="4" t="s">
        <v>102</v>
      </c>
      <c r="AG553" s="4" t="s">
        <v>93</v>
      </c>
      <c r="AH553" s="3">
        <v>12</v>
      </c>
    </row>
    <row r="554" spans="1:34">
      <c r="A554" s="4" t="s">
        <v>1204</v>
      </c>
      <c r="B554" s="3">
        <v>23</v>
      </c>
      <c r="C554" s="9" t="str" cm="1">
        <f t="array" ref="C554">_xlfn.IFS(B554&gt;65,"+65",B554&gt;54,"55-65",B554&gt;44,"45-54",B554&gt;35,"36-44",B554&gt;25,"26-35",B554&gt;=18,"18-25")</f>
        <v>18-25</v>
      </c>
      <c r="D554" s="4" t="s">
        <v>66</v>
      </c>
      <c r="E554" s="4" t="s">
        <v>51</v>
      </c>
      <c r="F554" s="4" t="s">
        <v>95</v>
      </c>
      <c r="G554" s="4" t="s">
        <v>68</v>
      </c>
      <c r="H554" s="4" t="s">
        <v>1205</v>
      </c>
      <c r="I554" s="4" t="s">
        <v>70</v>
      </c>
      <c r="J554" s="5">
        <v>414.83</v>
      </c>
      <c r="K554" s="3">
        <v>2</v>
      </c>
      <c r="L554" s="4" t="str">
        <f>IF(AND(J554&gt;350,K554&gt;6), "True","False")</f>
        <v>False</v>
      </c>
      <c r="M554" s="4" t="s">
        <v>83</v>
      </c>
      <c r="N554" s="3">
        <v>2</v>
      </c>
      <c r="O554" s="4" t="str" cm="1">
        <f t="array" ref="O554">_xlfn.IFS(P554&lt;=2,"Poor",P554=3,"Average",P554&gt;=4,"Good")</f>
        <v>Good</v>
      </c>
      <c r="P554" s="3">
        <v>4</v>
      </c>
      <c r="Q554" s="2">
        <v>0.5</v>
      </c>
      <c r="R554" s="4" t="s">
        <v>72</v>
      </c>
      <c r="S554" s="4" t="s">
        <v>84</v>
      </c>
      <c r="T554" s="3">
        <v>2</v>
      </c>
      <c r="U554" s="4" t="str" cm="1">
        <f t="array" ref="U554">_xlfn.IFS(V554&lt;=4, "Dissatisfied",V554&lt;=7,"Neutral",V554&gt;=8,"Satisfied")</f>
        <v>Dissatisfied</v>
      </c>
      <c r="V554" s="3">
        <v>4</v>
      </c>
      <c r="W554" s="4" t="s">
        <v>72</v>
      </c>
      <c r="X554" s="4" t="s">
        <v>101</v>
      </c>
      <c r="Y554" s="4" t="s">
        <v>119</v>
      </c>
      <c r="Z554" s="1">
        <v>45489</v>
      </c>
      <c r="AA554" s="4" t="str" cm="1">
        <f t="array" ref="AA554">_xlfn.IFS(OR(AB554="December", AB554="February", AB554="January"), "Winter", OR(AB554="March", AB554="April", AB554="May"), "Spring", OR(AB554="June", AB554="July", AB554="August"), "Summer", TRUE, "Autumn")</f>
        <v>Summer</v>
      </c>
      <c r="AB554" s="7" t="str">
        <f>TEXT(Z554, "mmmm")</f>
        <v>July</v>
      </c>
      <c r="AC554" s="1" t="str">
        <f>TEXT(Z554, "dddd")</f>
        <v>Tuesday</v>
      </c>
      <c r="AD554" s="4" t="s">
        <v>76</v>
      </c>
      <c r="AE554" s="4" t="s">
        <v>76</v>
      </c>
      <c r="AF554" s="4" t="s">
        <v>87</v>
      </c>
      <c r="AG554" s="4" t="s">
        <v>93</v>
      </c>
      <c r="AH554" s="3">
        <v>8</v>
      </c>
    </row>
    <row r="555" spans="1:34">
      <c r="A555" s="4" t="s">
        <v>1206</v>
      </c>
      <c r="B555" s="3">
        <v>47</v>
      </c>
      <c r="C555" s="9" t="str" cm="1">
        <f t="array" ref="C555">_xlfn.IFS(B555&gt;65,"+65",B555&gt;54,"55-65",B555&gt;44,"45-54",B555&gt;35,"36-44",B555&gt;25,"26-35",B555&gt;=18,"18-25")</f>
        <v>45-54</v>
      </c>
      <c r="D555" s="4" t="s">
        <v>78</v>
      </c>
      <c r="E555" s="4" t="s">
        <v>72</v>
      </c>
      <c r="F555" s="4" t="s">
        <v>95</v>
      </c>
      <c r="G555" s="4" t="s">
        <v>53</v>
      </c>
      <c r="H555" s="4" t="s">
        <v>1207</v>
      </c>
      <c r="I555" s="4" t="s">
        <v>97</v>
      </c>
      <c r="J555" s="5">
        <v>396.76</v>
      </c>
      <c r="K555" s="3">
        <v>8</v>
      </c>
      <c r="L555" s="4" t="str">
        <f>IF(AND(J555&gt;350,K555&gt;6), "True","False")</f>
        <v>True</v>
      </c>
      <c r="M555" s="4" t="s">
        <v>56</v>
      </c>
      <c r="N555" s="3">
        <v>3</v>
      </c>
      <c r="O555" s="4" t="str" cm="1">
        <f t="array" ref="O555">_xlfn.IFS(P555&lt;=2,"Poor",P555=3,"Average",P555&gt;=4,"Good")</f>
        <v>Average</v>
      </c>
      <c r="P555" s="3">
        <v>3</v>
      </c>
      <c r="Q555" s="2">
        <v>1</v>
      </c>
      <c r="R555" s="4" t="s">
        <v>57</v>
      </c>
      <c r="S555" s="4" t="s">
        <v>73</v>
      </c>
      <c r="T555" s="3">
        <v>2</v>
      </c>
      <c r="U555" s="4" t="str" cm="1">
        <f t="array" ref="U555">_xlfn.IFS(V555&lt;=4, "Dissatisfied",V555&lt;=7,"Neutral",V555&gt;=8,"Satisfied")</f>
        <v>Dissatisfied</v>
      </c>
      <c r="V555" s="3">
        <v>4</v>
      </c>
      <c r="W555" s="4" t="s">
        <v>72</v>
      </c>
      <c r="X555" s="4" t="s">
        <v>74</v>
      </c>
      <c r="Y555" s="4" t="s">
        <v>61</v>
      </c>
      <c r="Z555" s="1">
        <v>45490</v>
      </c>
      <c r="AA555" s="4" t="str" cm="1">
        <f t="array" ref="AA555">_xlfn.IFS(OR(AB555="December", AB555="February", AB555="January"), "Winter", OR(AB555="March", AB555="April", AB555="May"), "Spring", OR(AB555="June", AB555="July", AB555="August"), "Summer", TRUE, "Autumn")</f>
        <v>Summer</v>
      </c>
      <c r="AB555" s="7" t="str">
        <f>TEXT(Z555, "mmmm")</f>
        <v>July</v>
      </c>
      <c r="AC555" s="1" t="str">
        <f>TEXT(Z555, "dddd")</f>
        <v>Wednesday</v>
      </c>
      <c r="AD555" s="4" t="s">
        <v>62</v>
      </c>
      <c r="AE555" s="4" t="s">
        <v>62</v>
      </c>
      <c r="AF555" s="4" t="s">
        <v>87</v>
      </c>
      <c r="AG555" s="4" t="s">
        <v>93</v>
      </c>
      <c r="AH555" s="3">
        <v>8</v>
      </c>
    </row>
    <row r="556" spans="1:34">
      <c r="A556" s="4" t="s">
        <v>1208</v>
      </c>
      <c r="B556" s="3">
        <v>29</v>
      </c>
      <c r="C556" s="9" t="str" cm="1">
        <f t="array" ref="C556">_xlfn.IFS(B556&gt;65,"+65",B556&gt;54,"55-65",B556&gt;44,"45-54",B556&gt;35,"36-44",B556&gt;25,"26-35",B556&gt;=18,"18-25")</f>
        <v>26-35</v>
      </c>
      <c r="D556" s="4" t="s">
        <v>78</v>
      </c>
      <c r="E556" s="4" t="s">
        <v>72</v>
      </c>
      <c r="F556" s="4" t="s">
        <v>95</v>
      </c>
      <c r="G556" s="4" t="s">
        <v>68</v>
      </c>
      <c r="H556" s="4" t="s">
        <v>1209</v>
      </c>
      <c r="I556" s="4" t="s">
        <v>91</v>
      </c>
      <c r="J556" s="5">
        <v>392.27</v>
      </c>
      <c r="K556" s="3">
        <v>5</v>
      </c>
      <c r="L556" s="4" t="str">
        <f>IF(AND(J556&gt;350,K556&gt;6), "True","False")</f>
        <v>False</v>
      </c>
      <c r="M556" s="4" t="s">
        <v>83</v>
      </c>
      <c r="N556" s="3">
        <v>4</v>
      </c>
      <c r="O556" s="4" t="str" cm="1">
        <f t="array" ref="O556">_xlfn.IFS(P556&lt;=2,"Poor",P556=3,"Average",P556&gt;=4,"Good")</f>
        <v>Good</v>
      </c>
      <c r="P556" s="3">
        <v>5</v>
      </c>
      <c r="Q556" s="2">
        <v>1</v>
      </c>
      <c r="R556" s="4" t="s">
        <v>72</v>
      </c>
      <c r="S556" s="4" t="s">
        <v>58</v>
      </c>
      <c r="T556" s="3">
        <v>0</v>
      </c>
      <c r="U556" s="4" t="str" cm="1">
        <f t="array" ref="U556">_xlfn.IFS(V556&lt;=4, "Dissatisfied",V556&lt;=7,"Neutral",V556&gt;=8,"Satisfied")</f>
        <v>Dissatisfied</v>
      </c>
      <c r="V556" s="3">
        <v>2</v>
      </c>
      <c r="W556" s="4" t="s">
        <v>59</v>
      </c>
      <c r="X556" s="4" t="s">
        <v>74</v>
      </c>
      <c r="Y556" s="4" t="s">
        <v>111</v>
      </c>
      <c r="Z556" s="1">
        <v>45490</v>
      </c>
      <c r="AA556" s="4" t="str" cm="1">
        <f t="array" ref="AA556">_xlfn.IFS(OR(AB556="December", AB556="February", AB556="January"), "Winter", OR(AB556="March", AB556="April", AB556="May"), "Spring", OR(AB556="June", AB556="July", AB556="August"), "Summer", TRUE, "Autumn")</f>
        <v>Summer</v>
      </c>
      <c r="AB556" s="7" t="str">
        <f>TEXT(Z556, "mmmm")</f>
        <v>July</v>
      </c>
      <c r="AC556" s="1" t="str">
        <f>TEXT(Z556, "dddd")</f>
        <v>Wednesday</v>
      </c>
      <c r="AD556" s="4" t="s">
        <v>62</v>
      </c>
      <c r="AE556" s="4" t="s">
        <v>76</v>
      </c>
      <c r="AF556" s="4" t="s">
        <v>102</v>
      </c>
      <c r="AG556" s="4" t="s">
        <v>88</v>
      </c>
      <c r="AH556" s="3">
        <v>7</v>
      </c>
    </row>
    <row r="557" spans="1:34">
      <c r="A557" s="4" t="s">
        <v>1210</v>
      </c>
      <c r="B557" s="3">
        <v>28</v>
      </c>
      <c r="C557" s="9" t="str" cm="1">
        <f t="array" ref="C557">_xlfn.IFS(B557&gt;65,"+65",B557&gt;54,"55-65",B557&gt;44,"45-54",B557&gt;35,"36-44",B557&gt;25,"26-35",B557&gt;=18,"18-25")</f>
        <v>26-35</v>
      </c>
      <c r="D557" s="4" t="s">
        <v>78</v>
      </c>
      <c r="E557" s="4" t="s">
        <v>72</v>
      </c>
      <c r="F557" s="4" t="s">
        <v>79</v>
      </c>
      <c r="G557" s="4" t="s">
        <v>68</v>
      </c>
      <c r="H557" s="4" t="s">
        <v>1211</v>
      </c>
      <c r="I557" s="4" t="s">
        <v>55</v>
      </c>
      <c r="J557" s="5">
        <v>73.23</v>
      </c>
      <c r="K557" s="3">
        <v>8</v>
      </c>
      <c r="L557" s="4" t="str">
        <f>IF(AND(J557&gt;350,K557&gt;6), "True","False")</f>
        <v>False</v>
      </c>
      <c r="M557" s="4" t="s">
        <v>56</v>
      </c>
      <c r="N557" s="3">
        <v>2</v>
      </c>
      <c r="O557" s="4" t="str" cm="1">
        <f t="array" ref="O557">_xlfn.IFS(P557&lt;=2,"Poor",P557=3,"Average",P557&gt;=4,"Good")</f>
        <v>Poor</v>
      </c>
      <c r="P557" s="3">
        <v>2</v>
      </c>
      <c r="Q557" s="2">
        <v>2</v>
      </c>
      <c r="R557" s="4" t="s">
        <v>59</v>
      </c>
      <c r="S557" s="4" t="s">
        <v>73</v>
      </c>
      <c r="T557" s="3">
        <v>1</v>
      </c>
      <c r="U557" s="4" t="str" cm="1">
        <f t="array" ref="U557">_xlfn.IFS(V557&lt;=4, "Dissatisfied",V557&lt;=7,"Neutral",V557&gt;=8,"Satisfied")</f>
        <v>Dissatisfied</v>
      </c>
      <c r="V557" s="3">
        <v>2</v>
      </c>
      <c r="W557" s="4" t="s">
        <v>59</v>
      </c>
      <c r="X557" s="4" t="s">
        <v>60</v>
      </c>
      <c r="Y557" s="4" t="s">
        <v>119</v>
      </c>
      <c r="Z557" s="1">
        <v>45490</v>
      </c>
      <c r="AA557" s="4" t="str" cm="1">
        <f t="array" ref="AA557">_xlfn.IFS(OR(AB557="December", AB557="February", AB557="January"), "Winter", OR(AB557="March", AB557="April", AB557="May"), "Spring", OR(AB557="June", AB557="July", AB557="August"), "Summer", TRUE, "Autumn")</f>
        <v>Summer</v>
      </c>
      <c r="AB557" s="7" t="str">
        <f>TEXT(Z557, "mmmm")</f>
        <v>July</v>
      </c>
      <c r="AC557" s="1" t="str">
        <f>TEXT(Z557, "dddd")</f>
        <v>Wednesday</v>
      </c>
      <c r="AD557" s="4" t="s">
        <v>62</v>
      </c>
      <c r="AE557" s="4" t="s">
        <v>62</v>
      </c>
      <c r="AF557" s="4" t="s">
        <v>63</v>
      </c>
      <c r="AG557" s="4" t="s">
        <v>88</v>
      </c>
      <c r="AH557" s="3">
        <v>6</v>
      </c>
    </row>
    <row r="558" spans="1:34">
      <c r="A558" s="4" t="s">
        <v>1212</v>
      </c>
      <c r="B558" s="3">
        <v>19</v>
      </c>
      <c r="C558" s="9" t="str" cm="1">
        <f t="array" ref="C558">_xlfn.IFS(B558&gt;65,"+65",B558&gt;54,"55-65",B558&gt;44,"45-54",B558&gt;35,"36-44",B558&gt;25,"26-35",B558&gt;=18,"18-25")</f>
        <v>18-25</v>
      </c>
      <c r="D558" s="4" t="s">
        <v>78</v>
      </c>
      <c r="E558" s="4" t="s">
        <v>72</v>
      </c>
      <c r="F558" s="4" t="s">
        <v>95</v>
      </c>
      <c r="G558" s="4" t="s">
        <v>68</v>
      </c>
      <c r="H558" s="4" t="s">
        <v>1213</v>
      </c>
      <c r="I558" s="4" t="s">
        <v>194</v>
      </c>
      <c r="J558" s="5">
        <v>218.65</v>
      </c>
      <c r="K558" s="3">
        <v>3</v>
      </c>
      <c r="L558" s="4" t="str">
        <f>IF(AND(J558&gt;350,K558&gt;6), "True","False")</f>
        <v>False</v>
      </c>
      <c r="M558" s="4" t="s">
        <v>56</v>
      </c>
      <c r="N558" s="3">
        <v>4</v>
      </c>
      <c r="O558" s="4" t="str" cm="1">
        <f t="array" ref="O558">_xlfn.IFS(P558&lt;=2,"Poor",P558=3,"Average",P558&gt;=4,"Good")</f>
        <v>Poor</v>
      </c>
      <c r="P558" s="3">
        <v>2</v>
      </c>
      <c r="Q558" s="2">
        <v>2</v>
      </c>
      <c r="R558" s="4" t="s">
        <v>59</v>
      </c>
      <c r="S558" s="4" t="s">
        <v>73</v>
      </c>
      <c r="T558" s="3">
        <v>0</v>
      </c>
      <c r="U558" s="4" t="str" cm="1">
        <f t="array" ref="U558">_xlfn.IFS(V558&lt;=4, "Dissatisfied",V558&lt;=7,"Neutral",V558&gt;=8,"Satisfied")</f>
        <v>Satisfied</v>
      </c>
      <c r="V558" s="3">
        <v>9</v>
      </c>
      <c r="W558" s="4" t="s">
        <v>85</v>
      </c>
      <c r="X558" s="4" t="s">
        <v>60</v>
      </c>
      <c r="Y558" s="4" t="s">
        <v>119</v>
      </c>
      <c r="Z558" s="1">
        <v>45490</v>
      </c>
      <c r="AA558" s="4" t="str" cm="1">
        <f t="array" ref="AA558">_xlfn.IFS(OR(AB558="December", AB558="February", AB558="January"), "Winter", OR(AB558="March", AB558="April", AB558="May"), "Spring", OR(AB558="June", AB558="July", AB558="August"), "Summer", TRUE, "Autumn")</f>
        <v>Summer</v>
      </c>
      <c r="AB558" s="7" t="str">
        <f>TEXT(Z558, "mmmm")</f>
        <v>July</v>
      </c>
      <c r="AC558" s="1" t="str">
        <f>TEXT(Z558, "dddd")</f>
        <v>Wednesday</v>
      </c>
      <c r="AD558" s="4" t="s">
        <v>62</v>
      </c>
      <c r="AE558" s="4" t="s">
        <v>62</v>
      </c>
      <c r="AF558" s="4" t="s">
        <v>92</v>
      </c>
      <c r="AG558" s="4" t="s">
        <v>64</v>
      </c>
      <c r="AH558" s="3">
        <v>4</v>
      </c>
    </row>
    <row r="559" spans="1:34">
      <c r="A559" s="4" t="s">
        <v>1214</v>
      </c>
      <c r="B559" s="3">
        <v>40</v>
      </c>
      <c r="C559" s="9" t="str" cm="1">
        <f t="array" ref="C559">_xlfn.IFS(B559&gt;65,"+65",B559&gt;54,"55-65",B559&gt;44,"45-54",B559&gt;35,"36-44",B559&gt;25,"26-35",B559&gt;=18,"18-25")</f>
        <v>36-44</v>
      </c>
      <c r="D559" s="4" t="s">
        <v>78</v>
      </c>
      <c r="E559" s="4" t="s">
        <v>51</v>
      </c>
      <c r="F559" s="4" t="s">
        <v>95</v>
      </c>
      <c r="G559" s="4" t="s">
        <v>80</v>
      </c>
      <c r="H559" s="4" t="s">
        <v>1215</v>
      </c>
      <c r="I559" s="4" t="s">
        <v>91</v>
      </c>
      <c r="J559" s="5">
        <v>102.73</v>
      </c>
      <c r="K559" s="3">
        <v>3</v>
      </c>
      <c r="L559" s="4" t="str">
        <f>IF(AND(J559&gt;350,K559&gt;6), "True","False")</f>
        <v>False</v>
      </c>
      <c r="M559" s="4" t="s">
        <v>83</v>
      </c>
      <c r="N559" s="3">
        <v>4</v>
      </c>
      <c r="O559" s="4" t="str" cm="1">
        <f t="array" ref="O559">_xlfn.IFS(P559&lt;=2,"Poor",P559=3,"Average",P559&gt;=4,"Good")</f>
        <v>Good</v>
      </c>
      <c r="P559" s="3">
        <v>5</v>
      </c>
      <c r="Q559" s="2">
        <v>0.3</v>
      </c>
      <c r="R559" s="4" t="s">
        <v>57</v>
      </c>
      <c r="S559" s="4" t="s">
        <v>58</v>
      </c>
      <c r="T559" s="3">
        <v>2</v>
      </c>
      <c r="U559" s="4" t="str" cm="1">
        <f t="array" ref="U559">_xlfn.IFS(V559&lt;=4, "Dissatisfied",V559&lt;=7,"Neutral",V559&gt;=8,"Satisfied")</f>
        <v>Neutral</v>
      </c>
      <c r="V559" s="3">
        <v>5</v>
      </c>
      <c r="W559" s="4" t="s">
        <v>57</v>
      </c>
      <c r="X559" s="4" t="s">
        <v>74</v>
      </c>
      <c r="Y559" s="4" t="s">
        <v>75</v>
      </c>
      <c r="Z559" s="1">
        <v>45491</v>
      </c>
      <c r="AA559" s="4" t="str" cm="1">
        <f t="array" ref="AA559">_xlfn.IFS(OR(AB559="December", AB559="February", AB559="January"), "Winter", OR(AB559="March", AB559="April", AB559="May"), "Spring", OR(AB559="June", AB559="July", AB559="August"), "Summer", TRUE, "Autumn")</f>
        <v>Summer</v>
      </c>
      <c r="AB559" s="7" t="str">
        <f>TEXT(Z559, "mmmm")</f>
        <v>July</v>
      </c>
      <c r="AC559" s="1" t="str">
        <f>TEXT(Z559, "dddd")</f>
        <v>Thursday</v>
      </c>
      <c r="AD559" s="4" t="s">
        <v>76</v>
      </c>
      <c r="AE559" s="4" t="s">
        <v>76</v>
      </c>
      <c r="AF559" s="4" t="s">
        <v>102</v>
      </c>
      <c r="AG559" s="4" t="s">
        <v>93</v>
      </c>
      <c r="AH559" s="3">
        <v>14</v>
      </c>
    </row>
    <row r="560" spans="1:34">
      <c r="A560" s="4" t="s">
        <v>1216</v>
      </c>
      <c r="B560" s="3">
        <v>33</v>
      </c>
      <c r="C560" s="9" t="str" cm="1">
        <f t="array" ref="C560">_xlfn.IFS(B560&gt;65,"+65",B560&gt;54,"55-65",B560&gt;44,"45-54",B560&gt;35,"36-44",B560&gt;25,"26-35",B560&gt;=18,"18-25")</f>
        <v>26-35</v>
      </c>
      <c r="D560" s="4" t="s">
        <v>66</v>
      </c>
      <c r="E560" s="4" t="s">
        <v>51</v>
      </c>
      <c r="F560" s="4" t="s">
        <v>52</v>
      </c>
      <c r="G560" s="4" t="s">
        <v>80</v>
      </c>
      <c r="H560" s="4" t="s">
        <v>1217</v>
      </c>
      <c r="I560" s="4" t="s">
        <v>133</v>
      </c>
      <c r="J560" s="5">
        <v>175.74</v>
      </c>
      <c r="K560" s="3">
        <v>5</v>
      </c>
      <c r="L560" s="4" t="str">
        <f>IF(AND(J560&gt;350,K560&gt;6), "True","False")</f>
        <v>False</v>
      </c>
      <c r="M560" s="4" t="s">
        <v>56</v>
      </c>
      <c r="N560" s="3">
        <v>5</v>
      </c>
      <c r="O560" s="4" t="str" cm="1">
        <f t="array" ref="O560">_xlfn.IFS(P560&lt;=2,"Poor",P560=3,"Average",P560&gt;=4,"Good")</f>
        <v>Good</v>
      </c>
      <c r="P560" s="3">
        <v>4</v>
      </c>
      <c r="Q560" s="2">
        <v>1</v>
      </c>
      <c r="R560" s="4" t="s">
        <v>85</v>
      </c>
      <c r="S560" s="4" t="s">
        <v>58</v>
      </c>
      <c r="T560" s="3">
        <v>0</v>
      </c>
      <c r="U560" s="4" t="str" cm="1">
        <f t="array" ref="U560">_xlfn.IFS(V560&lt;=4, "Dissatisfied",V560&lt;=7,"Neutral",V560&gt;=8,"Satisfied")</f>
        <v>Neutral</v>
      </c>
      <c r="V560" s="3">
        <v>6</v>
      </c>
      <c r="W560" s="4" t="s">
        <v>57</v>
      </c>
      <c r="X560" s="4" t="s">
        <v>74</v>
      </c>
      <c r="Y560" s="4" t="s">
        <v>61</v>
      </c>
      <c r="Z560" s="1">
        <v>45491</v>
      </c>
      <c r="AA560" s="4" t="str" cm="1">
        <f t="array" ref="AA560">_xlfn.IFS(OR(AB560="December", AB560="February", AB560="January"), "Winter", OR(AB560="March", AB560="April", AB560="May"), "Spring", OR(AB560="June", AB560="July", AB560="August"), "Summer", TRUE, "Autumn")</f>
        <v>Summer</v>
      </c>
      <c r="AB560" s="7" t="str">
        <f>TEXT(Z560, "mmmm")</f>
        <v>July</v>
      </c>
      <c r="AC560" s="1" t="str">
        <f>TEXT(Z560, "dddd")</f>
        <v>Thursday</v>
      </c>
      <c r="AD560" s="4" t="s">
        <v>76</v>
      </c>
      <c r="AE560" s="4" t="s">
        <v>62</v>
      </c>
      <c r="AF560" s="4" t="s">
        <v>92</v>
      </c>
      <c r="AG560" s="4" t="s">
        <v>88</v>
      </c>
      <c r="AH560" s="3">
        <v>6</v>
      </c>
    </row>
    <row r="561" spans="1:34">
      <c r="A561" s="4" t="s">
        <v>1218</v>
      </c>
      <c r="B561" s="3">
        <v>31</v>
      </c>
      <c r="C561" s="9" t="str" cm="1">
        <f t="array" ref="C561">_xlfn.IFS(B561&gt;65,"+65",B561&gt;54,"55-65",B561&gt;44,"45-54",B561&gt;35,"36-44",B561&gt;25,"26-35",B561&gt;=18,"18-25")</f>
        <v>26-35</v>
      </c>
      <c r="D561" s="4" t="s">
        <v>66</v>
      </c>
      <c r="E561" s="4" t="s">
        <v>51</v>
      </c>
      <c r="F561" s="4" t="s">
        <v>67</v>
      </c>
      <c r="G561" s="4" t="s">
        <v>68</v>
      </c>
      <c r="H561" s="4" t="s">
        <v>1219</v>
      </c>
      <c r="I561" s="4" t="s">
        <v>234</v>
      </c>
      <c r="J561" s="5">
        <v>164.94</v>
      </c>
      <c r="K561" s="3">
        <v>4</v>
      </c>
      <c r="L561" s="4" t="str">
        <f>IF(AND(J561&gt;350,K561&gt;6), "True","False")</f>
        <v>False</v>
      </c>
      <c r="M561" s="4" t="s">
        <v>71</v>
      </c>
      <c r="N561" s="3">
        <v>4</v>
      </c>
      <c r="O561" s="4" t="str" cm="1">
        <f t="array" ref="O561">_xlfn.IFS(P561&lt;=2,"Poor",P561=3,"Average",P561&gt;=4,"Good")</f>
        <v>Good</v>
      </c>
      <c r="P561" s="3">
        <v>4</v>
      </c>
      <c r="Q561" s="2">
        <v>2</v>
      </c>
      <c r="R561" s="4" t="s">
        <v>72</v>
      </c>
      <c r="S561" s="4" t="s">
        <v>84</v>
      </c>
      <c r="T561" s="3">
        <v>2</v>
      </c>
      <c r="U561" s="4" t="str" cm="1">
        <f t="array" ref="U561">_xlfn.IFS(V561&lt;=4, "Dissatisfied",V561&lt;=7,"Neutral",V561&gt;=8,"Satisfied")</f>
        <v>Dissatisfied</v>
      </c>
      <c r="V561" s="3">
        <v>2</v>
      </c>
      <c r="W561" s="4" t="s">
        <v>59</v>
      </c>
      <c r="X561" s="4" t="s">
        <v>101</v>
      </c>
      <c r="Y561" s="4" t="s">
        <v>86</v>
      </c>
      <c r="Z561" s="1">
        <v>45491</v>
      </c>
      <c r="AA561" s="4" t="str" cm="1">
        <f t="array" ref="AA561">_xlfn.IFS(OR(AB561="December", AB561="February", AB561="January"), "Winter", OR(AB561="March", AB561="April", AB561="May"), "Spring", OR(AB561="June", AB561="July", AB561="August"), "Summer", TRUE, "Autumn")</f>
        <v>Summer</v>
      </c>
      <c r="AB561" s="7" t="str">
        <f>TEXT(Z561, "mmmm")</f>
        <v>July</v>
      </c>
      <c r="AC561" s="1" t="str">
        <f>TEXT(Z561, "dddd")</f>
        <v>Thursday</v>
      </c>
      <c r="AD561" s="4" t="s">
        <v>62</v>
      </c>
      <c r="AE561" s="4" t="s">
        <v>62</v>
      </c>
      <c r="AF561" s="4" t="s">
        <v>102</v>
      </c>
      <c r="AG561" s="4" t="s">
        <v>93</v>
      </c>
      <c r="AH561" s="3">
        <v>6</v>
      </c>
    </row>
    <row r="562" spans="1:34">
      <c r="A562" s="4" t="s">
        <v>1220</v>
      </c>
      <c r="B562" s="3">
        <v>22</v>
      </c>
      <c r="C562" s="9" t="str" cm="1">
        <f t="array" ref="C562">_xlfn.IFS(B562&gt;65,"+65",B562&gt;54,"55-65",B562&gt;44,"45-54",B562&gt;35,"36-44",B562&gt;25,"26-35",B562&gt;=18,"18-25")</f>
        <v>18-25</v>
      </c>
      <c r="D562" s="4" t="s">
        <v>78</v>
      </c>
      <c r="E562" s="4" t="s">
        <v>51</v>
      </c>
      <c r="F562" s="4" t="s">
        <v>79</v>
      </c>
      <c r="G562" s="4" t="s">
        <v>53</v>
      </c>
      <c r="H562" s="4" t="s">
        <v>1221</v>
      </c>
      <c r="I562" s="4" t="s">
        <v>97</v>
      </c>
      <c r="J562" s="5">
        <v>367.56</v>
      </c>
      <c r="K562" s="3">
        <v>9</v>
      </c>
      <c r="L562" s="4" t="str">
        <f>IF(AND(J562&gt;350,K562&gt;6), "True","False")</f>
        <v>True</v>
      </c>
      <c r="M562" s="4" t="s">
        <v>56</v>
      </c>
      <c r="N562" s="3">
        <v>4</v>
      </c>
      <c r="O562" s="4" t="str" cm="1">
        <f t="array" ref="O562">_xlfn.IFS(P562&lt;=2,"Poor",P562=3,"Average",P562&gt;=4,"Good")</f>
        <v>Good</v>
      </c>
      <c r="P562" s="3">
        <v>5</v>
      </c>
      <c r="Q562" s="2">
        <v>1</v>
      </c>
      <c r="R562" s="4" t="s">
        <v>57</v>
      </c>
      <c r="S562" s="4" t="s">
        <v>58</v>
      </c>
      <c r="T562" s="3">
        <v>0</v>
      </c>
      <c r="U562" s="4" t="str" cm="1">
        <f t="array" ref="U562">_xlfn.IFS(V562&lt;=4, "Dissatisfied",V562&lt;=7,"Neutral",V562&gt;=8,"Satisfied")</f>
        <v>Satisfied</v>
      </c>
      <c r="V562" s="3">
        <v>8</v>
      </c>
      <c r="W562" s="4" t="s">
        <v>59</v>
      </c>
      <c r="X562" s="4" t="s">
        <v>60</v>
      </c>
      <c r="Y562" s="4" t="s">
        <v>111</v>
      </c>
      <c r="Z562" s="1">
        <v>45491</v>
      </c>
      <c r="AA562" s="4" t="str" cm="1">
        <f t="array" ref="AA562">_xlfn.IFS(OR(AB562="December", AB562="February", AB562="January"), "Winter", OR(AB562="March", AB562="April", AB562="May"), "Spring", OR(AB562="June", AB562="July", AB562="August"), "Summer", TRUE, "Autumn")</f>
        <v>Summer</v>
      </c>
      <c r="AB562" s="7" t="str">
        <f>TEXT(Z562, "mmmm")</f>
        <v>July</v>
      </c>
      <c r="AC562" s="1" t="str">
        <f>TEXT(Z562, "dddd")</f>
        <v>Thursday</v>
      </c>
      <c r="AD562" s="4" t="s">
        <v>76</v>
      </c>
      <c r="AE562" s="4" t="s">
        <v>76</v>
      </c>
      <c r="AF562" s="4" t="s">
        <v>63</v>
      </c>
      <c r="AG562" s="4" t="s">
        <v>64</v>
      </c>
      <c r="AH562" s="3">
        <v>14</v>
      </c>
    </row>
    <row r="563" spans="1:34">
      <c r="A563" s="4" t="s">
        <v>1222</v>
      </c>
      <c r="B563" s="3">
        <v>45</v>
      </c>
      <c r="C563" s="9" t="str" cm="1">
        <f t="array" ref="C563">_xlfn.IFS(B563&gt;65,"+65",B563&gt;54,"55-65",B563&gt;44,"45-54",B563&gt;35,"36-44",B563&gt;25,"26-35",B563&gt;=18,"18-25")</f>
        <v>45-54</v>
      </c>
      <c r="D563" s="4" t="s">
        <v>66</v>
      </c>
      <c r="E563" s="4" t="s">
        <v>51</v>
      </c>
      <c r="F563" s="4" t="s">
        <v>67</v>
      </c>
      <c r="G563" s="4" t="s">
        <v>53</v>
      </c>
      <c r="H563" s="4" t="s">
        <v>1223</v>
      </c>
      <c r="I563" s="4" t="s">
        <v>234</v>
      </c>
      <c r="J563" s="5">
        <v>57.39</v>
      </c>
      <c r="K563" s="3">
        <v>3</v>
      </c>
      <c r="L563" s="4" t="str">
        <f>IF(AND(J563&gt;350,K563&gt;6), "True","False")</f>
        <v>False</v>
      </c>
      <c r="M563" s="4" t="s">
        <v>83</v>
      </c>
      <c r="N563" s="3">
        <v>2</v>
      </c>
      <c r="O563" s="4" t="str" cm="1">
        <f t="array" ref="O563">_xlfn.IFS(P563&lt;=2,"Poor",P563=3,"Average",P563&gt;=4,"Good")</f>
        <v>Good</v>
      </c>
      <c r="P563" s="3">
        <v>5</v>
      </c>
      <c r="Q563" s="2">
        <v>0.25</v>
      </c>
      <c r="R563" s="4" t="s">
        <v>57</v>
      </c>
      <c r="S563" s="4" t="s">
        <v>84</v>
      </c>
      <c r="T563" s="3">
        <v>0</v>
      </c>
      <c r="U563" s="4" t="str" cm="1">
        <f t="array" ref="U563">_xlfn.IFS(V563&lt;=4, "Dissatisfied",V563&lt;=7,"Neutral",V563&gt;=8,"Satisfied")</f>
        <v>Satisfied</v>
      </c>
      <c r="V563" s="3">
        <v>10</v>
      </c>
      <c r="W563" s="4" t="s">
        <v>85</v>
      </c>
      <c r="X563" s="4" t="s">
        <v>101</v>
      </c>
      <c r="Y563" s="4" t="s">
        <v>119</v>
      </c>
      <c r="Z563" s="1">
        <v>45492</v>
      </c>
      <c r="AA563" s="4" t="str" cm="1">
        <f t="array" ref="AA563">_xlfn.IFS(OR(AB563="December", AB563="February", AB563="January"), "Winter", OR(AB563="March", AB563="April", AB563="May"), "Spring", OR(AB563="June", AB563="July", AB563="August"), "Summer", TRUE, "Autumn")</f>
        <v>Summer</v>
      </c>
      <c r="AB563" s="7" t="str">
        <f>TEXT(Z563, "mmmm")</f>
        <v>July</v>
      </c>
      <c r="AC563" s="1" t="str">
        <f>TEXT(Z563, "dddd")</f>
        <v>Friday</v>
      </c>
      <c r="AD563" s="4" t="s">
        <v>76</v>
      </c>
      <c r="AE563" s="4" t="s">
        <v>76</v>
      </c>
      <c r="AF563" s="4" t="s">
        <v>92</v>
      </c>
      <c r="AG563" s="4" t="s">
        <v>64</v>
      </c>
      <c r="AH563" s="3">
        <v>3</v>
      </c>
    </row>
    <row r="564" spans="1:34">
      <c r="A564" s="4" t="s">
        <v>1224</v>
      </c>
      <c r="B564" s="3">
        <v>39</v>
      </c>
      <c r="C564" s="9" t="str" cm="1">
        <f t="array" ref="C564">_xlfn.IFS(B564&gt;65,"+65",B564&gt;54,"55-65",B564&gt;44,"45-54",B564&gt;35,"36-44",B564&gt;25,"26-35",B564&gt;=18,"18-25")</f>
        <v>36-44</v>
      </c>
      <c r="D564" s="4" t="s">
        <v>225</v>
      </c>
      <c r="E564" s="4" t="s">
        <v>72</v>
      </c>
      <c r="F564" s="4" t="s">
        <v>79</v>
      </c>
      <c r="G564" s="4" t="s">
        <v>53</v>
      </c>
      <c r="H564" s="4" t="s">
        <v>1225</v>
      </c>
      <c r="I564" s="4" t="s">
        <v>82</v>
      </c>
      <c r="J564" s="5">
        <v>446.92</v>
      </c>
      <c r="K564" s="3">
        <v>5</v>
      </c>
      <c r="L564" s="4" t="str">
        <f>IF(AND(J564&gt;350,K564&gt;6), "True","False")</f>
        <v>False</v>
      </c>
      <c r="M564" s="4" t="s">
        <v>83</v>
      </c>
      <c r="N564" s="3">
        <v>1</v>
      </c>
      <c r="O564" s="4" t="str" cm="1">
        <f t="array" ref="O564">_xlfn.IFS(P564&lt;=2,"Poor",P564=3,"Average",P564&gt;=4,"Good")</f>
        <v>Poor</v>
      </c>
      <c r="P564" s="3">
        <v>1</v>
      </c>
      <c r="Q564" s="2">
        <v>1</v>
      </c>
      <c r="R564" s="4" t="s">
        <v>85</v>
      </c>
      <c r="S564" s="4" t="s">
        <v>73</v>
      </c>
      <c r="T564" s="3">
        <v>2</v>
      </c>
      <c r="U564" s="4" t="str" cm="1">
        <f t="array" ref="U564">_xlfn.IFS(V564&lt;=4, "Dissatisfied",V564&lt;=7,"Neutral",V564&gt;=8,"Satisfied")</f>
        <v>Neutral</v>
      </c>
      <c r="V564" s="3">
        <v>6</v>
      </c>
      <c r="W564" s="4" t="s">
        <v>57</v>
      </c>
      <c r="X564" s="4" t="s">
        <v>60</v>
      </c>
      <c r="Y564" s="4" t="s">
        <v>86</v>
      </c>
      <c r="Z564" s="1">
        <v>45492</v>
      </c>
      <c r="AA564" s="4" t="str" cm="1">
        <f t="array" ref="AA564">_xlfn.IFS(OR(AB564="December", AB564="February", AB564="January"), "Winter", OR(AB564="March", AB564="April", AB564="May"), "Spring", OR(AB564="June", AB564="July", AB564="August"), "Summer", TRUE, "Autumn")</f>
        <v>Summer</v>
      </c>
      <c r="AB564" s="7" t="str">
        <f>TEXT(Z564, "mmmm")</f>
        <v>July</v>
      </c>
      <c r="AC564" s="1" t="str">
        <f>TEXT(Z564, "dddd")</f>
        <v>Friday</v>
      </c>
      <c r="AD564" s="4" t="s">
        <v>62</v>
      </c>
      <c r="AE564" s="4" t="s">
        <v>76</v>
      </c>
      <c r="AF564" s="4" t="s">
        <v>87</v>
      </c>
      <c r="AG564" s="4" t="s">
        <v>93</v>
      </c>
      <c r="AH564" s="3">
        <v>10</v>
      </c>
    </row>
    <row r="565" spans="1:34">
      <c r="A565" s="4" t="s">
        <v>1226</v>
      </c>
      <c r="B565" s="3">
        <v>26</v>
      </c>
      <c r="C565" s="9" t="str" cm="1">
        <f t="array" ref="C565">_xlfn.IFS(B565&gt;65,"+65",B565&gt;54,"55-65",B565&gt;44,"45-54",B565&gt;35,"36-44",B565&gt;25,"26-35",B565&gt;=18,"18-25")</f>
        <v>26-35</v>
      </c>
      <c r="D565" s="4" t="s">
        <v>66</v>
      </c>
      <c r="E565" s="4" t="s">
        <v>51</v>
      </c>
      <c r="F565" s="4" t="s">
        <v>95</v>
      </c>
      <c r="G565" s="4" t="s">
        <v>53</v>
      </c>
      <c r="H565" s="4" t="s">
        <v>1227</v>
      </c>
      <c r="I565" s="4" t="s">
        <v>133</v>
      </c>
      <c r="J565" s="5">
        <v>172.5</v>
      </c>
      <c r="K565" s="3">
        <v>8</v>
      </c>
      <c r="L565" s="4" t="str">
        <f>IF(AND(J565&gt;350,K565&gt;6), "True","False")</f>
        <v>False</v>
      </c>
      <c r="M565" s="4" t="s">
        <v>56</v>
      </c>
      <c r="N565" s="3">
        <v>1</v>
      </c>
      <c r="O565" s="4" t="str" cm="1">
        <f t="array" ref="O565">_xlfn.IFS(P565&lt;=2,"Poor",P565=3,"Average",P565&gt;=4,"Good")</f>
        <v>Average</v>
      </c>
      <c r="P565" s="3">
        <v>3</v>
      </c>
      <c r="Q565" s="2">
        <v>0</v>
      </c>
      <c r="R565" s="4" t="s">
        <v>85</v>
      </c>
      <c r="S565" s="4" t="s">
        <v>84</v>
      </c>
      <c r="T565" s="3">
        <v>0</v>
      </c>
      <c r="U565" s="4" t="str" cm="1">
        <f t="array" ref="U565">_xlfn.IFS(V565&lt;=4, "Dissatisfied",V565&lt;=7,"Neutral",V565&gt;=8,"Satisfied")</f>
        <v>Satisfied</v>
      </c>
      <c r="V565" s="3">
        <v>8</v>
      </c>
      <c r="W565" s="4" t="s">
        <v>59</v>
      </c>
      <c r="X565" s="4" t="s">
        <v>101</v>
      </c>
      <c r="Y565" s="4" t="s">
        <v>119</v>
      </c>
      <c r="Z565" s="1">
        <v>45492</v>
      </c>
      <c r="AA565" s="4" t="str" cm="1">
        <f t="array" ref="AA565">_xlfn.IFS(OR(AB565="December", AB565="February", AB565="January"), "Winter", OR(AB565="March", AB565="April", AB565="May"), "Spring", OR(AB565="June", AB565="July", AB565="August"), "Summer", TRUE, "Autumn")</f>
        <v>Summer</v>
      </c>
      <c r="AB565" s="7" t="str">
        <f>TEXT(Z565, "mmmm")</f>
        <v>July</v>
      </c>
      <c r="AC565" s="1" t="str">
        <f>TEXT(Z565, "dddd")</f>
        <v>Friday</v>
      </c>
      <c r="AD565" s="4" t="s">
        <v>62</v>
      </c>
      <c r="AE565" s="4" t="s">
        <v>76</v>
      </c>
      <c r="AF565" s="4" t="s">
        <v>92</v>
      </c>
      <c r="AG565" s="4" t="s">
        <v>88</v>
      </c>
      <c r="AH565" s="3">
        <v>7</v>
      </c>
    </row>
    <row r="566" spans="1:34">
      <c r="A566" s="4" t="s">
        <v>1228</v>
      </c>
      <c r="B566" s="3">
        <v>20</v>
      </c>
      <c r="C566" s="9" t="str" cm="1">
        <f t="array" ref="C566">_xlfn.IFS(B566&gt;65,"+65",B566&gt;54,"55-65",B566&gt;44,"45-54",B566&gt;35,"36-44",B566&gt;25,"26-35",B566&gt;=18,"18-25")</f>
        <v>18-25</v>
      </c>
      <c r="D566" s="4" t="s">
        <v>66</v>
      </c>
      <c r="E566" s="4" t="s">
        <v>51</v>
      </c>
      <c r="F566" s="4" t="s">
        <v>79</v>
      </c>
      <c r="G566" s="4" t="s">
        <v>53</v>
      </c>
      <c r="H566" s="4" t="s">
        <v>1229</v>
      </c>
      <c r="I566" s="4" t="s">
        <v>223</v>
      </c>
      <c r="J566" s="5">
        <v>201.69</v>
      </c>
      <c r="K566" s="3">
        <v>11</v>
      </c>
      <c r="L566" s="4" t="str">
        <f>IF(AND(J566&gt;350,K566&gt;6), "True","False")</f>
        <v>False</v>
      </c>
      <c r="M566" s="4" t="s">
        <v>83</v>
      </c>
      <c r="N566" s="3">
        <v>4</v>
      </c>
      <c r="O566" s="4" t="str" cm="1">
        <f t="array" ref="O566">_xlfn.IFS(P566&lt;=2,"Poor",P566=3,"Average",P566&gt;=4,"Good")</f>
        <v>Good</v>
      </c>
      <c r="P566" s="3">
        <v>5</v>
      </c>
      <c r="Q566" s="2">
        <v>0</v>
      </c>
      <c r="R566" s="4" t="s">
        <v>72</v>
      </c>
      <c r="S566" s="4" t="s">
        <v>73</v>
      </c>
      <c r="T566" s="3">
        <v>2</v>
      </c>
      <c r="U566" s="4" t="str" cm="1">
        <f t="array" ref="U566">_xlfn.IFS(V566&lt;=4, "Dissatisfied",V566&lt;=7,"Neutral",V566&gt;=8,"Satisfied")</f>
        <v>Satisfied</v>
      </c>
      <c r="V566" s="3">
        <v>8</v>
      </c>
      <c r="W566" s="4" t="s">
        <v>59</v>
      </c>
      <c r="X566" s="4" t="s">
        <v>74</v>
      </c>
      <c r="Y566" s="4" t="s">
        <v>111</v>
      </c>
      <c r="Z566" s="1">
        <v>45492</v>
      </c>
      <c r="AA566" s="4" t="str" cm="1">
        <f t="array" ref="AA566">_xlfn.IFS(OR(AB566="December", AB566="February", AB566="January"), "Winter", OR(AB566="March", AB566="April", AB566="May"), "Spring", OR(AB566="June", AB566="July", AB566="August"), "Summer", TRUE, "Autumn")</f>
        <v>Summer</v>
      </c>
      <c r="AB566" s="7" t="str">
        <f>TEXT(Z566, "mmmm")</f>
        <v>July</v>
      </c>
      <c r="AC566" s="1" t="str">
        <f>TEXT(Z566, "dddd")</f>
        <v>Friday</v>
      </c>
      <c r="AD566" s="4" t="s">
        <v>62</v>
      </c>
      <c r="AE566" s="4" t="s">
        <v>76</v>
      </c>
      <c r="AF566" s="4" t="s">
        <v>87</v>
      </c>
      <c r="AG566" s="4" t="s">
        <v>88</v>
      </c>
      <c r="AH566" s="3">
        <v>3</v>
      </c>
    </row>
    <row r="567" spans="1:34">
      <c r="A567" s="4" t="s">
        <v>1230</v>
      </c>
      <c r="B567" s="3">
        <v>50</v>
      </c>
      <c r="C567" s="9" t="str" cm="1">
        <f t="array" ref="C567">_xlfn.IFS(B567&gt;65,"+65",B567&gt;54,"55-65",B567&gt;44,"45-54",B567&gt;35,"36-44",B567&gt;25,"26-35",B567&gt;=18,"18-25")</f>
        <v>45-54</v>
      </c>
      <c r="D567" s="4" t="s">
        <v>78</v>
      </c>
      <c r="E567" s="4" t="s">
        <v>51</v>
      </c>
      <c r="F567" s="4" t="s">
        <v>95</v>
      </c>
      <c r="G567" s="4" t="s">
        <v>80</v>
      </c>
      <c r="H567" s="4" t="s">
        <v>1231</v>
      </c>
      <c r="I567" s="4" t="s">
        <v>223</v>
      </c>
      <c r="J567" s="5">
        <v>395.18</v>
      </c>
      <c r="K567" s="3">
        <v>5</v>
      </c>
      <c r="L567" s="4" t="str">
        <f>IF(AND(J567&gt;350,K567&gt;6), "True","False")</f>
        <v>False</v>
      </c>
      <c r="M567" s="4" t="s">
        <v>71</v>
      </c>
      <c r="N567" s="3">
        <v>2</v>
      </c>
      <c r="O567" s="4" t="str" cm="1">
        <f t="array" ref="O567">_xlfn.IFS(P567&lt;=2,"Poor",P567=3,"Average",P567&gt;=4,"Good")</f>
        <v>Poor</v>
      </c>
      <c r="P567" s="3">
        <v>2</v>
      </c>
      <c r="Q567" s="2">
        <v>1</v>
      </c>
      <c r="R567" s="4" t="s">
        <v>57</v>
      </c>
      <c r="S567" s="4" t="s">
        <v>58</v>
      </c>
      <c r="T567" s="3">
        <v>0</v>
      </c>
      <c r="U567" s="4" t="str" cm="1">
        <f t="array" ref="U567">_xlfn.IFS(V567&lt;=4, "Dissatisfied",V567&lt;=7,"Neutral",V567&gt;=8,"Satisfied")</f>
        <v>Neutral</v>
      </c>
      <c r="V567" s="3">
        <v>5</v>
      </c>
      <c r="W567" s="4" t="s">
        <v>72</v>
      </c>
      <c r="X567" s="4" t="s">
        <v>60</v>
      </c>
      <c r="Y567" s="4" t="s">
        <v>111</v>
      </c>
      <c r="Z567" s="1">
        <v>45493</v>
      </c>
      <c r="AA567" s="4" t="str" cm="1">
        <f t="array" ref="AA567">_xlfn.IFS(OR(AB567="December", AB567="February", AB567="January"), "Winter", OR(AB567="March", AB567="April", AB567="May"), "Spring", OR(AB567="June", AB567="July", AB567="August"), "Summer", TRUE, "Autumn")</f>
        <v>Summer</v>
      </c>
      <c r="AB567" s="7" t="str">
        <f>TEXT(Z567, "mmmm")</f>
        <v>July</v>
      </c>
      <c r="AC567" s="1" t="str">
        <f>TEXT(Z567, "dddd")</f>
        <v>Saturday</v>
      </c>
      <c r="AD567" s="4" t="s">
        <v>62</v>
      </c>
      <c r="AE567" s="4" t="s">
        <v>62</v>
      </c>
      <c r="AF567" s="4" t="s">
        <v>63</v>
      </c>
      <c r="AG567" s="4" t="s">
        <v>64</v>
      </c>
      <c r="AH567" s="3">
        <v>6</v>
      </c>
    </row>
    <row r="568" spans="1:34">
      <c r="A568" s="4" t="s">
        <v>1232</v>
      </c>
      <c r="B568" s="3">
        <v>27</v>
      </c>
      <c r="C568" s="9" t="str" cm="1">
        <f t="array" ref="C568">_xlfn.IFS(B568&gt;65,"+65",B568&gt;54,"55-65",B568&gt;44,"45-54",B568&gt;35,"36-44",B568&gt;25,"26-35",B568&gt;=18,"18-25")</f>
        <v>26-35</v>
      </c>
      <c r="D568" s="4" t="s">
        <v>78</v>
      </c>
      <c r="E568" s="4" t="s">
        <v>72</v>
      </c>
      <c r="F568" s="4" t="s">
        <v>67</v>
      </c>
      <c r="G568" s="4" t="s">
        <v>80</v>
      </c>
      <c r="H568" s="4" t="s">
        <v>1233</v>
      </c>
      <c r="I568" s="4" t="s">
        <v>169</v>
      </c>
      <c r="J568" s="5">
        <v>483.77</v>
      </c>
      <c r="K568" s="3">
        <v>5</v>
      </c>
      <c r="L568" s="4" t="str">
        <f>IF(AND(J568&gt;350,K568&gt;6), "True","False")</f>
        <v>False</v>
      </c>
      <c r="M568" s="4" t="s">
        <v>71</v>
      </c>
      <c r="N568" s="3">
        <v>1</v>
      </c>
      <c r="O568" s="4" t="str" cm="1">
        <f t="array" ref="O568">_xlfn.IFS(P568&lt;=2,"Poor",P568=3,"Average",P568&gt;=4,"Good")</f>
        <v>Poor</v>
      </c>
      <c r="P568" s="3">
        <v>2</v>
      </c>
      <c r="Q568" s="2">
        <v>0</v>
      </c>
      <c r="R568" s="4" t="s">
        <v>57</v>
      </c>
      <c r="S568" s="4" t="s">
        <v>73</v>
      </c>
      <c r="T568" s="3">
        <v>0</v>
      </c>
      <c r="U568" s="4" t="str" cm="1">
        <f t="array" ref="U568">_xlfn.IFS(V568&lt;=4, "Dissatisfied",V568&lt;=7,"Neutral",V568&gt;=8,"Satisfied")</f>
        <v>Neutral</v>
      </c>
      <c r="V568" s="3">
        <v>5</v>
      </c>
      <c r="W568" s="4" t="s">
        <v>57</v>
      </c>
      <c r="X568" s="4" t="s">
        <v>101</v>
      </c>
      <c r="Y568" s="4" t="s">
        <v>119</v>
      </c>
      <c r="Z568" s="1">
        <v>45493</v>
      </c>
      <c r="AA568" s="4" t="str" cm="1">
        <f t="array" ref="AA568">_xlfn.IFS(OR(AB568="December", AB568="February", AB568="January"), "Winter", OR(AB568="March", AB568="April", AB568="May"), "Spring", OR(AB568="June", AB568="July", AB568="August"), "Summer", TRUE, "Autumn")</f>
        <v>Summer</v>
      </c>
      <c r="AB568" s="7" t="str">
        <f>TEXT(Z568, "mmmm")</f>
        <v>July</v>
      </c>
      <c r="AC568" s="1" t="str">
        <f>TEXT(Z568, "dddd")</f>
        <v>Saturday</v>
      </c>
      <c r="AD568" s="4" t="s">
        <v>76</v>
      </c>
      <c r="AE568" s="4" t="s">
        <v>76</v>
      </c>
      <c r="AF568" s="4" t="s">
        <v>102</v>
      </c>
      <c r="AG568" s="4" t="s">
        <v>88</v>
      </c>
      <c r="AH568" s="3">
        <v>10</v>
      </c>
    </row>
    <row r="569" spans="1:34">
      <c r="A569" s="4" t="s">
        <v>1234</v>
      </c>
      <c r="B569" s="3">
        <v>24</v>
      </c>
      <c r="C569" s="9" t="str" cm="1">
        <f t="array" ref="C569">_xlfn.IFS(B569&gt;65,"+65",B569&gt;54,"55-65",B569&gt;44,"45-54",B569&gt;35,"36-44",B569&gt;25,"26-35",B569&gt;=18,"18-25")</f>
        <v>18-25</v>
      </c>
      <c r="D569" s="4" t="s">
        <v>66</v>
      </c>
      <c r="E569" s="4" t="s">
        <v>72</v>
      </c>
      <c r="F569" s="4" t="s">
        <v>52</v>
      </c>
      <c r="G569" s="4" t="s">
        <v>53</v>
      </c>
      <c r="H569" s="4" t="s">
        <v>1235</v>
      </c>
      <c r="I569" s="4" t="s">
        <v>234</v>
      </c>
      <c r="J569" s="5">
        <v>162.94999999999999</v>
      </c>
      <c r="K569" s="3">
        <v>11</v>
      </c>
      <c r="L569" s="4" t="str">
        <f>IF(AND(J569&gt;350,K569&gt;6), "True","False")</f>
        <v>False</v>
      </c>
      <c r="M569" s="4" t="s">
        <v>71</v>
      </c>
      <c r="N569" s="3">
        <v>1</v>
      </c>
      <c r="O569" s="4" t="str" cm="1">
        <f t="array" ref="O569">_xlfn.IFS(P569&lt;=2,"Poor",P569=3,"Average",P569&gt;=4,"Good")</f>
        <v>Poor</v>
      </c>
      <c r="P569" s="3">
        <v>2</v>
      </c>
      <c r="Q569" s="2">
        <v>2</v>
      </c>
      <c r="R569" s="4" t="s">
        <v>72</v>
      </c>
      <c r="S569" s="4" t="s">
        <v>73</v>
      </c>
      <c r="T569" s="3">
        <v>1</v>
      </c>
      <c r="U569" s="4" t="str" cm="1">
        <f t="array" ref="U569">_xlfn.IFS(V569&lt;=4, "Dissatisfied",V569&lt;=7,"Neutral",V569&gt;=8,"Satisfied")</f>
        <v>Satisfied</v>
      </c>
      <c r="V569" s="3">
        <v>8</v>
      </c>
      <c r="W569" s="4" t="s">
        <v>59</v>
      </c>
      <c r="X569" s="4" t="s">
        <v>101</v>
      </c>
      <c r="Y569" s="4" t="s">
        <v>61</v>
      </c>
      <c r="Z569" s="1">
        <v>45494</v>
      </c>
      <c r="AA569" s="4" t="str" cm="1">
        <f t="array" ref="AA569">_xlfn.IFS(OR(AB569="December", AB569="February", AB569="January"), "Winter", OR(AB569="March", AB569="April", AB569="May"), "Spring", OR(AB569="June", AB569="July", AB569="August"), "Summer", TRUE, "Autumn")</f>
        <v>Summer</v>
      </c>
      <c r="AB569" s="7" t="str">
        <f>TEXT(Z569, "mmmm")</f>
        <v>July</v>
      </c>
      <c r="AC569" s="1" t="str">
        <f>TEXT(Z569, "dddd")</f>
        <v>Sunday</v>
      </c>
      <c r="AD569" s="4" t="s">
        <v>76</v>
      </c>
      <c r="AE569" s="4" t="s">
        <v>62</v>
      </c>
      <c r="AF569" s="4" t="s">
        <v>92</v>
      </c>
      <c r="AG569" s="4" t="s">
        <v>93</v>
      </c>
      <c r="AH569" s="3">
        <v>14</v>
      </c>
    </row>
    <row r="570" spans="1:34">
      <c r="A570" s="4" t="s">
        <v>1236</v>
      </c>
      <c r="B570" s="3">
        <v>35</v>
      </c>
      <c r="C570" s="9" t="str" cm="1">
        <f t="array" ref="C570">_xlfn.IFS(B570&gt;65,"+65",B570&gt;54,"55-65",B570&gt;44,"45-54",B570&gt;35,"36-44",B570&gt;25,"26-35",B570&gt;=18,"18-25")</f>
        <v>26-35</v>
      </c>
      <c r="D570" s="4" t="s">
        <v>66</v>
      </c>
      <c r="E570" s="4" t="s">
        <v>72</v>
      </c>
      <c r="F570" s="4" t="s">
        <v>67</v>
      </c>
      <c r="G570" s="4" t="s">
        <v>68</v>
      </c>
      <c r="H570" s="4" t="s">
        <v>1237</v>
      </c>
      <c r="I570" s="4" t="s">
        <v>133</v>
      </c>
      <c r="J570" s="5">
        <v>195.07</v>
      </c>
      <c r="K570" s="3">
        <v>8</v>
      </c>
      <c r="L570" s="4" t="str">
        <f>IF(AND(J570&gt;350,K570&gt;6), "True","False")</f>
        <v>False</v>
      </c>
      <c r="M570" s="4" t="s">
        <v>56</v>
      </c>
      <c r="N570" s="3">
        <v>3</v>
      </c>
      <c r="O570" s="4" t="str" cm="1">
        <f t="array" ref="O570">_xlfn.IFS(P570&lt;=2,"Poor",P570=3,"Average",P570&gt;=4,"Good")</f>
        <v>Poor</v>
      </c>
      <c r="P570" s="3">
        <v>1</v>
      </c>
      <c r="Q570" s="2">
        <v>1</v>
      </c>
      <c r="R570" s="4" t="s">
        <v>72</v>
      </c>
      <c r="S570" s="4" t="s">
        <v>84</v>
      </c>
      <c r="T570" s="3">
        <v>0</v>
      </c>
      <c r="U570" s="4" t="str" cm="1">
        <f t="array" ref="U570">_xlfn.IFS(V570&lt;=4, "Dissatisfied",V570&lt;=7,"Neutral",V570&gt;=8,"Satisfied")</f>
        <v>Neutral</v>
      </c>
      <c r="V570" s="3">
        <v>6</v>
      </c>
      <c r="W570" s="4" t="s">
        <v>57</v>
      </c>
      <c r="X570" s="4" t="s">
        <v>60</v>
      </c>
      <c r="Y570" s="4" t="s">
        <v>75</v>
      </c>
      <c r="Z570" s="1">
        <v>45495</v>
      </c>
      <c r="AA570" s="4" t="str" cm="1">
        <f t="array" ref="AA570">_xlfn.IFS(OR(AB570="December", AB570="February", AB570="January"), "Winter", OR(AB570="March", AB570="April", AB570="May"), "Spring", OR(AB570="June", AB570="July", AB570="August"), "Summer", TRUE, "Autumn")</f>
        <v>Summer</v>
      </c>
      <c r="AB570" s="7" t="str">
        <f>TEXT(Z570, "mmmm")</f>
        <v>July</v>
      </c>
      <c r="AC570" s="1" t="str">
        <f>TEXT(Z570, "dddd")</f>
        <v>Monday</v>
      </c>
      <c r="AD570" s="4" t="s">
        <v>76</v>
      </c>
      <c r="AE570" s="4" t="s">
        <v>76</v>
      </c>
      <c r="AF570" s="4" t="s">
        <v>92</v>
      </c>
      <c r="AG570" s="4" t="s">
        <v>88</v>
      </c>
      <c r="AH570" s="3">
        <v>10</v>
      </c>
    </row>
    <row r="571" spans="1:34">
      <c r="A571" s="4" t="s">
        <v>1238</v>
      </c>
      <c r="B571" s="3">
        <v>36</v>
      </c>
      <c r="C571" s="9" t="str" cm="1">
        <f t="array" ref="C571">_xlfn.IFS(B571&gt;65,"+65",B571&gt;54,"55-65",B571&gt;44,"45-54",B571&gt;35,"36-44",B571&gt;25,"26-35",B571&gt;=18,"18-25")</f>
        <v>36-44</v>
      </c>
      <c r="D571" s="4" t="s">
        <v>66</v>
      </c>
      <c r="E571" s="4" t="s">
        <v>51</v>
      </c>
      <c r="F571" s="4" t="s">
        <v>79</v>
      </c>
      <c r="G571" s="4" t="s">
        <v>53</v>
      </c>
      <c r="H571" s="4" t="s">
        <v>1239</v>
      </c>
      <c r="I571" s="4" t="s">
        <v>169</v>
      </c>
      <c r="J571" s="5">
        <v>454.39</v>
      </c>
      <c r="K571" s="3">
        <v>10</v>
      </c>
      <c r="L571" s="4" t="str">
        <f>IF(AND(J571&gt;350,K571&gt;6), "True","False")</f>
        <v>True</v>
      </c>
      <c r="M571" s="4" t="s">
        <v>71</v>
      </c>
      <c r="N571" s="3">
        <v>2</v>
      </c>
      <c r="O571" s="4" t="str" cm="1">
        <f t="array" ref="O571">_xlfn.IFS(P571&lt;=2,"Poor",P571=3,"Average",P571&gt;=4,"Good")</f>
        <v>Good</v>
      </c>
      <c r="P571" s="3">
        <v>4</v>
      </c>
      <c r="Q571" s="2">
        <v>2</v>
      </c>
      <c r="R571" s="4" t="s">
        <v>85</v>
      </c>
      <c r="S571" s="4" t="s">
        <v>58</v>
      </c>
      <c r="T571" s="3">
        <v>0</v>
      </c>
      <c r="U571" s="4" t="str" cm="1">
        <f t="array" ref="U571">_xlfn.IFS(V571&lt;=4, "Dissatisfied",V571&lt;=7,"Neutral",V571&gt;=8,"Satisfied")</f>
        <v>Dissatisfied</v>
      </c>
      <c r="V571" s="3">
        <v>3</v>
      </c>
      <c r="W571" s="4" t="s">
        <v>57</v>
      </c>
      <c r="X571" s="4" t="s">
        <v>101</v>
      </c>
      <c r="Y571" s="4" t="s">
        <v>111</v>
      </c>
      <c r="Z571" s="1">
        <v>45496</v>
      </c>
      <c r="AA571" s="4" t="str" cm="1">
        <f t="array" ref="AA571">_xlfn.IFS(OR(AB571="December", AB571="February", AB571="January"), "Winter", OR(AB571="March", AB571="April", AB571="May"), "Spring", OR(AB571="June", AB571="July", AB571="August"), "Summer", TRUE, "Autumn")</f>
        <v>Summer</v>
      </c>
      <c r="AB571" s="7" t="str">
        <f>TEXT(Z571, "mmmm")</f>
        <v>July</v>
      </c>
      <c r="AC571" s="1" t="str">
        <f>TEXT(Z571, "dddd")</f>
        <v>Tuesday</v>
      </c>
      <c r="AD571" s="4" t="s">
        <v>76</v>
      </c>
      <c r="AE571" s="4" t="s">
        <v>62</v>
      </c>
      <c r="AF571" s="4" t="s">
        <v>92</v>
      </c>
      <c r="AG571" s="4" t="s">
        <v>64</v>
      </c>
      <c r="AH571" s="3">
        <v>3</v>
      </c>
    </row>
    <row r="572" spans="1:34">
      <c r="A572" s="4" t="s">
        <v>1240</v>
      </c>
      <c r="B572" s="3">
        <v>24</v>
      </c>
      <c r="C572" s="9" t="str" cm="1">
        <f t="array" ref="C572">_xlfn.IFS(B572&gt;65,"+65",B572&gt;54,"55-65",B572&gt;44,"45-54",B572&gt;35,"36-44",B572&gt;25,"26-35",B572&gt;=18,"18-25")</f>
        <v>18-25</v>
      </c>
      <c r="D572" s="4" t="s">
        <v>78</v>
      </c>
      <c r="E572" s="4" t="s">
        <v>72</v>
      </c>
      <c r="F572" s="4" t="s">
        <v>52</v>
      </c>
      <c r="G572" s="4" t="s">
        <v>53</v>
      </c>
      <c r="H572" s="4" t="s">
        <v>1241</v>
      </c>
      <c r="I572" s="4" t="s">
        <v>169</v>
      </c>
      <c r="J572" s="5">
        <v>302.60000000000002</v>
      </c>
      <c r="K572" s="3">
        <v>9</v>
      </c>
      <c r="L572" s="4" t="str">
        <f>IF(AND(J572&gt;350,K572&gt;6), "True","False")</f>
        <v>False</v>
      </c>
      <c r="M572" s="4" t="s">
        <v>56</v>
      </c>
      <c r="N572" s="3">
        <v>1</v>
      </c>
      <c r="O572" s="4" t="str" cm="1">
        <f t="array" ref="O572">_xlfn.IFS(P572&lt;=2,"Poor",P572=3,"Average",P572&gt;=4,"Good")</f>
        <v>Good</v>
      </c>
      <c r="P572" s="3">
        <v>4</v>
      </c>
      <c r="Q572" s="2">
        <v>2</v>
      </c>
      <c r="R572" s="4" t="s">
        <v>85</v>
      </c>
      <c r="S572" s="4" t="s">
        <v>73</v>
      </c>
      <c r="T572" s="3">
        <v>2</v>
      </c>
      <c r="U572" s="4" t="str" cm="1">
        <f t="array" ref="U572">_xlfn.IFS(V572&lt;=4, "Dissatisfied",V572&lt;=7,"Neutral",V572&gt;=8,"Satisfied")</f>
        <v>Satisfied</v>
      </c>
      <c r="V572" s="3">
        <v>10</v>
      </c>
      <c r="W572" s="4" t="s">
        <v>57</v>
      </c>
      <c r="X572" s="4" t="s">
        <v>101</v>
      </c>
      <c r="Y572" s="4" t="s">
        <v>75</v>
      </c>
      <c r="Z572" s="1">
        <v>45496</v>
      </c>
      <c r="AA572" s="4" t="str" cm="1">
        <f t="array" ref="AA572">_xlfn.IFS(OR(AB572="December", AB572="February", AB572="January"), "Winter", OR(AB572="March", AB572="April", AB572="May"), "Spring", OR(AB572="June", AB572="July", AB572="August"), "Summer", TRUE, "Autumn")</f>
        <v>Summer</v>
      </c>
      <c r="AB572" s="7" t="str">
        <f>TEXT(Z572, "mmmm")</f>
        <v>July</v>
      </c>
      <c r="AC572" s="1" t="str">
        <f>TEXT(Z572, "dddd")</f>
        <v>Tuesday</v>
      </c>
      <c r="AD572" s="4" t="s">
        <v>76</v>
      </c>
      <c r="AE572" s="4" t="s">
        <v>62</v>
      </c>
      <c r="AF572" s="4" t="s">
        <v>92</v>
      </c>
      <c r="AG572" s="4" t="s">
        <v>64</v>
      </c>
      <c r="AH572" s="3">
        <v>2</v>
      </c>
    </row>
    <row r="573" spans="1:34">
      <c r="A573" s="4" t="s">
        <v>1242</v>
      </c>
      <c r="B573" s="3">
        <v>22</v>
      </c>
      <c r="C573" s="9" t="str" cm="1">
        <f t="array" ref="C573">_xlfn.IFS(B573&gt;65,"+65",B573&gt;54,"55-65",B573&gt;44,"45-54",B573&gt;35,"36-44",B573&gt;25,"26-35",B573&gt;=18,"18-25")</f>
        <v>18-25</v>
      </c>
      <c r="D573" s="4" t="s">
        <v>66</v>
      </c>
      <c r="E573" s="4" t="s">
        <v>51</v>
      </c>
      <c r="F573" s="4" t="s">
        <v>95</v>
      </c>
      <c r="G573" s="4" t="s">
        <v>80</v>
      </c>
      <c r="H573" s="4" t="s">
        <v>1243</v>
      </c>
      <c r="I573" s="4" t="s">
        <v>194</v>
      </c>
      <c r="J573" s="5">
        <v>150.11000000000001</v>
      </c>
      <c r="K573" s="3">
        <v>7</v>
      </c>
      <c r="L573" s="4" t="str">
        <f>IF(AND(J573&gt;350,K573&gt;6), "True","False")</f>
        <v>False</v>
      </c>
      <c r="M573" s="4" t="s">
        <v>83</v>
      </c>
      <c r="N573" s="3">
        <v>4</v>
      </c>
      <c r="O573" s="4" t="str" cm="1">
        <f t="array" ref="O573">_xlfn.IFS(P573&lt;=2,"Poor",P573=3,"Average",P573&gt;=4,"Good")</f>
        <v>Good</v>
      </c>
      <c r="P573" s="3">
        <v>4</v>
      </c>
      <c r="Q573" s="2">
        <v>1.5</v>
      </c>
      <c r="R573" s="4" t="s">
        <v>59</v>
      </c>
      <c r="S573" s="4" t="s">
        <v>73</v>
      </c>
      <c r="T573" s="3">
        <v>0</v>
      </c>
      <c r="U573" s="4" t="str" cm="1">
        <f t="array" ref="U573">_xlfn.IFS(V573&lt;=4, "Dissatisfied",V573&lt;=7,"Neutral",V573&gt;=8,"Satisfied")</f>
        <v>Dissatisfied</v>
      </c>
      <c r="V573" s="3">
        <v>3</v>
      </c>
      <c r="W573" s="4" t="s">
        <v>72</v>
      </c>
      <c r="X573" s="4" t="s">
        <v>60</v>
      </c>
      <c r="Y573" s="4" t="s">
        <v>119</v>
      </c>
      <c r="Z573" s="1">
        <v>45496</v>
      </c>
      <c r="AA573" s="4" t="str" cm="1">
        <f t="array" ref="AA573">_xlfn.IFS(OR(AB573="December", AB573="February", AB573="January"), "Winter", OR(AB573="March", AB573="April", AB573="May"), "Spring", OR(AB573="June", AB573="July", AB573="August"), "Summer", TRUE, "Autumn")</f>
        <v>Summer</v>
      </c>
      <c r="AB573" s="7" t="str">
        <f>TEXT(Z573, "mmmm")</f>
        <v>July</v>
      </c>
      <c r="AC573" s="1" t="str">
        <f>TEXT(Z573, "dddd")</f>
        <v>Tuesday</v>
      </c>
      <c r="AD573" s="4" t="s">
        <v>62</v>
      </c>
      <c r="AE573" s="4" t="s">
        <v>76</v>
      </c>
      <c r="AF573" s="4" t="s">
        <v>102</v>
      </c>
      <c r="AG573" s="4" t="s">
        <v>64</v>
      </c>
      <c r="AH573" s="3">
        <v>8</v>
      </c>
    </row>
    <row r="574" spans="1:34">
      <c r="A574" s="4" t="s">
        <v>1244</v>
      </c>
      <c r="B574" s="3">
        <v>21</v>
      </c>
      <c r="C574" s="9" t="str" cm="1">
        <f t="array" ref="C574">_xlfn.IFS(B574&gt;65,"+65",B574&gt;54,"55-65",B574&gt;44,"45-54",B574&gt;35,"36-44",B574&gt;25,"26-35",B574&gt;=18,"18-25")</f>
        <v>18-25</v>
      </c>
      <c r="D574" s="4" t="s">
        <v>78</v>
      </c>
      <c r="E574" s="4" t="s">
        <v>51</v>
      </c>
      <c r="F574" s="4" t="s">
        <v>79</v>
      </c>
      <c r="G574" s="4" t="s">
        <v>80</v>
      </c>
      <c r="H574" s="4" t="s">
        <v>1245</v>
      </c>
      <c r="I574" s="4" t="s">
        <v>164</v>
      </c>
      <c r="J574" s="5">
        <v>463.07</v>
      </c>
      <c r="K574" s="3">
        <v>7</v>
      </c>
      <c r="L574" s="4" t="str">
        <f>IF(AND(J574&gt;350,K574&gt;6), "True","False")</f>
        <v>True</v>
      </c>
      <c r="M574" s="4" t="s">
        <v>83</v>
      </c>
      <c r="N574" s="3">
        <v>4</v>
      </c>
      <c r="O574" s="4" t="str" cm="1">
        <f t="array" ref="O574">_xlfn.IFS(P574&lt;=2,"Poor",P574=3,"Average",P574&gt;=4,"Good")</f>
        <v>Poor</v>
      </c>
      <c r="P574" s="3">
        <v>2</v>
      </c>
      <c r="Q574" s="2">
        <v>0</v>
      </c>
      <c r="R574" s="4" t="s">
        <v>57</v>
      </c>
      <c r="S574" s="4" t="s">
        <v>73</v>
      </c>
      <c r="T574" s="3">
        <v>1</v>
      </c>
      <c r="U574" s="4" t="str" cm="1">
        <f t="array" ref="U574">_xlfn.IFS(V574&lt;=4, "Dissatisfied",V574&lt;=7,"Neutral",V574&gt;=8,"Satisfied")</f>
        <v>Dissatisfied</v>
      </c>
      <c r="V574" s="3">
        <v>2</v>
      </c>
      <c r="W574" s="4" t="s">
        <v>85</v>
      </c>
      <c r="X574" s="4" t="s">
        <v>60</v>
      </c>
      <c r="Y574" s="4" t="s">
        <v>86</v>
      </c>
      <c r="Z574" s="1">
        <v>45496</v>
      </c>
      <c r="AA574" s="4" t="str" cm="1">
        <f t="array" ref="AA574">_xlfn.IFS(OR(AB574="December", AB574="February", AB574="January"), "Winter", OR(AB574="March", AB574="April", AB574="May"), "Spring", OR(AB574="June", AB574="July", AB574="August"), "Summer", TRUE, "Autumn")</f>
        <v>Summer</v>
      </c>
      <c r="AB574" s="7" t="str">
        <f>TEXT(Z574, "mmmm")</f>
        <v>July</v>
      </c>
      <c r="AC574" s="1" t="str">
        <f>TEXT(Z574, "dddd")</f>
        <v>Tuesday</v>
      </c>
      <c r="AD574" s="4" t="s">
        <v>62</v>
      </c>
      <c r="AE574" s="4" t="s">
        <v>76</v>
      </c>
      <c r="AF574" s="4" t="s">
        <v>102</v>
      </c>
      <c r="AG574" s="4" t="s">
        <v>88</v>
      </c>
      <c r="AH574" s="3">
        <v>11</v>
      </c>
    </row>
    <row r="575" spans="1:34">
      <c r="A575" s="4" t="s">
        <v>1246</v>
      </c>
      <c r="B575" s="3">
        <v>50</v>
      </c>
      <c r="C575" s="9" t="str" cm="1">
        <f t="array" ref="C575">_xlfn.IFS(B575&gt;65,"+65",B575&gt;54,"55-65",B575&gt;44,"45-54",B575&gt;35,"36-44",B575&gt;25,"26-35",B575&gt;=18,"18-25")</f>
        <v>45-54</v>
      </c>
      <c r="D575" s="4" t="s">
        <v>66</v>
      </c>
      <c r="E575" s="4" t="s">
        <v>72</v>
      </c>
      <c r="F575" s="4" t="s">
        <v>52</v>
      </c>
      <c r="G575" s="4" t="s">
        <v>68</v>
      </c>
      <c r="H575" s="4" t="s">
        <v>1247</v>
      </c>
      <c r="I575" s="4" t="s">
        <v>156</v>
      </c>
      <c r="J575" s="5">
        <v>81.91</v>
      </c>
      <c r="K575" s="3">
        <v>10</v>
      </c>
      <c r="L575" s="4" t="str">
        <f>IF(AND(J575&gt;350,K575&gt;6), "True","False")</f>
        <v>False</v>
      </c>
      <c r="M575" s="4" t="s">
        <v>71</v>
      </c>
      <c r="N575" s="3">
        <v>3</v>
      </c>
      <c r="O575" s="4" t="str" cm="1">
        <f t="array" ref="O575">_xlfn.IFS(P575&lt;=2,"Poor",P575=3,"Average",P575&gt;=4,"Good")</f>
        <v>Good</v>
      </c>
      <c r="P575" s="3">
        <v>4</v>
      </c>
      <c r="Q575" s="2">
        <v>1</v>
      </c>
      <c r="R575" s="4" t="s">
        <v>85</v>
      </c>
      <c r="S575" s="4" t="s">
        <v>73</v>
      </c>
      <c r="T575" s="3">
        <v>0</v>
      </c>
      <c r="U575" s="4" t="str" cm="1">
        <f t="array" ref="U575">_xlfn.IFS(V575&lt;=4, "Dissatisfied",V575&lt;=7,"Neutral",V575&gt;=8,"Satisfied")</f>
        <v>Dissatisfied</v>
      </c>
      <c r="V575" s="3">
        <v>4</v>
      </c>
      <c r="W575" s="4" t="s">
        <v>57</v>
      </c>
      <c r="X575" s="4" t="s">
        <v>101</v>
      </c>
      <c r="Y575" s="4" t="s">
        <v>75</v>
      </c>
      <c r="Z575" s="1">
        <v>45497</v>
      </c>
      <c r="AA575" s="4" t="str" cm="1">
        <f t="array" ref="AA575">_xlfn.IFS(OR(AB575="December", AB575="February", AB575="January"), "Winter", OR(AB575="March", AB575="April", AB575="May"), "Spring", OR(AB575="June", AB575="July", AB575="August"), "Summer", TRUE, "Autumn")</f>
        <v>Summer</v>
      </c>
      <c r="AB575" s="7" t="str">
        <f>TEXT(Z575, "mmmm")</f>
        <v>July</v>
      </c>
      <c r="AC575" s="1" t="str">
        <f>TEXT(Z575, "dddd")</f>
        <v>Wednesday</v>
      </c>
      <c r="AD575" s="4" t="s">
        <v>76</v>
      </c>
      <c r="AE575" s="4" t="s">
        <v>62</v>
      </c>
      <c r="AF575" s="4" t="s">
        <v>63</v>
      </c>
      <c r="AG575" s="4" t="s">
        <v>93</v>
      </c>
      <c r="AH575" s="3">
        <v>2</v>
      </c>
    </row>
    <row r="576" spans="1:34">
      <c r="A576" s="4" t="s">
        <v>1248</v>
      </c>
      <c r="B576" s="3">
        <v>43</v>
      </c>
      <c r="C576" s="9" t="str" cm="1">
        <f t="array" ref="C576">_xlfn.IFS(B576&gt;65,"+65",B576&gt;54,"55-65",B576&gt;44,"45-54",B576&gt;35,"36-44",B576&gt;25,"26-35",B576&gt;=18,"18-25")</f>
        <v>36-44</v>
      </c>
      <c r="D576" s="4" t="s">
        <v>66</v>
      </c>
      <c r="E576" s="4" t="s">
        <v>72</v>
      </c>
      <c r="F576" s="4" t="s">
        <v>79</v>
      </c>
      <c r="G576" s="4" t="s">
        <v>68</v>
      </c>
      <c r="H576" s="4" t="s">
        <v>1249</v>
      </c>
      <c r="I576" s="4" t="s">
        <v>275</v>
      </c>
      <c r="J576" s="5">
        <v>257.12</v>
      </c>
      <c r="K576" s="3">
        <v>8</v>
      </c>
      <c r="L576" s="4" t="str">
        <f>IF(AND(J576&gt;350,K576&gt;6), "True","False")</f>
        <v>False</v>
      </c>
      <c r="M576" s="4" t="s">
        <v>56</v>
      </c>
      <c r="N576" s="3">
        <v>2</v>
      </c>
      <c r="O576" s="4" t="str" cm="1">
        <f t="array" ref="O576">_xlfn.IFS(P576&lt;=2,"Poor",P576=3,"Average",P576&gt;=4,"Good")</f>
        <v>Poor</v>
      </c>
      <c r="P576" s="3">
        <v>1</v>
      </c>
      <c r="Q576" s="2">
        <v>0</v>
      </c>
      <c r="R576" s="4" t="s">
        <v>72</v>
      </c>
      <c r="S576" s="4" t="s">
        <v>58</v>
      </c>
      <c r="T576" s="3">
        <v>2</v>
      </c>
      <c r="U576" s="4" t="str" cm="1">
        <f t="array" ref="U576">_xlfn.IFS(V576&lt;=4, "Dissatisfied",V576&lt;=7,"Neutral",V576&gt;=8,"Satisfied")</f>
        <v>Dissatisfied</v>
      </c>
      <c r="V576" s="3">
        <v>1</v>
      </c>
      <c r="W576" s="4" t="s">
        <v>72</v>
      </c>
      <c r="X576" s="4" t="s">
        <v>60</v>
      </c>
      <c r="Y576" s="4" t="s">
        <v>111</v>
      </c>
      <c r="Z576" s="1">
        <v>45497</v>
      </c>
      <c r="AA576" s="4" t="str" cm="1">
        <f t="array" ref="AA576">_xlfn.IFS(OR(AB576="December", AB576="February", AB576="January"), "Winter", OR(AB576="March", AB576="April", AB576="May"), "Spring", OR(AB576="June", AB576="July", AB576="August"), "Summer", TRUE, "Autumn")</f>
        <v>Summer</v>
      </c>
      <c r="AB576" s="7" t="str">
        <f>TEXT(Z576, "mmmm")</f>
        <v>July</v>
      </c>
      <c r="AC576" s="1" t="str">
        <f>TEXT(Z576, "dddd")</f>
        <v>Wednesday</v>
      </c>
      <c r="AD576" s="4" t="s">
        <v>62</v>
      </c>
      <c r="AE576" s="4" t="s">
        <v>76</v>
      </c>
      <c r="AF576" s="4" t="s">
        <v>92</v>
      </c>
      <c r="AG576" s="4" t="s">
        <v>88</v>
      </c>
      <c r="AH576" s="3">
        <v>11</v>
      </c>
    </row>
    <row r="577" spans="1:34">
      <c r="A577" s="4" t="s">
        <v>1250</v>
      </c>
      <c r="B577" s="3">
        <v>30</v>
      </c>
      <c r="C577" s="9" t="str" cm="1">
        <f t="array" ref="C577">_xlfn.IFS(B577&gt;65,"+65",B577&gt;54,"55-65",B577&gt;44,"45-54",B577&gt;35,"36-44",B577&gt;25,"26-35",B577&gt;=18,"18-25")</f>
        <v>26-35</v>
      </c>
      <c r="D577" s="4" t="s">
        <v>225</v>
      </c>
      <c r="E577" s="4" t="s">
        <v>72</v>
      </c>
      <c r="F577" s="4" t="s">
        <v>79</v>
      </c>
      <c r="G577" s="4" t="s">
        <v>53</v>
      </c>
      <c r="H577" s="4" t="s">
        <v>1251</v>
      </c>
      <c r="I577" s="4" t="s">
        <v>70</v>
      </c>
      <c r="J577" s="5">
        <v>157.26</v>
      </c>
      <c r="K577" s="3">
        <v>3</v>
      </c>
      <c r="L577" s="4" t="str">
        <f>IF(AND(J577&gt;350,K577&gt;6), "True","False")</f>
        <v>False</v>
      </c>
      <c r="M577" s="4" t="s">
        <v>56</v>
      </c>
      <c r="N577" s="3">
        <v>1</v>
      </c>
      <c r="O577" s="4" t="str" cm="1">
        <f t="array" ref="O577">_xlfn.IFS(P577&lt;=2,"Poor",P577=3,"Average",P577&gt;=4,"Good")</f>
        <v>Average</v>
      </c>
      <c r="P577" s="3">
        <v>3</v>
      </c>
      <c r="Q577" s="2">
        <v>1</v>
      </c>
      <c r="R577" s="4" t="s">
        <v>85</v>
      </c>
      <c r="S577" s="4" t="s">
        <v>58</v>
      </c>
      <c r="T577" s="3">
        <v>1</v>
      </c>
      <c r="U577" s="4" t="str" cm="1">
        <f t="array" ref="U577">_xlfn.IFS(V577&lt;=4, "Dissatisfied",V577&lt;=7,"Neutral",V577&gt;=8,"Satisfied")</f>
        <v>Dissatisfied</v>
      </c>
      <c r="V577" s="3">
        <v>1</v>
      </c>
      <c r="W577" s="4" t="s">
        <v>57</v>
      </c>
      <c r="X577" s="4" t="s">
        <v>101</v>
      </c>
      <c r="Y577" s="4" t="s">
        <v>61</v>
      </c>
      <c r="Z577" s="1">
        <v>45497</v>
      </c>
      <c r="AA577" s="4" t="str" cm="1">
        <f t="array" ref="AA577">_xlfn.IFS(OR(AB577="December", AB577="February", AB577="January"), "Winter", OR(AB577="March", AB577="April", AB577="May"), "Spring", OR(AB577="June", AB577="July", AB577="August"), "Summer", TRUE, "Autumn")</f>
        <v>Summer</v>
      </c>
      <c r="AB577" s="7" t="str">
        <f>TEXT(Z577, "mmmm")</f>
        <v>July</v>
      </c>
      <c r="AC577" s="1" t="str">
        <f>TEXT(Z577, "dddd")</f>
        <v>Wednesday</v>
      </c>
      <c r="AD577" s="4" t="s">
        <v>76</v>
      </c>
      <c r="AE577" s="4" t="s">
        <v>76</v>
      </c>
      <c r="AF577" s="4" t="s">
        <v>63</v>
      </c>
      <c r="AG577" s="4" t="s">
        <v>64</v>
      </c>
      <c r="AH577" s="3">
        <v>8</v>
      </c>
    </row>
    <row r="578" spans="1:34">
      <c r="A578" s="4" t="s">
        <v>1252</v>
      </c>
      <c r="B578" s="3">
        <v>25</v>
      </c>
      <c r="C578" s="9" t="str" cm="1">
        <f t="array" ref="C578">_xlfn.IFS(B578&gt;65,"+65",B578&gt;54,"55-65",B578&gt;44,"45-54",B578&gt;35,"36-44",B578&gt;25,"26-35",B578&gt;=18,"18-25")</f>
        <v>18-25</v>
      </c>
      <c r="D578" s="4" t="s">
        <v>78</v>
      </c>
      <c r="E578" s="4" t="s">
        <v>51</v>
      </c>
      <c r="F578" s="4" t="s">
        <v>67</v>
      </c>
      <c r="G578" s="4" t="s">
        <v>53</v>
      </c>
      <c r="H578" s="4" t="s">
        <v>1253</v>
      </c>
      <c r="I578" s="4" t="s">
        <v>275</v>
      </c>
      <c r="J578" s="5">
        <v>473.5</v>
      </c>
      <c r="K578" s="3">
        <v>11</v>
      </c>
      <c r="L578" s="4" t="str">
        <f>IF(AND(J578&gt;350,K578&gt;6), "True","False")</f>
        <v>True</v>
      </c>
      <c r="M578" s="4" t="s">
        <v>83</v>
      </c>
      <c r="N578" s="3">
        <v>2</v>
      </c>
      <c r="O578" s="4" t="str" cm="1">
        <f t="array" ref="O578">_xlfn.IFS(P578&lt;=2,"Poor",P578=3,"Average",P578&gt;=4,"Good")</f>
        <v>Good</v>
      </c>
      <c r="P578" s="3">
        <v>4</v>
      </c>
      <c r="Q578" s="2">
        <v>1</v>
      </c>
      <c r="R578" s="4" t="s">
        <v>59</v>
      </c>
      <c r="S578" s="4" t="s">
        <v>84</v>
      </c>
      <c r="T578" s="3">
        <v>2</v>
      </c>
      <c r="U578" s="4" t="str" cm="1">
        <f t="array" ref="U578">_xlfn.IFS(V578&lt;=4, "Dissatisfied",V578&lt;=7,"Neutral",V578&gt;=8,"Satisfied")</f>
        <v>Dissatisfied</v>
      </c>
      <c r="V578" s="3">
        <v>3</v>
      </c>
      <c r="W578" s="4" t="s">
        <v>72</v>
      </c>
      <c r="X578" s="4" t="s">
        <v>74</v>
      </c>
      <c r="Y578" s="4" t="s">
        <v>111</v>
      </c>
      <c r="Z578" s="1">
        <v>45497</v>
      </c>
      <c r="AA578" s="4" t="str" cm="1">
        <f t="array" ref="AA578">_xlfn.IFS(OR(AB578="December", AB578="February", AB578="January"), "Winter", OR(AB578="March", AB578="April", AB578="May"), "Spring", OR(AB578="June", AB578="July", AB578="August"), "Summer", TRUE, "Autumn")</f>
        <v>Summer</v>
      </c>
      <c r="AB578" s="7" t="str">
        <f>TEXT(Z578, "mmmm")</f>
        <v>July</v>
      </c>
      <c r="AC578" s="1" t="str">
        <f>TEXT(Z578, "dddd")</f>
        <v>Wednesday</v>
      </c>
      <c r="AD578" s="4" t="s">
        <v>76</v>
      </c>
      <c r="AE578" s="4" t="s">
        <v>62</v>
      </c>
      <c r="AF578" s="4" t="s">
        <v>92</v>
      </c>
      <c r="AG578" s="4" t="s">
        <v>93</v>
      </c>
      <c r="AH578" s="3">
        <v>10</v>
      </c>
    </row>
    <row r="579" spans="1:34">
      <c r="A579" s="4" t="s">
        <v>1254</v>
      </c>
      <c r="B579" s="3">
        <v>24</v>
      </c>
      <c r="C579" s="9" t="str" cm="1">
        <f t="array" ref="C579">_xlfn.IFS(B579&gt;65,"+65",B579&gt;54,"55-65",B579&gt;44,"45-54",B579&gt;35,"36-44",B579&gt;25,"26-35",B579&gt;=18,"18-25")</f>
        <v>18-25</v>
      </c>
      <c r="D579" s="4" t="s">
        <v>66</v>
      </c>
      <c r="E579" s="4" t="s">
        <v>51</v>
      </c>
      <c r="F579" s="4" t="s">
        <v>67</v>
      </c>
      <c r="G579" s="4" t="s">
        <v>68</v>
      </c>
      <c r="H579" s="4" t="s">
        <v>1255</v>
      </c>
      <c r="I579" s="4" t="s">
        <v>118</v>
      </c>
      <c r="J579" s="5">
        <v>437.3</v>
      </c>
      <c r="K579" s="3">
        <v>7</v>
      </c>
      <c r="L579" s="4" t="str">
        <f>IF(AND(J579&gt;350,K579&gt;6), "True","False")</f>
        <v>True</v>
      </c>
      <c r="M579" s="4" t="s">
        <v>83</v>
      </c>
      <c r="N579" s="3">
        <v>2</v>
      </c>
      <c r="O579" s="4" t="str" cm="1">
        <f t="array" ref="O579">_xlfn.IFS(P579&lt;=2,"Poor",P579=3,"Average",P579&gt;=4,"Good")</f>
        <v>Good</v>
      </c>
      <c r="P579" s="3">
        <v>4</v>
      </c>
      <c r="Q579" s="2">
        <v>0</v>
      </c>
      <c r="R579" s="4" t="s">
        <v>72</v>
      </c>
      <c r="S579" s="4" t="s">
        <v>84</v>
      </c>
      <c r="T579" s="3">
        <v>0</v>
      </c>
      <c r="U579" s="4" t="str" cm="1">
        <f t="array" ref="U579">_xlfn.IFS(V579&lt;=4, "Dissatisfied",V579&lt;=7,"Neutral",V579&gt;=8,"Satisfied")</f>
        <v>Neutral</v>
      </c>
      <c r="V579" s="3">
        <v>7</v>
      </c>
      <c r="W579" s="4" t="s">
        <v>57</v>
      </c>
      <c r="X579" s="4" t="s">
        <v>74</v>
      </c>
      <c r="Y579" s="4" t="s">
        <v>61</v>
      </c>
      <c r="Z579" s="1">
        <v>45497</v>
      </c>
      <c r="AA579" s="4" t="str" cm="1">
        <f t="array" ref="AA579">_xlfn.IFS(OR(AB579="December", AB579="February", AB579="January"), "Winter", OR(AB579="March", AB579="April", AB579="May"), "Spring", OR(AB579="June", AB579="July", AB579="August"), "Summer", TRUE, "Autumn")</f>
        <v>Summer</v>
      </c>
      <c r="AB579" s="7" t="str">
        <f>TEXT(Z579, "mmmm")</f>
        <v>July</v>
      </c>
      <c r="AC579" s="1" t="str">
        <f>TEXT(Z579, "dddd")</f>
        <v>Wednesday</v>
      </c>
      <c r="AD579" s="4" t="s">
        <v>62</v>
      </c>
      <c r="AE579" s="4" t="s">
        <v>62</v>
      </c>
      <c r="AF579" s="4" t="s">
        <v>92</v>
      </c>
      <c r="AG579" s="4" t="s">
        <v>88</v>
      </c>
      <c r="AH579" s="3">
        <v>1</v>
      </c>
    </row>
    <row r="580" spans="1:34">
      <c r="A580" s="4" t="s">
        <v>1256</v>
      </c>
      <c r="B580" s="3">
        <v>44</v>
      </c>
      <c r="C580" s="9" t="str" cm="1">
        <f t="array" ref="C580">_xlfn.IFS(B580&gt;65,"+65",B580&gt;54,"55-65",B580&gt;44,"45-54",B580&gt;35,"36-44",B580&gt;25,"26-35",B580&gt;=18,"18-25")</f>
        <v>36-44</v>
      </c>
      <c r="D580" s="4" t="s">
        <v>78</v>
      </c>
      <c r="E580" s="4" t="s">
        <v>51</v>
      </c>
      <c r="F580" s="4" t="s">
        <v>67</v>
      </c>
      <c r="G580" s="4" t="s">
        <v>80</v>
      </c>
      <c r="H580" s="4" t="s">
        <v>1257</v>
      </c>
      <c r="I580" s="4" t="s">
        <v>169</v>
      </c>
      <c r="J580" s="5">
        <v>269.77999999999997</v>
      </c>
      <c r="K580" s="3">
        <v>7</v>
      </c>
      <c r="L580" s="4" t="str">
        <f>IF(AND(J580&gt;350,K580&gt;6), "True","False")</f>
        <v>False</v>
      </c>
      <c r="M580" s="4" t="s">
        <v>71</v>
      </c>
      <c r="N580" s="3">
        <v>2</v>
      </c>
      <c r="O580" s="4" t="str" cm="1">
        <f t="array" ref="O580">_xlfn.IFS(P580&lt;=2,"Poor",P580=3,"Average",P580&gt;=4,"Good")</f>
        <v>Average</v>
      </c>
      <c r="P580" s="3">
        <v>3</v>
      </c>
      <c r="Q580" s="2">
        <v>1</v>
      </c>
      <c r="R580" s="4" t="s">
        <v>85</v>
      </c>
      <c r="S580" s="4" t="s">
        <v>84</v>
      </c>
      <c r="T580" s="3">
        <v>2</v>
      </c>
      <c r="U580" s="4" t="str" cm="1">
        <f t="array" ref="U580">_xlfn.IFS(V580&lt;=4, "Dissatisfied",V580&lt;=7,"Neutral",V580&gt;=8,"Satisfied")</f>
        <v>Neutral</v>
      </c>
      <c r="V580" s="3">
        <v>7</v>
      </c>
      <c r="W580" s="4" t="s">
        <v>85</v>
      </c>
      <c r="X580" s="4" t="s">
        <v>101</v>
      </c>
      <c r="Y580" s="4" t="s">
        <v>111</v>
      </c>
      <c r="Z580" s="1">
        <v>45498</v>
      </c>
      <c r="AA580" s="4" t="str" cm="1">
        <f t="array" ref="AA580">_xlfn.IFS(OR(AB580="December", AB580="February", AB580="January"), "Winter", OR(AB580="March", AB580="April", AB580="May"), "Spring", OR(AB580="June", AB580="July", AB580="August"), "Summer", TRUE, "Autumn")</f>
        <v>Summer</v>
      </c>
      <c r="AB580" s="7" t="str">
        <f>TEXT(Z580, "mmmm")</f>
        <v>July</v>
      </c>
      <c r="AC580" s="1" t="str">
        <f>TEXT(Z580, "dddd")</f>
        <v>Thursday</v>
      </c>
      <c r="AD580" s="4" t="s">
        <v>62</v>
      </c>
      <c r="AE580" s="4" t="s">
        <v>62</v>
      </c>
      <c r="AF580" s="4" t="s">
        <v>63</v>
      </c>
      <c r="AG580" s="4" t="s">
        <v>88</v>
      </c>
      <c r="AH580" s="3">
        <v>5</v>
      </c>
    </row>
    <row r="581" spans="1:34">
      <c r="A581" s="4" t="s">
        <v>1258</v>
      </c>
      <c r="B581" s="3">
        <v>26</v>
      </c>
      <c r="C581" s="9" t="str" cm="1">
        <f t="array" ref="C581">_xlfn.IFS(B581&gt;65,"+65",B581&gt;54,"55-65",B581&gt;44,"45-54",B581&gt;35,"36-44",B581&gt;25,"26-35",B581&gt;=18,"18-25")</f>
        <v>26-35</v>
      </c>
      <c r="D581" s="4" t="s">
        <v>78</v>
      </c>
      <c r="E581" s="4" t="s">
        <v>72</v>
      </c>
      <c r="F581" s="4" t="s">
        <v>52</v>
      </c>
      <c r="G581" s="4" t="s">
        <v>53</v>
      </c>
      <c r="H581" s="4" t="s">
        <v>1259</v>
      </c>
      <c r="I581" s="4" t="s">
        <v>151</v>
      </c>
      <c r="J581" s="5">
        <v>93.29</v>
      </c>
      <c r="K581" s="3">
        <v>11</v>
      </c>
      <c r="L581" s="4" t="str">
        <f>IF(AND(J581&gt;350,K581&gt;6), "True","False")</f>
        <v>False</v>
      </c>
      <c r="M581" s="4" t="s">
        <v>56</v>
      </c>
      <c r="N581" s="3">
        <v>2</v>
      </c>
      <c r="O581" s="4" t="str" cm="1">
        <f t="array" ref="O581">_xlfn.IFS(P581&lt;=2,"Poor",P581=3,"Average",P581&gt;=4,"Good")</f>
        <v>Poor</v>
      </c>
      <c r="P581" s="3">
        <v>2</v>
      </c>
      <c r="Q581" s="2">
        <v>0</v>
      </c>
      <c r="R581" s="4" t="s">
        <v>72</v>
      </c>
      <c r="S581" s="4" t="s">
        <v>73</v>
      </c>
      <c r="T581" s="3">
        <v>0</v>
      </c>
      <c r="U581" s="4" t="str" cm="1">
        <f t="array" ref="U581">_xlfn.IFS(V581&lt;=4, "Dissatisfied",V581&lt;=7,"Neutral",V581&gt;=8,"Satisfied")</f>
        <v>Neutral</v>
      </c>
      <c r="V581" s="3">
        <v>7</v>
      </c>
      <c r="W581" s="4" t="s">
        <v>59</v>
      </c>
      <c r="X581" s="4" t="s">
        <v>74</v>
      </c>
      <c r="Y581" s="4" t="s">
        <v>111</v>
      </c>
      <c r="Z581" s="1">
        <v>45498</v>
      </c>
      <c r="AA581" s="4" t="str" cm="1">
        <f t="array" ref="AA581">_xlfn.IFS(OR(AB581="December", AB581="February", AB581="January"), "Winter", OR(AB581="March", AB581="April", AB581="May"), "Spring", OR(AB581="June", AB581="July", AB581="August"), "Summer", TRUE, "Autumn")</f>
        <v>Summer</v>
      </c>
      <c r="AB581" s="7" t="str">
        <f>TEXT(Z581, "mmmm")</f>
        <v>July</v>
      </c>
      <c r="AC581" s="1" t="str">
        <f>TEXT(Z581, "dddd")</f>
        <v>Thursday</v>
      </c>
      <c r="AD581" s="4" t="s">
        <v>62</v>
      </c>
      <c r="AE581" s="4" t="s">
        <v>76</v>
      </c>
      <c r="AF581" s="4" t="s">
        <v>92</v>
      </c>
      <c r="AG581" s="4" t="s">
        <v>88</v>
      </c>
      <c r="AH581" s="3">
        <v>9</v>
      </c>
    </row>
    <row r="582" spans="1:34">
      <c r="A582" s="4" t="s">
        <v>1260</v>
      </c>
      <c r="B582" s="3">
        <v>42</v>
      </c>
      <c r="C582" s="9" t="str" cm="1">
        <f t="array" ref="C582">_xlfn.IFS(B582&gt;65,"+65",B582&gt;54,"55-65",B582&gt;44,"45-54",B582&gt;35,"36-44",B582&gt;25,"26-35",B582&gt;=18,"18-25")</f>
        <v>36-44</v>
      </c>
      <c r="D582" s="4" t="s">
        <v>160</v>
      </c>
      <c r="E582" s="4" t="s">
        <v>51</v>
      </c>
      <c r="F582" s="4" t="s">
        <v>67</v>
      </c>
      <c r="G582" s="4" t="s">
        <v>53</v>
      </c>
      <c r="H582" s="4" t="s">
        <v>1261</v>
      </c>
      <c r="I582" s="4" t="s">
        <v>169</v>
      </c>
      <c r="J582" s="5">
        <v>301.16000000000003</v>
      </c>
      <c r="K582" s="3">
        <v>10</v>
      </c>
      <c r="L582" s="4" t="str">
        <f>IF(AND(J582&gt;350,K582&gt;6), "True","False")</f>
        <v>False</v>
      </c>
      <c r="M582" s="4" t="s">
        <v>56</v>
      </c>
      <c r="N582" s="3">
        <v>4</v>
      </c>
      <c r="O582" s="4" t="str" cm="1">
        <f t="array" ref="O582">_xlfn.IFS(P582&lt;=2,"Poor",P582=3,"Average",P582&gt;=4,"Good")</f>
        <v>Average</v>
      </c>
      <c r="P582" s="3">
        <v>3</v>
      </c>
      <c r="Q582" s="2">
        <v>2</v>
      </c>
      <c r="R582" s="4" t="s">
        <v>57</v>
      </c>
      <c r="S582" s="4" t="s">
        <v>73</v>
      </c>
      <c r="T582" s="3">
        <v>2</v>
      </c>
      <c r="U582" s="4" t="str" cm="1">
        <f t="array" ref="U582">_xlfn.IFS(V582&lt;=4, "Dissatisfied",V582&lt;=7,"Neutral",V582&gt;=8,"Satisfied")</f>
        <v>Satisfied</v>
      </c>
      <c r="V582" s="3">
        <v>9</v>
      </c>
      <c r="W582" s="4" t="s">
        <v>85</v>
      </c>
      <c r="X582" s="4" t="s">
        <v>74</v>
      </c>
      <c r="Y582" s="4" t="s">
        <v>61</v>
      </c>
      <c r="Z582" s="1">
        <v>45499</v>
      </c>
      <c r="AA582" s="4" t="str" cm="1">
        <f t="array" ref="AA582">_xlfn.IFS(OR(AB582="December", AB582="February", AB582="January"), "Winter", OR(AB582="March", AB582="April", AB582="May"), "Spring", OR(AB582="June", AB582="July", AB582="August"), "Summer", TRUE, "Autumn")</f>
        <v>Summer</v>
      </c>
      <c r="AB582" s="7" t="str">
        <f>TEXT(Z582, "mmmm")</f>
        <v>July</v>
      </c>
      <c r="AC582" s="1" t="str">
        <f>TEXT(Z582, "dddd")</f>
        <v>Friday</v>
      </c>
      <c r="AD582" s="4" t="s">
        <v>76</v>
      </c>
      <c r="AE582" s="4" t="s">
        <v>76</v>
      </c>
      <c r="AF582" s="4" t="s">
        <v>63</v>
      </c>
      <c r="AG582" s="4" t="s">
        <v>64</v>
      </c>
      <c r="AH582" s="3">
        <v>1</v>
      </c>
    </row>
    <row r="583" spans="1:34">
      <c r="A583" s="4" t="s">
        <v>1262</v>
      </c>
      <c r="B583" s="3">
        <v>37</v>
      </c>
      <c r="C583" s="9" t="str" cm="1">
        <f t="array" ref="C583">_xlfn.IFS(B583&gt;65,"+65",B583&gt;54,"55-65",B583&gt;44,"45-54",B583&gt;35,"36-44",B583&gt;25,"26-35",B583&gt;=18,"18-25")</f>
        <v>36-44</v>
      </c>
      <c r="D583" s="4" t="s">
        <v>66</v>
      </c>
      <c r="E583" s="4" t="s">
        <v>51</v>
      </c>
      <c r="F583" s="4" t="s">
        <v>52</v>
      </c>
      <c r="G583" s="4" t="s">
        <v>80</v>
      </c>
      <c r="H583" s="4" t="s">
        <v>1263</v>
      </c>
      <c r="I583" s="4" t="s">
        <v>151</v>
      </c>
      <c r="J583" s="5">
        <v>439.24</v>
      </c>
      <c r="K583" s="3">
        <v>8</v>
      </c>
      <c r="L583" s="4" t="str">
        <f>IF(AND(J583&gt;350,K583&gt;6), "True","False")</f>
        <v>True</v>
      </c>
      <c r="M583" s="4" t="s">
        <v>83</v>
      </c>
      <c r="N583" s="3">
        <v>3</v>
      </c>
      <c r="O583" s="4" t="str" cm="1">
        <f t="array" ref="O583">_xlfn.IFS(P583&lt;=2,"Poor",P583=3,"Average",P583&gt;=4,"Good")</f>
        <v>Average</v>
      </c>
      <c r="P583" s="3">
        <v>3</v>
      </c>
      <c r="Q583" s="2">
        <v>1</v>
      </c>
      <c r="R583" s="4" t="s">
        <v>72</v>
      </c>
      <c r="S583" s="4" t="s">
        <v>84</v>
      </c>
      <c r="T583" s="3">
        <v>2</v>
      </c>
      <c r="U583" s="4" t="str" cm="1">
        <f t="array" ref="U583">_xlfn.IFS(V583&lt;=4, "Dissatisfied",V583&lt;=7,"Neutral",V583&gt;=8,"Satisfied")</f>
        <v>Satisfied</v>
      </c>
      <c r="V583" s="3">
        <v>9</v>
      </c>
      <c r="W583" s="4" t="s">
        <v>85</v>
      </c>
      <c r="X583" s="4" t="s">
        <v>74</v>
      </c>
      <c r="Y583" s="4" t="s">
        <v>111</v>
      </c>
      <c r="Z583" s="1">
        <v>45499</v>
      </c>
      <c r="AA583" s="4" t="str" cm="1">
        <f t="array" ref="AA583">_xlfn.IFS(OR(AB583="December", AB583="February", AB583="January"), "Winter", OR(AB583="March", AB583="April", AB583="May"), "Spring", OR(AB583="June", AB583="July", AB583="August"), "Summer", TRUE, "Autumn")</f>
        <v>Summer</v>
      </c>
      <c r="AB583" s="7" t="str">
        <f>TEXT(Z583, "mmmm")</f>
        <v>July</v>
      </c>
      <c r="AC583" s="1" t="str">
        <f>TEXT(Z583, "dddd")</f>
        <v>Friday</v>
      </c>
      <c r="AD583" s="4" t="s">
        <v>76</v>
      </c>
      <c r="AE583" s="4" t="s">
        <v>76</v>
      </c>
      <c r="AF583" s="4" t="s">
        <v>102</v>
      </c>
      <c r="AG583" s="4" t="s">
        <v>64</v>
      </c>
      <c r="AH583" s="3">
        <v>10</v>
      </c>
    </row>
    <row r="584" spans="1:34">
      <c r="A584" s="4" t="s">
        <v>1264</v>
      </c>
      <c r="B584" s="3">
        <v>26</v>
      </c>
      <c r="C584" s="9" t="str" cm="1">
        <f t="array" ref="C584">_xlfn.IFS(B584&gt;65,"+65",B584&gt;54,"55-65",B584&gt;44,"45-54",B584&gt;35,"36-44",B584&gt;25,"26-35",B584&gt;=18,"18-25")</f>
        <v>26-35</v>
      </c>
      <c r="D584" s="4" t="s">
        <v>66</v>
      </c>
      <c r="E584" s="4" t="s">
        <v>51</v>
      </c>
      <c r="F584" s="4" t="s">
        <v>67</v>
      </c>
      <c r="G584" s="4" t="s">
        <v>53</v>
      </c>
      <c r="H584" s="4" t="s">
        <v>1265</v>
      </c>
      <c r="I584" s="4" t="s">
        <v>151</v>
      </c>
      <c r="J584" s="5">
        <v>337.17</v>
      </c>
      <c r="K584" s="3">
        <v>8</v>
      </c>
      <c r="L584" s="4" t="str">
        <f>IF(AND(J584&gt;350,K584&gt;6), "True","False")</f>
        <v>False</v>
      </c>
      <c r="M584" s="4" t="s">
        <v>71</v>
      </c>
      <c r="N584" s="3">
        <v>5</v>
      </c>
      <c r="O584" s="4" t="str" cm="1">
        <f t="array" ref="O584">_xlfn.IFS(P584&lt;=2,"Poor",P584=3,"Average",P584&gt;=4,"Good")</f>
        <v>Good</v>
      </c>
      <c r="P584" s="3">
        <v>5</v>
      </c>
      <c r="Q584" s="2">
        <v>0</v>
      </c>
      <c r="R584" s="4" t="s">
        <v>59</v>
      </c>
      <c r="S584" s="4" t="s">
        <v>58</v>
      </c>
      <c r="T584" s="3">
        <v>1</v>
      </c>
      <c r="U584" s="4" t="str" cm="1">
        <f t="array" ref="U584">_xlfn.IFS(V584&lt;=4, "Dissatisfied",V584&lt;=7,"Neutral",V584&gt;=8,"Satisfied")</f>
        <v>Neutral</v>
      </c>
      <c r="V584" s="3">
        <v>6</v>
      </c>
      <c r="W584" s="4" t="s">
        <v>85</v>
      </c>
      <c r="X584" s="4" t="s">
        <v>74</v>
      </c>
      <c r="Y584" s="4" t="s">
        <v>119</v>
      </c>
      <c r="Z584" s="1">
        <v>45499</v>
      </c>
      <c r="AA584" s="4" t="str" cm="1">
        <f t="array" ref="AA584">_xlfn.IFS(OR(AB584="December", AB584="February", AB584="January"), "Winter", OR(AB584="March", AB584="April", AB584="May"), "Spring", OR(AB584="June", AB584="July", AB584="August"), "Summer", TRUE, "Autumn")</f>
        <v>Summer</v>
      </c>
      <c r="AB584" s="7" t="str">
        <f>TEXT(Z584, "mmmm")</f>
        <v>July</v>
      </c>
      <c r="AC584" s="1" t="str">
        <f>TEXT(Z584, "dddd")</f>
        <v>Friday</v>
      </c>
      <c r="AD584" s="4" t="s">
        <v>76</v>
      </c>
      <c r="AE584" s="4" t="s">
        <v>62</v>
      </c>
      <c r="AF584" s="4" t="s">
        <v>102</v>
      </c>
      <c r="AG584" s="4" t="s">
        <v>88</v>
      </c>
      <c r="AH584" s="3">
        <v>3</v>
      </c>
    </row>
    <row r="585" spans="1:34">
      <c r="A585" s="4" t="s">
        <v>1266</v>
      </c>
      <c r="B585" s="3">
        <v>39</v>
      </c>
      <c r="C585" s="9" t="str" cm="1">
        <f t="array" ref="C585">_xlfn.IFS(B585&gt;65,"+65",B585&gt;54,"55-65",B585&gt;44,"45-54",B585&gt;35,"36-44",B585&gt;25,"26-35",B585&gt;=18,"18-25")</f>
        <v>36-44</v>
      </c>
      <c r="D585" s="4" t="s">
        <v>78</v>
      </c>
      <c r="E585" s="4" t="s">
        <v>51</v>
      </c>
      <c r="F585" s="4" t="s">
        <v>95</v>
      </c>
      <c r="G585" s="4" t="s">
        <v>80</v>
      </c>
      <c r="H585" s="4" t="s">
        <v>1267</v>
      </c>
      <c r="I585" s="4" t="s">
        <v>146</v>
      </c>
      <c r="J585" s="5">
        <v>295.54000000000002</v>
      </c>
      <c r="K585" s="3">
        <v>8</v>
      </c>
      <c r="L585" s="4" t="str">
        <f>IF(AND(J585&gt;350,K585&gt;6), "True","False")</f>
        <v>False</v>
      </c>
      <c r="M585" s="4" t="s">
        <v>56</v>
      </c>
      <c r="N585" s="3">
        <v>3</v>
      </c>
      <c r="O585" s="4" t="str" cm="1">
        <f t="array" ref="O585">_xlfn.IFS(P585&lt;=2,"Poor",P585=3,"Average",P585&gt;=4,"Good")</f>
        <v>Average</v>
      </c>
      <c r="P585" s="3">
        <v>3</v>
      </c>
      <c r="Q585" s="2">
        <v>1</v>
      </c>
      <c r="R585" s="4" t="s">
        <v>57</v>
      </c>
      <c r="S585" s="4" t="s">
        <v>73</v>
      </c>
      <c r="T585" s="3">
        <v>2</v>
      </c>
      <c r="U585" s="4" t="str" cm="1">
        <f t="array" ref="U585">_xlfn.IFS(V585&lt;=4, "Dissatisfied",V585&lt;=7,"Neutral",V585&gt;=8,"Satisfied")</f>
        <v>Dissatisfied</v>
      </c>
      <c r="V585" s="3">
        <v>4</v>
      </c>
      <c r="W585" s="4" t="s">
        <v>59</v>
      </c>
      <c r="X585" s="4" t="s">
        <v>74</v>
      </c>
      <c r="Y585" s="4" t="s">
        <v>61</v>
      </c>
      <c r="Z585" s="1">
        <v>45500</v>
      </c>
      <c r="AA585" s="4" t="str" cm="1">
        <f t="array" ref="AA585">_xlfn.IFS(OR(AB585="December", AB585="February", AB585="January"), "Winter", OR(AB585="March", AB585="April", AB585="May"), "Spring", OR(AB585="June", AB585="July", AB585="August"), "Summer", TRUE, "Autumn")</f>
        <v>Summer</v>
      </c>
      <c r="AB585" s="7" t="str">
        <f>TEXT(Z585, "mmmm")</f>
        <v>July</v>
      </c>
      <c r="AC585" s="1" t="str">
        <f>TEXT(Z585, "dddd")</f>
        <v>Saturday</v>
      </c>
      <c r="AD585" s="4" t="s">
        <v>76</v>
      </c>
      <c r="AE585" s="4" t="s">
        <v>76</v>
      </c>
      <c r="AF585" s="4" t="s">
        <v>87</v>
      </c>
      <c r="AG585" s="4" t="s">
        <v>93</v>
      </c>
      <c r="AH585" s="3">
        <v>14</v>
      </c>
    </row>
    <row r="586" spans="1:34">
      <c r="A586" s="4" t="s">
        <v>1268</v>
      </c>
      <c r="B586" s="3">
        <v>39</v>
      </c>
      <c r="C586" s="9" t="str" cm="1">
        <f t="array" ref="C586">_xlfn.IFS(B586&gt;65,"+65",B586&gt;54,"55-65",B586&gt;44,"45-54",B586&gt;35,"36-44",B586&gt;25,"26-35",B586&gt;=18,"18-25")</f>
        <v>36-44</v>
      </c>
      <c r="D586" s="4" t="s">
        <v>66</v>
      </c>
      <c r="E586" s="4" t="s">
        <v>72</v>
      </c>
      <c r="F586" s="4" t="s">
        <v>79</v>
      </c>
      <c r="G586" s="4" t="s">
        <v>80</v>
      </c>
      <c r="H586" s="4" t="s">
        <v>1269</v>
      </c>
      <c r="I586" s="4" t="s">
        <v>275</v>
      </c>
      <c r="J586" s="5">
        <v>373.01</v>
      </c>
      <c r="K586" s="3">
        <v>5</v>
      </c>
      <c r="L586" s="4" t="str">
        <f>IF(AND(J586&gt;350,K586&gt;6), "True","False")</f>
        <v>False</v>
      </c>
      <c r="M586" s="4" t="s">
        <v>71</v>
      </c>
      <c r="N586" s="3">
        <v>5</v>
      </c>
      <c r="O586" s="4" t="str" cm="1">
        <f t="array" ref="O586">_xlfn.IFS(P586&lt;=2,"Poor",P586=3,"Average",P586&gt;=4,"Good")</f>
        <v>Good</v>
      </c>
      <c r="P586" s="3">
        <v>5</v>
      </c>
      <c r="Q586" s="2">
        <v>1</v>
      </c>
      <c r="R586" s="4" t="s">
        <v>59</v>
      </c>
      <c r="S586" s="4" t="s">
        <v>84</v>
      </c>
      <c r="T586" s="3">
        <v>1</v>
      </c>
      <c r="U586" s="4" t="str" cm="1">
        <f t="array" ref="U586">_xlfn.IFS(V586&lt;=4, "Dissatisfied",V586&lt;=7,"Neutral",V586&gt;=8,"Satisfied")</f>
        <v>Dissatisfied</v>
      </c>
      <c r="V586" s="3">
        <v>4</v>
      </c>
      <c r="W586" s="4" t="s">
        <v>85</v>
      </c>
      <c r="X586" s="4" t="s">
        <v>60</v>
      </c>
      <c r="Y586" s="4" t="s">
        <v>86</v>
      </c>
      <c r="Z586" s="1">
        <v>45500</v>
      </c>
      <c r="AA586" s="4" t="str" cm="1">
        <f t="array" ref="AA586">_xlfn.IFS(OR(AB586="December", AB586="February", AB586="January"), "Winter", OR(AB586="March", AB586="April", AB586="May"), "Spring", OR(AB586="June", AB586="July", AB586="August"), "Summer", TRUE, "Autumn")</f>
        <v>Summer</v>
      </c>
      <c r="AB586" s="7" t="str">
        <f>TEXT(Z586, "mmmm")</f>
        <v>July</v>
      </c>
      <c r="AC586" s="1" t="str">
        <f>TEXT(Z586, "dddd")</f>
        <v>Saturday</v>
      </c>
      <c r="AD586" s="4" t="s">
        <v>76</v>
      </c>
      <c r="AE586" s="4" t="s">
        <v>62</v>
      </c>
      <c r="AF586" s="4" t="s">
        <v>92</v>
      </c>
      <c r="AG586" s="4" t="s">
        <v>93</v>
      </c>
      <c r="AH586" s="3">
        <v>8</v>
      </c>
    </row>
    <row r="587" spans="1:34">
      <c r="A587" s="4" t="s">
        <v>1270</v>
      </c>
      <c r="B587" s="3">
        <v>45</v>
      </c>
      <c r="C587" s="9" t="str" cm="1">
        <f t="array" ref="C587">_xlfn.IFS(B587&gt;65,"+65",B587&gt;54,"55-65",B587&gt;44,"45-54",B587&gt;35,"36-44",B587&gt;25,"26-35",B587&gt;=18,"18-25")</f>
        <v>45-54</v>
      </c>
      <c r="D587" s="4" t="s">
        <v>66</v>
      </c>
      <c r="E587" s="4" t="s">
        <v>51</v>
      </c>
      <c r="F587" s="4" t="s">
        <v>67</v>
      </c>
      <c r="G587" s="4" t="s">
        <v>80</v>
      </c>
      <c r="H587" s="4" t="s">
        <v>1271</v>
      </c>
      <c r="I587" s="4" t="s">
        <v>223</v>
      </c>
      <c r="J587" s="5">
        <v>64.5</v>
      </c>
      <c r="K587" s="3">
        <v>7</v>
      </c>
      <c r="L587" s="4" t="str">
        <f>IF(AND(J587&gt;350,K587&gt;6), "True","False")</f>
        <v>False</v>
      </c>
      <c r="M587" s="4" t="s">
        <v>71</v>
      </c>
      <c r="N587" s="3">
        <v>3</v>
      </c>
      <c r="O587" s="4" t="str" cm="1">
        <f t="array" ref="O587">_xlfn.IFS(P587&lt;=2,"Poor",P587=3,"Average",P587&gt;=4,"Good")</f>
        <v>Good</v>
      </c>
      <c r="P587" s="3">
        <v>4</v>
      </c>
      <c r="Q587" s="2">
        <v>1</v>
      </c>
      <c r="R587" s="4" t="s">
        <v>72</v>
      </c>
      <c r="S587" s="4" t="s">
        <v>84</v>
      </c>
      <c r="T587" s="3">
        <v>1</v>
      </c>
      <c r="U587" s="4" t="str" cm="1">
        <f t="array" ref="U587">_xlfn.IFS(V587&lt;=4, "Dissatisfied",V587&lt;=7,"Neutral",V587&gt;=8,"Satisfied")</f>
        <v>Neutral</v>
      </c>
      <c r="V587" s="3">
        <v>7</v>
      </c>
      <c r="W587" s="4" t="s">
        <v>72</v>
      </c>
      <c r="X587" s="4" t="s">
        <v>101</v>
      </c>
      <c r="Y587" s="4" t="s">
        <v>119</v>
      </c>
      <c r="Z587" s="1">
        <v>45501</v>
      </c>
      <c r="AA587" s="4" t="str" cm="1">
        <f t="array" ref="AA587">_xlfn.IFS(OR(AB587="December", AB587="February", AB587="January"), "Winter", OR(AB587="March", AB587="April", AB587="May"), "Spring", OR(AB587="June", AB587="July", AB587="August"), "Summer", TRUE, "Autumn")</f>
        <v>Summer</v>
      </c>
      <c r="AB587" s="7" t="str">
        <f>TEXT(Z587, "mmmm")</f>
        <v>July</v>
      </c>
      <c r="AC587" s="1" t="str">
        <f>TEXT(Z587, "dddd")</f>
        <v>Sunday</v>
      </c>
      <c r="AD587" s="4" t="s">
        <v>62</v>
      </c>
      <c r="AE587" s="4" t="s">
        <v>76</v>
      </c>
      <c r="AF587" s="4" t="s">
        <v>102</v>
      </c>
      <c r="AG587" s="4" t="s">
        <v>88</v>
      </c>
      <c r="AH587" s="3">
        <v>13</v>
      </c>
    </row>
    <row r="588" spans="1:34">
      <c r="A588" s="4" t="s">
        <v>1272</v>
      </c>
      <c r="B588" s="3">
        <v>36</v>
      </c>
      <c r="C588" s="9" t="str" cm="1">
        <f t="array" ref="C588">_xlfn.IFS(B588&gt;65,"+65",B588&gt;54,"55-65",B588&gt;44,"45-54",B588&gt;35,"36-44",B588&gt;25,"26-35",B588&gt;=18,"18-25")</f>
        <v>36-44</v>
      </c>
      <c r="D588" s="4" t="s">
        <v>78</v>
      </c>
      <c r="E588" s="4" t="s">
        <v>72</v>
      </c>
      <c r="F588" s="4" t="s">
        <v>52</v>
      </c>
      <c r="G588" s="4" t="s">
        <v>68</v>
      </c>
      <c r="H588" s="4" t="s">
        <v>1273</v>
      </c>
      <c r="I588" s="4" t="s">
        <v>118</v>
      </c>
      <c r="J588" s="5">
        <v>123.7</v>
      </c>
      <c r="K588" s="3">
        <v>6</v>
      </c>
      <c r="L588" s="4" t="str">
        <f>IF(AND(J588&gt;350,K588&gt;6), "True","False")</f>
        <v>False</v>
      </c>
      <c r="M588" s="4" t="s">
        <v>56</v>
      </c>
      <c r="N588" s="3">
        <v>2</v>
      </c>
      <c r="O588" s="4" t="str" cm="1">
        <f t="array" ref="O588">_xlfn.IFS(P588&lt;=2,"Poor",P588=3,"Average",P588&gt;=4,"Good")</f>
        <v>Good</v>
      </c>
      <c r="P588" s="3">
        <v>5</v>
      </c>
      <c r="Q588" s="2">
        <v>0</v>
      </c>
      <c r="R588" s="4" t="s">
        <v>72</v>
      </c>
      <c r="S588" s="4" t="s">
        <v>73</v>
      </c>
      <c r="T588" s="3">
        <v>1</v>
      </c>
      <c r="U588" s="4" t="str" cm="1">
        <f t="array" ref="U588">_xlfn.IFS(V588&lt;=4, "Dissatisfied",V588&lt;=7,"Neutral",V588&gt;=8,"Satisfied")</f>
        <v>Neutral</v>
      </c>
      <c r="V588" s="3">
        <v>5</v>
      </c>
      <c r="W588" s="4" t="s">
        <v>57</v>
      </c>
      <c r="X588" s="4" t="s">
        <v>60</v>
      </c>
      <c r="Y588" s="4" t="s">
        <v>111</v>
      </c>
      <c r="Z588" s="1">
        <v>45501</v>
      </c>
      <c r="AA588" s="4" t="str" cm="1">
        <f t="array" ref="AA588">_xlfn.IFS(OR(AB588="December", AB588="February", AB588="January"), "Winter", OR(AB588="March", AB588="April", AB588="May"), "Spring", OR(AB588="June", AB588="July", AB588="August"), "Summer", TRUE, "Autumn")</f>
        <v>Summer</v>
      </c>
      <c r="AB588" s="7" t="str">
        <f>TEXT(Z588, "mmmm")</f>
        <v>July</v>
      </c>
      <c r="AC588" s="1" t="str">
        <f>TEXT(Z588, "dddd")</f>
        <v>Sunday</v>
      </c>
      <c r="AD588" s="4" t="s">
        <v>76</v>
      </c>
      <c r="AE588" s="4" t="s">
        <v>76</v>
      </c>
      <c r="AF588" s="4" t="s">
        <v>92</v>
      </c>
      <c r="AG588" s="4" t="s">
        <v>93</v>
      </c>
      <c r="AH588" s="3">
        <v>2</v>
      </c>
    </row>
    <row r="589" spans="1:34">
      <c r="A589" s="4" t="s">
        <v>1274</v>
      </c>
      <c r="B589" s="3">
        <v>30</v>
      </c>
      <c r="C589" s="9" t="str" cm="1">
        <f t="array" ref="C589">_xlfn.IFS(B589&gt;65,"+65",B589&gt;54,"55-65",B589&gt;44,"45-54",B589&gt;35,"36-44",B589&gt;25,"26-35",B589&gt;=18,"18-25")</f>
        <v>26-35</v>
      </c>
      <c r="D589" s="4" t="s">
        <v>66</v>
      </c>
      <c r="E589" s="4" t="s">
        <v>51</v>
      </c>
      <c r="F589" s="4" t="s">
        <v>95</v>
      </c>
      <c r="G589" s="4" t="s">
        <v>53</v>
      </c>
      <c r="H589" s="4" t="s">
        <v>1275</v>
      </c>
      <c r="I589" s="4" t="s">
        <v>118</v>
      </c>
      <c r="J589" s="5">
        <v>473.96</v>
      </c>
      <c r="K589" s="3">
        <v>12</v>
      </c>
      <c r="L589" s="4" t="str">
        <f>IF(AND(J589&gt;350,K589&gt;6), "True","False")</f>
        <v>True</v>
      </c>
      <c r="M589" s="4" t="s">
        <v>71</v>
      </c>
      <c r="N589" s="3">
        <v>2</v>
      </c>
      <c r="O589" s="4" t="str" cm="1">
        <f t="array" ref="O589">_xlfn.IFS(P589&lt;=2,"Poor",P589=3,"Average",P589&gt;=4,"Good")</f>
        <v>Poor</v>
      </c>
      <c r="P589" s="3">
        <v>1</v>
      </c>
      <c r="Q589" s="2">
        <v>1</v>
      </c>
      <c r="R589" s="4" t="s">
        <v>85</v>
      </c>
      <c r="S589" s="4" t="s">
        <v>84</v>
      </c>
      <c r="T589" s="3">
        <v>2</v>
      </c>
      <c r="U589" s="4" t="str" cm="1">
        <f t="array" ref="U589">_xlfn.IFS(V589&lt;=4, "Dissatisfied",V589&lt;=7,"Neutral",V589&gt;=8,"Satisfied")</f>
        <v>Satisfied</v>
      </c>
      <c r="V589" s="3">
        <v>9</v>
      </c>
      <c r="W589" s="4" t="s">
        <v>57</v>
      </c>
      <c r="X589" s="4" t="s">
        <v>74</v>
      </c>
      <c r="Y589" s="4" t="s">
        <v>86</v>
      </c>
      <c r="Z589" s="1">
        <v>45501</v>
      </c>
      <c r="AA589" s="4" t="str" cm="1">
        <f t="array" ref="AA589">_xlfn.IFS(OR(AB589="December", AB589="February", AB589="January"), "Winter", OR(AB589="March", AB589="April", AB589="May"), "Spring", OR(AB589="June", AB589="July", AB589="August"), "Summer", TRUE, "Autumn")</f>
        <v>Summer</v>
      </c>
      <c r="AB589" s="7" t="str">
        <f>TEXT(Z589, "mmmm")</f>
        <v>July</v>
      </c>
      <c r="AC589" s="1" t="str">
        <f>TEXT(Z589, "dddd")</f>
        <v>Sunday</v>
      </c>
      <c r="AD589" s="4" t="s">
        <v>62</v>
      </c>
      <c r="AE589" s="4" t="s">
        <v>76</v>
      </c>
      <c r="AF589" s="4" t="s">
        <v>92</v>
      </c>
      <c r="AG589" s="4" t="s">
        <v>93</v>
      </c>
      <c r="AH589" s="3">
        <v>14</v>
      </c>
    </row>
    <row r="590" spans="1:34">
      <c r="A590" s="4" t="s">
        <v>1276</v>
      </c>
      <c r="B590" s="3">
        <v>29</v>
      </c>
      <c r="C590" s="9" t="str" cm="1">
        <f t="array" ref="C590">_xlfn.IFS(B590&gt;65,"+65",B590&gt;54,"55-65",B590&gt;44,"45-54",B590&gt;35,"36-44",B590&gt;25,"26-35",B590&gt;=18,"18-25")</f>
        <v>26-35</v>
      </c>
      <c r="D590" s="4" t="s">
        <v>78</v>
      </c>
      <c r="E590" s="4" t="s">
        <v>51</v>
      </c>
      <c r="F590" s="4" t="s">
        <v>67</v>
      </c>
      <c r="G590" s="4" t="s">
        <v>68</v>
      </c>
      <c r="H590" s="4" t="s">
        <v>1277</v>
      </c>
      <c r="I590" s="4" t="s">
        <v>156</v>
      </c>
      <c r="J590" s="5">
        <v>371.84</v>
      </c>
      <c r="K590" s="3">
        <v>9</v>
      </c>
      <c r="L590" s="4" t="str">
        <f>IF(AND(J590&gt;350,K590&gt;6), "True","False")</f>
        <v>True</v>
      </c>
      <c r="M590" s="4" t="s">
        <v>71</v>
      </c>
      <c r="N590" s="3">
        <v>5</v>
      </c>
      <c r="O590" s="4" t="str" cm="1">
        <f t="array" ref="O590">_xlfn.IFS(P590&lt;=2,"Poor",P590=3,"Average",P590&gt;=4,"Good")</f>
        <v>Good</v>
      </c>
      <c r="P590" s="3">
        <v>4</v>
      </c>
      <c r="Q590" s="2">
        <v>0</v>
      </c>
      <c r="R590" s="4" t="s">
        <v>57</v>
      </c>
      <c r="S590" s="4" t="s">
        <v>58</v>
      </c>
      <c r="T590" s="3">
        <v>2</v>
      </c>
      <c r="U590" s="4" t="str" cm="1">
        <f t="array" ref="U590">_xlfn.IFS(V590&lt;=4, "Dissatisfied",V590&lt;=7,"Neutral",V590&gt;=8,"Satisfied")</f>
        <v>Neutral</v>
      </c>
      <c r="V590" s="3">
        <v>6</v>
      </c>
      <c r="W590" s="4" t="s">
        <v>57</v>
      </c>
      <c r="X590" s="4" t="s">
        <v>74</v>
      </c>
      <c r="Y590" s="4" t="s">
        <v>111</v>
      </c>
      <c r="Z590" s="1">
        <v>45501</v>
      </c>
      <c r="AA590" s="4" t="str" cm="1">
        <f t="array" ref="AA590">_xlfn.IFS(OR(AB590="December", AB590="February", AB590="January"), "Winter", OR(AB590="March", AB590="April", AB590="May"), "Spring", OR(AB590="June", AB590="July", AB590="August"), "Summer", TRUE, "Autumn")</f>
        <v>Summer</v>
      </c>
      <c r="AB590" s="7" t="str">
        <f>TEXT(Z590, "mmmm")</f>
        <v>July</v>
      </c>
      <c r="AC590" s="1" t="str">
        <f>TEXT(Z590, "dddd")</f>
        <v>Sunday</v>
      </c>
      <c r="AD590" s="4" t="s">
        <v>76</v>
      </c>
      <c r="AE590" s="4" t="s">
        <v>62</v>
      </c>
      <c r="AF590" s="4" t="s">
        <v>92</v>
      </c>
      <c r="AG590" s="4" t="s">
        <v>64</v>
      </c>
      <c r="AH590" s="3">
        <v>2</v>
      </c>
    </row>
    <row r="591" spans="1:34">
      <c r="A591" s="4" t="s">
        <v>1278</v>
      </c>
      <c r="B591" s="3">
        <v>22</v>
      </c>
      <c r="C591" s="9" t="str" cm="1">
        <f t="array" ref="C591">_xlfn.IFS(B591&gt;65,"+65",B591&gt;54,"55-65",B591&gt;44,"45-54",B591&gt;35,"36-44",B591&gt;25,"26-35",B591&gt;=18,"18-25")</f>
        <v>18-25</v>
      </c>
      <c r="D591" s="4" t="s">
        <v>66</v>
      </c>
      <c r="E591" s="4" t="s">
        <v>51</v>
      </c>
      <c r="F591" s="4" t="s">
        <v>67</v>
      </c>
      <c r="G591" s="4" t="s">
        <v>53</v>
      </c>
      <c r="H591" s="4" t="s">
        <v>1279</v>
      </c>
      <c r="I591" s="4" t="s">
        <v>110</v>
      </c>
      <c r="J591" s="5">
        <v>96.86</v>
      </c>
      <c r="K591" s="3">
        <v>9</v>
      </c>
      <c r="L591" s="4" t="str">
        <f>IF(AND(J591&gt;350,K591&gt;6), "True","False")</f>
        <v>False</v>
      </c>
      <c r="M591" s="4" t="s">
        <v>83</v>
      </c>
      <c r="N591" s="3">
        <v>5</v>
      </c>
      <c r="O591" s="4" t="str" cm="1">
        <f t="array" ref="O591">_xlfn.IFS(P591&lt;=2,"Poor",P591=3,"Average",P591&gt;=4,"Good")</f>
        <v>Good</v>
      </c>
      <c r="P591" s="3">
        <v>5</v>
      </c>
      <c r="Q591" s="2">
        <v>0</v>
      </c>
      <c r="R591" s="4" t="s">
        <v>57</v>
      </c>
      <c r="S591" s="4" t="s">
        <v>58</v>
      </c>
      <c r="T591" s="3">
        <v>2</v>
      </c>
      <c r="U591" s="4" t="str" cm="1">
        <f t="array" ref="U591">_xlfn.IFS(V591&lt;=4, "Dissatisfied",V591&lt;=7,"Neutral",V591&gt;=8,"Satisfied")</f>
        <v>Satisfied</v>
      </c>
      <c r="V591" s="3">
        <v>10</v>
      </c>
      <c r="W591" s="4" t="s">
        <v>85</v>
      </c>
      <c r="X591" s="4" t="s">
        <v>101</v>
      </c>
      <c r="Y591" s="4" t="s">
        <v>75</v>
      </c>
      <c r="Z591" s="1">
        <v>45501</v>
      </c>
      <c r="AA591" s="4" t="str" cm="1">
        <f t="array" ref="AA591">_xlfn.IFS(OR(AB591="December", AB591="February", AB591="January"), "Winter", OR(AB591="March", AB591="April", AB591="May"), "Spring", OR(AB591="June", AB591="July", AB591="August"), "Summer", TRUE, "Autumn")</f>
        <v>Summer</v>
      </c>
      <c r="AB591" s="7" t="str">
        <f>TEXT(Z591, "mmmm")</f>
        <v>July</v>
      </c>
      <c r="AC591" s="1" t="str">
        <f>TEXT(Z591, "dddd")</f>
        <v>Sunday</v>
      </c>
      <c r="AD591" s="4" t="s">
        <v>76</v>
      </c>
      <c r="AE591" s="4" t="s">
        <v>62</v>
      </c>
      <c r="AF591" s="4" t="s">
        <v>102</v>
      </c>
      <c r="AG591" s="4" t="s">
        <v>64</v>
      </c>
      <c r="AH591" s="3">
        <v>7</v>
      </c>
    </row>
    <row r="592" spans="1:34">
      <c r="A592" s="4" t="s">
        <v>1280</v>
      </c>
      <c r="B592" s="3">
        <v>40</v>
      </c>
      <c r="C592" s="9" t="str" cm="1">
        <f t="array" ref="C592">_xlfn.IFS(B592&gt;65,"+65",B592&gt;54,"55-65",B592&gt;44,"45-54",B592&gt;35,"36-44",B592&gt;25,"26-35",B592&gt;=18,"18-25")</f>
        <v>36-44</v>
      </c>
      <c r="D592" s="4" t="s">
        <v>78</v>
      </c>
      <c r="E592" s="4" t="s">
        <v>51</v>
      </c>
      <c r="F592" s="4" t="s">
        <v>67</v>
      </c>
      <c r="G592" s="4" t="s">
        <v>68</v>
      </c>
      <c r="H592" s="4" t="s">
        <v>1281</v>
      </c>
      <c r="I592" s="4" t="s">
        <v>122</v>
      </c>
      <c r="J592" s="5">
        <v>178.29</v>
      </c>
      <c r="K592" s="3">
        <v>4</v>
      </c>
      <c r="L592" s="4" t="str">
        <f>IF(AND(J592&gt;350,K592&gt;6), "True","False")</f>
        <v>False</v>
      </c>
      <c r="M592" s="4" t="s">
        <v>83</v>
      </c>
      <c r="N592" s="3">
        <v>4</v>
      </c>
      <c r="O592" s="4" t="str" cm="1">
        <f t="array" ref="O592">_xlfn.IFS(P592&lt;=2,"Poor",P592=3,"Average",P592&gt;=4,"Good")</f>
        <v>Average</v>
      </c>
      <c r="P592" s="3">
        <v>3</v>
      </c>
      <c r="Q592" s="2">
        <v>2</v>
      </c>
      <c r="R592" s="4" t="s">
        <v>59</v>
      </c>
      <c r="S592" s="4" t="s">
        <v>73</v>
      </c>
      <c r="T592" s="3">
        <v>2</v>
      </c>
      <c r="U592" s="4" t="str" cm="1">
        <f t="array" ref="U592">_xlfn.IFS(V592&lt;=4, "Dissatisfied",V592&lt;=7,"Neutral",V592&gt;=8,"Satisfied")</f>
        <v>Satisfied</v>
      </c>
      <c r="V592" s="3">
        <v>10</v>
      </c>
      <c r="W592" s="4" t="s">
        <v>72</v>
      </c>
      <c r="X592" s="4" t="s">
        <v>101</v>
      </c>
      <c r="Y592" s="4" t="s">
        <v>61</v>
      </c>
      <c r="Z592" s="1">
        <v>45502</v>
      </c>
      <c r="AA592" s="4" t="str" cm="1">
        <f t="array" ref="AA592">_xlfn.IFS(OR(AB592="December", AB592="February", AB592="January"), "Winter", OR(AB592="March", AB592="April", AB592="May"), "Spring", OR(AB592="June", AB592="July", AB592="August"), "Summer", TRUE, "Autumn")</f>
        <v>Summer</v>
      </c>
      <c r="AB592" s="7" t="str">
        <f>TEXT(Z592, "mmmm")</f>
        <v>July</v>
      </c>
      <c r="AC592" s="1" t="str">
        <f>TEXT(Z592, "dddd")</f>
        <v>Monday</v>
      </c>
      <c r="AD592" s="4" t="s">
        <v>76</v>
      </c>
      <c r="AE592" s="4" t="s">
        <v>62</v>
      </c>
      <c r="AF592" s="4" t="s">
        <v>87</v>
      </c>
      <c r="AG592" s="4" t="s">
        <v>88</v>
      </c>
      <c r="AH592" s="3">
        <v>8</v>
      </c>
    </row>
    <row r="593" spans="1:34">
      <c r="A593" s="4" t="s">
        <v>1282</v>
      </c>
      <c r="B593" s="3">
        <v>30</v>
      </c>
      <c r="C593" s="9" t="str" cm="1">
        <f t="array" ref="C593">_xlfn.IFS(B593&gt;65,"+65",B593&gt;54,"55-65",B593&gt;44,"45-54",B593&gt;35,"36-44",B593&gt;25,"26-35",B593&gt;=18,"18-25")</f>
        <v>26-35</v>
      </c>
      <c r="D593" s="4" t="s">
        <v>66</v>
      </c>
      <c r="E593" s="4" t="s">
        <v>72</v>
      </c>
      <c r="F593" s="4" t="s">
        <v>67</v>
      </c>
      <c r="G593" s="4" t="s">
        <v>53</v>
      </c>
      <c r="H593" s="4" t="s">
        <v>1283</v>
      </c>
      <c r="I593" s="4" t="s">
        <v>100</v>
      </c>
      <c r="J593" s="5">
        <v>58.49</v>
      </c>
      <c r="K593" s="3">
        <v>6</v>
      </c>
      <c r="L593" s="4" t="str">
        <f>IF(AND(J593&gt;350,K593&gt;6), "True","False")</f>
        <v>False</v>
      </c>
      <c r="M593" s="4" t="s">
        <v>56</v>
      </c>
      <c r="N593" s="3">
        <v>2</v>
      </c>
      <c r="O593" s="4" t="str" cm="1">
        <f t="array" ref="O593">_xlfn.IFS(P593&lt;=2,"Poor",P593=3,"Average",P593&gt;=4,"Good")</f>
        <v>Poor</v>
      </c>
      <c r="P593" s="3">
        <v>2</v>
      </c>
      <c r="Q593" s="2">
        <v>0</v>
      </c>
      <c r="R593" s="4" t="s">
        <v>85</v>
      </c>
      <c r="S593" s="4" t="s">
        <v>73</v>
      </c>
      <c r="T593" s="3">
        <v>0</v>
      </c>
      <c r="U593" s="4" t="str" cm="1">
        <f t="array" ref="U593">_xlfn.IFS(V593&lt;=4, "Dissatisfied",V593&lt;=7,"Neutral",V593&gt;=8,"Satisfied")</f>
        <v>Satisfied</v>
      </c>
      <c r="V593" s="3">
        <v>8</v>
      </c>
      <c r="W593" s="4" t="s">
        <v>72</v>
      </c>
      <c r="X593" s="4" t="s">
        <v>74</v>
      </c>
      <c r="Y593" s="4" t="s">
        <v>111</v>
      </c>
      <c r="Z593" s="1">
        <v>45502</v>
      </c>
      <c r="AA593" s="4" t="str" cm="1">
        <f t="array" ref="AA593">_xlfn.IFS(OR(AB593="December", AB593="February", AB593="January"), "Winter", OR(AB593="March", AB593="April", AB593="May"), "Spring", OR(AB593="June", AB593="July", AB593="August"), "Summer", TRUE, "Autumn")</f>
        <v>Summer</v>
      </c>
      <c r="AB593" s="7" t="str">
        <f>TEXT(Z593, "mmmm")</f>
        <v>July</v>
      </c>
      <c r="AC593" s="1" t="str">
        <f>TEXT(Z593, "dddd")</f>
        <v>Monday</v>
      </c>
      <c r="AD593" s="4" t="s">
        <v>62</v>
      </c>
      <c r="AE593" s="4" t="s">
        <v>62</v>
      </c>
      <c r="AF593" s="4" t="s">
        <v>87</v>
      </c>
      <c r="AG593" s="4" t="s">
        <v>93</v>
      </c>
      <c r="AH593" s="3">
        <v>7</v>
      </c>
    </row>
    <row r="594" spans="1:34">
      <c r="A594" s="4" t="s">
        <v>1284</v>
      </c>
      <c r="B594" s="3">
        <v>29</v>
      </c>
      <c r="C594" s="9" t="str" cm="1">
        <f t="array" ref="C594">_xlfn.IFS(B594&gt;65,"+65",B594&gt;54,"55-65",B594&gt;44,"45-54",B594&gt;35,"36-44",B594&gt;25,"26-35",B594&gt;=18,"18-25")</f>
        <v>26-35</v>
      </c>
      <c r="D594" s="4" t="s">
        <v>78</v>
      </c>
      <c r="E594" s="4" t="s">
        <v>51</v>
      </c>
      <c r="F594" s="4" t="s">
        <v>79</v>
      </c>
      <c r="G594" s="4" t="s">
        <v>80</v>
      </c>
      <c r="H594" s="4" t="s">
        <v>1285</v>
      </c>
      <c r="I594" s="4" t="s">
        <v>172</v>
      </c>
      <c r="J594" s="5">
        <v>78.319999999999993</v>
      </c>
      <c r="K594" s="3">
        <v>9</v>
      </c>
      <c r="L594" s="4" t="str">
        <f>IF(AND(J594&gt;350,K594&gt;6), "True","False")</f>
        <v>False</v>
      </c>
      <c r="M594" s="4" t="s">
        <v>56</v>
      </c>
      <c r="N594" s="3">
        <v>2</v>
      </c>
      <c r="O594" s="4" t="str" cm="1">
        <f t="array" ref="O594">_xlfn.IFS(P594&lt;=2,"Poor",P594=3,"Average",P594&gt;=4,"Good")</f>
        <v>Good</v>
      </c>
      <c r="P594" s="3">
        <v>4</v>
      </c>
      <c r="Q594" s="2">
        <v>2</v>
      </c>
      <c r="R594" s="4" t="s">
        <v>59</v>
      </c>
      <c r="S594" s="4" t="s">
        <v>84</v>
      </c>
      <c r="T594" s="3">
        <v>2</v>
      </c>
      <c r="U594" s="4" t="str" cm="1">
        <f t="array" ref="U594">_xlfn.IFS(V594&lt;=4, "Dissatisfied",V594&lt;=7,"Neutral",V594&gt;=8,"Satisfied")</f>
        <v>Satisfied</v>
      </c>
      <c r="V594" s="3">
        <v>10</v>
      </c>
      <c r="W594" s="4" t="s">
        <v>59</v>
      </c>
      <c r="X594" s="4" t="s">
        <v>60</v>
      </c>
      <c r="Y594" s="4" t="s">
        <v>86</v>
      </c>
      <c r="Z594" s="1">
        <v>45502</v>
      </c>
      <c r="AA594" s="4" t="str" cm="1">
        <f t="array" ref="AA594">_xlfn.IFS(OR(AB594="December", AB594="February", AB594="January"), "Winter", OR(AB594="March", AB594="April", AB594="May"), "Spring", OR(AB594="June", AB594="July", AB594="August"), "Summer", TRUE, "Autumn")</f>
        <v>Summer</v>
      </c>
      <c r="AB594" s="7" t="str">
        <f>TEXT(Z594, "mmmm")</f>
        <v>July</v>
      </c>
      <c r="AC594" s="1" t="str">
        <f>TEXT(Z594, "dddd")</f>
        <v>Monday</v>
      </c>
      <c r="AD594" s="4" t="s">
        <v>76</v>
      </c>
      <c r="AE594" s="4" t="s">
        <v>62</v>
      </c>
      <c r="AF594" s="4" t="s">
        <v>63</v>
      </c>
      <c r="AG594" s="4" t="s">
        <v>64</v>
      </c>
      <c r="AH594" s="3">
        <v>7</v>
      </c>
    </row>
    <row r="595" spans="1:34">
      <c r="A595" s="4" t="s">
        <v>1286</v>
      </c>
      <c r="B595" s="3">
        <v>39</v>
      </c>
      <c r="C595" s="9" t="str" cm="1">
        <f t="array" ref="C595">_xlfn.IFS(B595&gt;65,"+65",B595&gt;54,"55-65",B595&gt;44,"45-54",B595&gt;35,"36-44",B595&gt;25,"26-35",B595&gt;=18,"18-25")</f>
        <v>36-44</v>
      </c>
      <c r="D595" s="4" t="s">
        <v>78</v>
      </c>
      <c r="E595" s="4" t="s">
        <v>72</v>
      </c>
      <c r="F595" s="4" t="s">
        <v>52</v>
      </c>
      <c r="G595" s="4" t="s">
        <v>80</v>
      </c>
      <c r="H595" s="4" t="s">
        <v>1287</v>
      </c>
      <c r="I595" s="4" t="s">
        <v>97</v>
      </c>
      <c r="J595" s="5">
        <v>241.1</v>
      </c>
      <c r="K595" s="3">
        <v>12</v>
      </c>
      <c r="L595" s="4" t="str">
        <f>IF(AND(J595&gt;350,K595&gt;6), "True","False")</f>
        <v>False</v>
      </c>
      <c r="M595" s="4" t="s">
        <v>71</v>
      </c>
      <c r="N595" s="3">
        <v>1</v>
      </c>
      <c r="O595" s="4" t="str" cm="1">
        <f t="array" ref="O595">_xlfn.IFS(P595&lt;=2,"Poor",P595=3,"Average",P595&gt;=4,"Good")</f>
        <v>Good</v>
      </c>
      <c r="P595" s="3">
        <v>5</v>
      </c>
      <c r="Q595" s="2">
        <v>2</v>
      </c>
      <c r="R595" s="4" t="s">
        <v>57</v>
      </c>
      <c r="S595" s="4" t="s">
        <v>58</v>
      </c>
      <c r="T595" s="3">
        <v>2</v>
      </c>
      <c r="U595" s="4" t="str" cm="1">
        <f t="array" ref="U595">_xlfn.IFS(V595&lt;=4, "Dissatisfied",V595&lt;=7,"Neutral",V595&gt;=8,"Satisfied")</f>
        <v>Dissatisfied</v>
      </c>
      <c r="V595" s="3">
        <v>2</v>
      </c>
      <c r="W595" s="4" t="s">
        <v>85</v>
      </c>
      <c r="X595" s="4" t="s">
        <v>101</v>
      </c>
      <c r="Y595" s="4" t="s">
        <v>119</v>
      </c>
      <c r="Z595" s="1">
        <v>45503</v>
      </c>
      <c r="AA595" s="4" t="str" cm="1">
        <f t="array" ref="AA595">_xlfn.IFS(OR(AB595="December", AB595="February", AB595="January"), "Winter", OR(AB595="March", AB595="April", AB595="May"), "Spring", OR(AB595="June", AB595="July", AB595="August"), "Summer", TRUE, "Autumn")</f>
        <v>Summer</v>
      </c>
      <c r="AB595" s="7" t="str">
        <f>TEXT(Z595, "mmmm")</f>
        <v>July</v>
      </c>
      <c r="AC595" s="1" t="str">
        <f>TEXT(Z595, "dddd")</f>
        <v>Tuesday</v>
      </c>
      <c r="AD595" s="4" t="s">
        <v>76</v>
      </c>
      <c r="AE595" s="4" t="s">
        <v>62</v>
      </c>
      <c r="AF595" s="4" t="s">
        <v>87</v>
      </c>
      <c r="AG595" s="4" t="s">
        <v>88</v>
      </c>
      <c r="AH595" s="3">
        <v>8</v>
      </c>
    </row>
    <row r="596" spans="1:34">
      <c r="A596" s="4" t="s">
        <v>1288</v>
      </c>
      <c r="B596" s="3">
        <v>36</v>
      </c>
      <c r="C596" s="9" t="str" cm="1">
        <f t="array" ref="C596">_xlfn.IFS(B596&gt;65,"+65",B596&gt;54,"55-65",B596&gt;44,"45-54",B596&gt;35,"36-44",B596&gt;25,"26-35",B596&gt;=18,"18-25")</f>
        <v>36-44</v>
      </c>
      <c r="D596" s="4" t="s">
        <v>78</v>
      </c>
      <c r="E596" s="4" t="s">
        <v>72</v>
      </c>
      <c r="F596" s="4" t="s">
        <v>67</v>
      </c>
      <c r="G596" s="4" t="s">
        <v>68</v>
      </c>
      <c r="H596" s="4" t="s">
        <v>1289</v>
      </c>
      <c r="I596" s="4" t="s">
        <v>151</v>
      </c>
      <c r="J596" s="5">
        <v>56.74</v>
      </c>
      <c r="K596" s="3">
        <v>5</v>
      </c>
      <c r="L596" s="4" t="str">
        <f>IF(AND(J596&gt;350,K596&gt;6), "True","False")</f>
        <v>False</v>
      </c>
      <c r="M596" s="4" t="s">
        <v>56</v>
      </c>
      <c r="N596" s="3">
        <v>5</v>
      </c>
      <c r="O596" s="4" t="str" cm="1">
        <f t="array" ref="O596">_xlfn.IFS(P596&lt;=2,"Poor",P596=3,"Average",P596&gt;=4,"Good")</f>
        <v>Poor</v>
      </c>
      <c r="P596" s="3">
        <v>1</v>
      </c>
      <c r="Q596" s="2">
        <v>0</v>
      </c>
      <c r="R596" s="4" t="s">
        <v>85</v>
      </c>
      <c r="S596" s="4" t="s">
        <v>73</v>
      </c>
      <c r="T596" s="3">
        <v>0</v>
      </c>
      <c r="U596" s="4" t="str" cm="1">
        <f t="array" ref="U596">_xlfn.IFS(V596&lt;=4, "Dissatisfied",V596&lt;=7,"Neutral",V596&gt;=8,"Satisfied")</f>
        <v>Neutral</v>
      </c>
      <c r="V596" s="3">
        <v>6</v>
      </c>
      <c r="W596" s="4" t="s">
        <v>57</v>
      </c>
      <c r="X596" s="4" t="s">
        <v>60</v>
      </c>
      <c r="Y596" s="4" t="s">
        <v>111</v>
      </c>
      <c r="Z596" s="1">
        <v>45504</v>
      </c>
      <c r="AA596" s="4" t="str" cm="1">
        <f t="array" ref="AA596">_xlfn.IFS(OR(AB596="December", AB596="February", AB596="January"), "Winter", OR(AB596="March", AB596="April", AB596="May"), "Spring", OR(AB596="June", AB596="July", AB596="August"), "Summer", TRUE, "Autumn")</f>
        <v>Summer</v>
      </c>
      <c r="AB596" s="7" t="str">
        <f>TEXT(Z596, "mmmm")</f>
        <v>July</v>
      </c>
      <c r="AC596" s="1" t="str">
        <f>TEXT(Z596, "dddd")</f>
        <v>Wednesday</v>
      </c>
      <c r="AD596" s="4" t="s">
        <v>62</v>
      </c>
      <c r="AE596" s="4" t="s">
        <v>76</v>
      </c>
      <c r="AF596" s="4" t="s">
        <v>92</v>
      </c>
      <c r="AG596" s="4" t="s">
        <v>93</v>
      </c>
      <c r="AH596" s="3">
        <v>7</v>
      </c>
    </row>
    <row r="597" spans="1:34">
      <c r="A597" s="4" t="s">
        <v>1290</v>
      </c>
      <c r="B597" s="3">
        <v>36</v>
      </c>
      <c r="C597" s="9" t="str" cm="1">
        <f t="array" ref="C597">_xlfn.IFS(B597&gt;65,"+65",B597&gt;54,"55-65",B597&gt;44,"45-54",B597&gt;35,"36-44",B597&gt;25,"26-35",B597&gt;=18,"18-25")</f>
        <v>36-44</v>
      </c>
      <c r="D597" s="4" t="s">
        <v>66</v>
      </c>
      <c r="E597" s="4" t="s">
        <v>51</v>
      </c>
      <c r="F597" s="4" t="s">
        <v>79</v>
      </c>
      <c r="G597" s="4" t="s">
        <v>80</v>
      </c>
      <c r="H597" s="4" t="s">
        <v>1291</v>
      </c>
      <c r="I597" s="4" t="s">
        <v>223</v>
      </c>
      <c r="J597" s="5">
        <v>365.38</v>
      </c>
      <c r="K597" s="3">
        <v>11</v>
      </c>
      <c r="L597" s="4" t="str">
        <f>IF(AND(J597&gt;350,K597&gt;6), "True","False")</f>
        <v>True</v>
      </c>
      <c r="M597" s="4" t="s">
        <v>56</v>
      </c>
      <c r="N597" s="3">
        <v>1</v>
      </c>
      <c r="O597" s="4" t="str" cm="1">
        <f t="array" ref="O597">_xlfn.IFS(P597&lt;=2,"Poor",P597=3,"Average",P597&gt;=4,"Good")</f>
        <v>Good</v>
      </c>
      <c r="P597" s="3">
        <v>4</v>
      </c>
      <c r="Q597" s="2">
        <v>0</v>
      </c>
      <c r="R597" s="4" t="s">
        <v>72</v>
      </c>
      <c r="S597" s="4" t="s">
        <v>84</v>
      </c>
      <c r="T597" s="3">
        <v>0</v>
      </c>
      <c r="U597" s="4" t="str" cm="1">
        <f t="array" ref="U597">_xlfn.IFS(V597&lt;=4, "Dissatisfied",V597&lt;=7,"Neutral",V597&gt;=8,"Satisfied")</f>
        <v>Satisfied</v>
      </c>
      <c r="V597" s="3">
        <v>9</v>
      </c>
      <c r="W597" s="4" t="s">
        <v>85</v>
      </c>
      <c r="X597" s="4" t="s">
        <v>101</v>
      </c>
      <c r="Y597" s="4" t="s">
        <v>61</v>
      </c>
      <c r="Z597" s="1">
        <v>45505</v>
      </c>
      <c r="AA597" s="4" t="str" cm="1">
        <f t="array" ref="AA597">_xlfn.IFS(OR(AB597="December", AB597="February", AB597="January"), "Winter", OR(AB597="March", AB597="April", AB597="May"), "Spring", OR(AB597="June", AB597="July", AB597="August"), "Summer", TRUE, "Autumn")</f>
        <v>Summer</v>
      </c>
      <c r="AB597" s="7" t="str">
        <f>TEXT(Z597, "mmmm")</f>
        <v>August</v>
      </c>
      <c r="AC597" s="1" t="str">
        <f>TEXT(Z597, "dddd")</f>
        <v>Thursday</v>
      </c>
      <c r="AD597" s="4" t="s">
        <v>76</v>
      </c>
      <c r="AE597" s="4" t="s">
        <v>76</v>
      </c>
      <c r="AF597" s="4" t="s">
        <v>102</v>
      </c>
      <c r="AG597" s="4" t="s">
        <v>93</v>
      </c>
      <c r="AH597" s="3">
        <v>14</v>
      </c>
    </row>
    <row r="598" spans="1:34">
      <c r="A598" s="4" t="s">
        <v>1292</v>
      </c>
      <c r="B598" s="3">
        <v>34</v>
      </c>
      <c r="C598" s="9" t="str" cm="1">
        <f t="array" ref="C598">_xlfn.IFS(B598&gt;65,"+65",B598&gt;54,"55-65",B598&gt;44,"45-54",B598&gt;35,"36-44",B598&gt;25,"26-35",B598&gt;=18,"18-25")</f>
        <v>26-35</v>
      </c>
      <c r="D598" s="4" t="s">
        <v>66</v>
      </c>
      <c r="E598" s="4" t="s">
        <v>51</v>
      </c>
      <c r="F598" s="4" t="s">
        <v>79</v>
      </c>
      <c r="G598" s="4" t="s">
        <v>80</v>
      </c>
      <c r="H598" s="4" t="s">
        <v>1293</v>
      </c>
      <c r="I598" s="4" t="s">
        <v>70</v>
      </c>
      <c r="J598" s="5">
        <v>291.60000000000002</v>
      </c>
      <c r="K598" s="3">
        <v>2</v>
      </c>
      <c r="L598" s="4" t="str">
        <f>IF(AND(J598&gt;350,K598&gt;6), "True","False")</f>
        <v>False</v>
      </c>
      <c r="M598" s="4" t="s">
        <v>71</v>
      </c>
      <c r="N598" s="3">
        <v>3</v>
      </c>
      <c r="O598" s="4" t="str" cm="1">
        <f t="array" ref="O598">_xlfn.IFS(P598&lt;=2,"Poor",P598=3,"Average",P598&gt;=4,"Good")</f>
        <v>Average</v>
      </c>
      <c r="P598" s="3">
        <v>3</v>
      </c>
      <c r="Q598" s="2">
        <v>2</v>
      </c>
      <c r="R598" s="4" t="s">
        <v>72</v>
      </c>
      <c r="S598" s="4" t="s">
        <v>84</v>
      </c>
      <c r="T598" s="3">
        <v>0</v>
      </c>
      <c r="U598" s="4" t="str" cm="1">
        <f t="array" ref="U598">_xlfn.IFS(V598&lt;=4, "Dissatisfied",V598&lt;=7,"Neutral",V598&gt;=8,"Satisfied")</f>
        <v>Neutral</v>
      </c>
      <c r="V598" s="3">
        <v>7</v>
      </c>
      <c r="W598" s="4" t="s">
        <v>57</v>
      </c>
      <c r="X598" s="4" t="s">
        <v>101</v>
      </c>
      <c r="Y598" s="4" t="s">
        <v>61</v>
      </c>
      <c r="Z598" s="1">
        <v>45505</v>
      </c>
      <c r="AA598" s="4" t="str" cm="1">
        <f t="array" ref="AA598">_xlfn.IFS(OR(AB598="December", AB598="February", AB598="January"), "Winter", OR(AB598="March", AB598="April", AB598="May"), "Spring", OR(AB598="June", AB598="July", AB598="August"), "Summer", TRUE, "Autumn")</f>
        <v>Summer</v>
      </c>
      <c r="AB598" s="7" t="str">
        <f>TEXT(Z598, "mmmm")</f>
        <v>August</v>
      </c>
      <c r="AC598" s="1" t="str">
        <f>TEXT(Z598, "dddd")</f>
        <v>Thursday</v>
      </c>
      <c r="AD598" s="4" t="s">
        <v>76</v>
      </c>
      <c r="AE598" s="4" t="s">
        <v>62</v>
      </c>
      <c r="AF598" s="4" t="s">
        <v>63</v>
      </c>
      <c r="AG598" s="4" t="s">
        <v>64</v>
      </c>
      <c r="AH598" s="3">
        <v>3</v>
      </c>
    </row>
    <row r="599" spans="1:34">
      <c r="A599" s="4" t="s">
        <v>1294</v>
      </c>
      <c r="B599" s="3">
        <v>28</v>
      </c>
      <c r="C599" s="9" t="str" cm="1">
        <f t="array" ref="C599">_xlfn.IFS(B599&gt;65,"+65",B599&gt;54,"55-65",B599&gt;44,"45-54",B599&gt;35,"36-44",B599&gt;25,"26-35",B599&gt;=18,"18-25")</f>
        <v>26-35</v>
      </c>
      <c r="D599" s="4" t="s">
        <v>78</v>
      </c>
      <c r="E599" s="4" t="s">
        <v>51</v>
      </c>
      <c r="F599" s="4" t="s">
        <v>79</v>
      </c>
      <c r="G599" s="4" t="s">
        <v>53</v>
      </c>
      <c r="H599" s="4" t="s">
        <v>1295</v>
      </c>
      <c r="I599" s="4" t="s">
        <v>118</v>
      </c>
      <c r="J599" s="5">
        <v>226.53</v>
      </c>
      <c r="K599" s="3">
        <v>3</v>
      </c>
      <c r="L599" s="4" t="str">
        <f>IF(AND(J599&gt;350,K599&gt;6), "True","False")</f>
        <v>False</v>
      </c>
      <c r="M599" s="4" t="s">
        <v>56</v>
      </c>
      <c r="N599" s="3">
        <v>3</v>
      </c>
      <c r="O599" s="4" t="str" cm="1">
        <f t="array" ref="O599">_xlfn.IFS(P599&lt;=2,"Poor",P599=3,"Average",P599&gt;=4,"Good")</f>
        <v>Poor</v>
      </c>
      <c r="P599" s="3">
        <v>1</v>
      </c>
      <c r="Q599" s="2">
        <v>1</v>
      </c>
      <c r="R599" s="4" t="s">
        <v>72</v>
      </c>
      <c r="S599" s="4" t="s">
        <v>58</v>
      </c>
      <c r="T599" s="3">
        <v>1</v>
      </c>
      <c r="U599" s="4" t="str" cm="1">
        <f t="array" ref="U599">_xlfn.IFS(V599&lt;=4, "Dissatisfied",V599&lt;=7,"Neutral",V599&gt;=8,"Satisfied")</f>
        <v>Satisfied</v>
      </c>
      <c r="V599" s="3">
        <v>10</v>
      </c>
      <c r="W599" s="4" t="s">
        <v>85</v>
      </c>
      <c r="X599" s="4" t="s">
        <v>101</v>
      </c>
      <c r="Y599" s="4" t="s">
        <v>86</v>
      </c>
      <c r="Z599" s="1">
        <v>45506</v>
      </c>
      <c r="AA599" s="4" t="str" cm="1">
        <f t="array" ref="AA599">_xlfn.IFS(OR(AB599="December", AB599="February", AB599="January"), "Winter", OR(AB599="March", AB599="April", AB599="May"), "Spring", OR(AB599="June", AB599="July", AB599="August"), "Summer", TRUE, "Autumn")</f>
        <v>Summer</v>
      </c>
      <c r="AB599" s="7" t="str">
        <f>TEXT(Z599, "mmmm")</f>
        <v>August</v>
      </c>
      <c r="AC599" s="1" t="str">
        <f>TEXT(Z599, "dddd")</f>
        <v>Friday</v>
      </c>
      <c r="AD599" s="4" t="s">
        <v>62</v>
      </c>
      <c r="AE599" s="4" t="s">
        <v>76</v>
      </c>
      <c r="AF599" s="4" t="s">
        <v>102</v>
      </c>
      <c r="AG599" s="4" t="s">
        <v>88</v>
      </c>
      <c r="AH599" s="3">
        <v>13</v>
      </c>
    </row>
    <row r="600" spans="1:34">
      <c r="A600" s="4" t="s">
        <v>1296</v>
      </c>
      <c r="B600" s="3">
        <v>42</v>
      </c>
      <c r="C600" s="9" t="str" cm="1">
        <f t="array" ref="C600">_xlfn.IFS(B600&gt;65,"+65",B600&gt;54,"55-65",B600&gt;44,"45-54",B600&gt;35,"36-44",B600&gt;25,"26-35",B600&gt;=18,"18-25")</f>
        <v>36-44</v>
      </c>
      <c r="D600" s="4" t="s">
        <v>66</v>
      </c>
      <c r="E600" s="4" t="s">
        <v>51</v>
      </c>
      <c r="F600" s="4" t="s">
        <v>95</v>
      </c>
      <c r="G600" s="4" t="s">
        <v>53</v>
      </c>
      <c r="H600" s="4" t="s">
        <v>1297</v>
      </c>
      <c r="I600" s="4" t="s">
        <v>169</v>
      </c>
      <c r="J600" s="5">
        <v>419.13</v>
      </c>
      <c r="K600" s="3">
        <v>4</v>
      </c>
      <c r="L600" s="4" t="str">
        <f>IF(AND(J600&gt;350,K600&gt;6), "True","False")</f>
        <v>False</v>
      </c>
      <c r="M600" s="4" t="s">
        <v>83</v>
      </c>
      <c r="N600" s="3">
        <v>3</v>
      </c>
      <c r="O600" s="4" t="str" cm="1">
        <f t="array" ref="O600">_xlfn.IFS(P600&lt;=2,"Poor",P600=3,"Average",P600&gt;=4,"Good")</f>
        <v>Good</v>
      </c>
      <c r="P600" s="3">
        <v>5</v>
      </c>
      <c r="Q600" s="2">
        <v>1</v>
      </c>
      <c r="R600" s="4" t="s">
        <v>57</v>
      </c>
      <c r="S600" s="4" t="s">
        <v>58</v>
      </c>
      <c r="T600" s="3">
        <v>0</v>
      </c>
      <c r="U600" s="4" t="str" cm="1">
        <f t="array" ref="U600">_xlfn.IFS(V600&lt;=4, "Dissatisfied",V600&lt;=7,"Neutral",V600&gt;=8,"Satisfied")</f>
        <v>Dissatisfied</v>
      </c>
      <c r="V600" s="3">
        <v>1</v>
      </c>
      <c r="W600" s="4" t="s">
        <v>57</v>
      </c>
      <c r="X600" s="4" t="s">
        <v>60</v>
      </c>
      <c r="Y600" s="4" t="s">
        <v>61</v>
      </c>
      <c r="Z600" s="1">
        <v>45507</v>
      </c>
      <c r="AA600" s="4" t="str" cm="1">
        <f t="array" ref="AA600">_xlfn.IFS(OR(AB600="December", AB600="February", AB600="January"), "Winter", OR(AB600="March", AB600="April", AB600="May"), "Spring", OR(AB600="June", AB600="July", AB600="August"), "Summer", TRUE, "Autumn")</f>
        <v>Summer</v>
      </c>
      <c r="AB600" s="7" t="str">
        <f>TEXT(Z600, "mmmm")</f>
        <v>August</v>
      </c>
      <c r="AC600" s="1" t="str">
        <f>TEXT(Z600, "dddd")</f>
        <v>Saturday</v>
      </c>
      <c r="AD600" s="4" t="s">
        <v>76</v>
      </c>
      <c r="AE600" s="4" t="s">
        <v>62</v>
      </c>
      <c r="AF600" s="4" t="s">
        <v>102</v>
      </c>
      <c r="AG600" s="4" t="s">
        <v>93</v>
      </c>
      <c r="AH600" s="3">
        <v>6</v>
      </c>
    </row>
    <row r="601" spans="1:34">
      <c r="A601" s="4" t="s">
        <v>1298</v>
      </c>
      <c r="B601" s="3">
        <v>40</v>
      </c>
      <c r="C601" s="9" t="str" cm="1">
        <f t="array" ref="C601">_xlfn.IFS(B601&gt;65,"+65",B601&gt;54,"55-65",B601&gt;44,"45-54",B601&gt;35,"36-44",B601&gt;25,"26-35",B601&gt;=18,"18-25")</f>
        <v>36-44</v>
      </c>
      <c r="D601" s="4" t="s">
        <v>78</v>
      </c>
      <c r="E601" s="4" t="s">
        <v>72</v>
      </c>
      <c r="F601" s="4" t="s">
        <v>67</v>
      </c>
      <c r="G601" s="4" t="s">
        <v>68</v>
      </c>
      <c r="H601" s="4" t="s">
        <v>1299</v>
      </c>
      <c r="I601" s="4" t="s">
        <v>275</v>
      </c>
      <c r="J601" s="5">
        <v>474.03</v>
      </c>
      <c r="K601" s="3">
        <v>7</v>
      </c>
      <c r="L601" s="4" t="str">
        <f>IF(AND(J601&gt;350,K601&gt;6), "True","False")</f>
        <v>True</v>
      </c>
      <c r="M601" s="4" t="s">
        <v>71</v>
      </c>
      <c r="N601" s="3">
        <v>3</v>
      </c>
      <c r="O601" s="4" t="str" cm="1">
        <f t="array" ref="O601">_xlfn.IFS(P601&lt;=2,"Poor",P601=3,"Average",P601&gt;=4,"Good")</f>
        <v>Poor</v>
      </c>
      <c r="P601" s="3">
        <v>1</v>
      </c>
      <c r="Q601" s="2">
        <v>1</v>
      </c>
      <c r="R601" s="4" t="s">
        <v>85</v>
      </c>
      <c r="S601" s="4" t="s">
        <v>84</v>
      </c>
      <c r="T601" s="3">
        <v>0</v>
      </c>
      <c r="U601" s="4" t="str" cm="1">
        <f t="array" ref="U601">_xlfn.IFS(V601&lt;=4, "Dissatisfied",V601&lt;=7,"Neutral",V601&gt;=8,"Satisfied")</f>
        <v>Neutral</v>
      </c>
      <c r="V601" s="3">
        <v>6</v>
      </c>
      <c r="W601" s="4" t="s">
        <v>72</v>
      </c>
      <c r="X601" s="4" t="s">
        <v>101</v>
      </c>
      <c r="Y601" s="4" t="s">
        <v>111</v>
      </c>
      <c r="Z601" s="1">
        <v>45507</v>
      </c>
      <c r="AA601" s="4" t="str" cm="1">
        <f t="array" ref="AA601">_xlfn.IFS(OR(AB601="December", AB601="February", AB601="January"), "Winter", OR(AB601="March", AB601="April", AB601="May"), "Spring", OR(AB601="June", AB601="July", AB601="August"), "Summer", TRUE, "Autumn")</f>
        <v>Summer</v>
      </c>
      <c r="AB601" s="7" t="str">
        <f>TEXT(Z601, "mmmm")</f>
        <v>August</v>
      </c>
      <c r="AC601" s="1" t="str">
        <f>TEXT(Z601, "dddd")</f>
        <v>Saturday</v>
      </c>
      <c r="AD601" s="4" t="s">
        <v>62</v>
      </c>
      <c r="AE601" s="4" t="s">
        <v>62</v>
      </c>
      <c r="AF601" s="4" t="s">
        <v>63</v>
      </c>
      <c r="AG601" s="4" t="s">
        <v>64</v>
      </c>
      <c r="AH601" s="3">
        <v>13</v>
      </c>
    </row>
    <row r="602" spans="1:34">
      <c r="A602" s="4" t="s">
        <v>1300</v>
      </c>
      <c r="B602" s="3">
        <v>37</v>
      </c>
      <c r="C602" s="9" t="str" cm="1">
        <f t="array" ref="C602">_xlfn.IFS(B602&gt;65,"+65",B602&gt;54,"55-65",B602&gt;44,"45-54",B602&gt;35,"36-44",B602&gt;25,"26-35",B602&gt;=18,"18-25")</f>
        <v>36-44</v>
      </c>
      <c r="D602" s="4" t="s">
        <v>78</v>
      </c>
      <c r="E602" s="4" t="s">
        <v>51</v>
      </c>
      <c r="F602" s="4" t="s">
        <v>67</v>
      </c>
      <c r="G602" s="4" t="s">
        <v>53</v>
      </c>
      <c r="H602" s="4" t="s">
        <v>1301</v>
      </c>
      <c r="I602" s="4" t="s">
        <v>194</v>
      </c>
      <c r="J602" s="5">
        <v>235.84</v>
      </c>
      <c r="K602" s="3">
        <v>9</v>
      </c>
      <c r="L602" s="4" t="str">
        <f>IF(AND(J602&gt;350,K602&gt;6), "True","False")</f>
        <v>False</v>
      </c>
      <c r="M602" s="4" t="s">
        <v>83</v>
      </c>
      <c r="N602" s="3">
        <v>5</v>
      </c>
      <c r="O602" s="4" t="str" cm="1">
        <f t="array" ref="O602">_xlfn.IFS(P602&lt;=2,"Poor",P602=3,"Average",P602&gt;=4,"Good")</f>
        <v>Poor</v>
      </c>
      <c r="P602" s="3">
        <v>2</v>
      </c>
      <c r="Q602" s="2">
        <v>0</v>
      </c>
      <c r="R602" s="4" t="s">
        <v>57</v>
      </c>
      <c r="S602" s="4" t="s">
        <v>73</v>
      </c>
      <c r="T602" s="3">
        <v>2</v>
      </c>
      <c r="U602" s="4" t="str" cm="1">
        <f t="array" ref="U602">_xlfn.IFS(V602&lt;=4, "Dissatisfied",V602&lt;=7,"Neutral",V602&gt;=8,"Satisfied")</f>
        <v>Dissatisfied</v>
      </c>
      <c r="V602" s="3">
        <v>3</v>
      </c>
      <c r="W602" s="4" t="s">
        <v>57</v>
      </c>
      <c r="X602" s="4" t="s">
        <v>101</v>
      </c>
      <c r="Y602" s="4" t="s">
        <v>61</v>
      </c>
      <c r="Z602" s="1">
        <v>45507</v>
      </c>
      <c r="AA602" s="4" t="str" cm="1">
        <f t="array" ref="AA602">_xlfn.IFS(OR(AB602="December", AB602="February", AB602="January"), "Winter", OR(AB602="March", AB602="April", AB602="May"), "Spring", OR(AB602="June", AB602="July", AB602="August"), "Summer", TRUE, "Autumn")</f>
        <v>Summer</v>
      </c>
      <c r="AB602" s="7" t="str">
        <f>TEXT(Z602, "mmmm")</f>
        <v>August</v>
      </c>
      <c r="AC602" s="1" t="str">
        <f>TEXT(Z602, "dddd")</f>
        <v>Saturday</v>
      </c>
      <c r="AD602" s="4" t="s">
        <v>76</v>
      </c>
      <c r="AE602" s="4" t="s">
        <v>76</v>
      </c>
      <c r="AF602" s="4" t="s">
        <v>87</v>
      </c>
      <c r="AG602" s="4" t="s">
        <v>88</v>
      </c>
      <c r="AH602" s="3">
        <v>14</v>
      </c>
    </row>
    <row r="603" spans="1:34">
      <c r="A603" s="4" t="s">
        <v>1302</v>
      </c>
      <c r="B603" s="3">
        <v>35</v>
      </c>
      <c r="C603" s="9" t="str" cm="1">
        <f t="array" ref="C603">_xlfn.IFS(B603&gt;65,"+65",B603&gt;54,"55-65",B603&gt;44,"45-54",B603&gt;35,"36-44",B603&gt;25,"26-35",B603&gt;=18,"18-25")</f>
        <v>26-35</v>
      </c>
      <c r="D603" s="4" t="s">
        <v>66</v>
      </c>
      <c r="E603" s="4" t="s">
        <v>72</v>
      </c>
      <c r="F603" s="4" t="s">
        <v>52</v>
      </c>
      <c r="G603" s="4" t="s">
        <v>68</v>
      </c>
      <c r="H603" s="4" t="s">
        <v>1303</v>
      </c>
      <c r="I603" s="4" t="s">
        <v>110</v>
      </c>
      <c r="J603" s="5">
        <v>494.18</v>
      </c>
      <c r="K603" s="3">
        <v>6</v>
      </c>
      <c r="L603" s="4" t="str">
        <f>IF(AND(J603&gt;350,K603&gt;6), "True","False")</f>
        <v>False</v>
      </c>
      <c r="M603" s="4" t="s">
        <v>83</v>
      </c>
      <c r="N603" s="3">
        <v>4</v>
      </c>
      <c r="O603" s="4" t="str" cm="1">
        <f t="array" ref="O603">_xlfn.IFS(P603&lt;=2,"Poor",P603=3,"Average",P603&gt;=4,"Good")</f>
        <v>Good</v>
      </c>
      <c r="P603" s="3">
        <v>5</v>
      </c>
      <c r="Q603" s="2">
        <v>1</v>
      </c>
      <c r="R603" s="4" t="s">
        <v>85</v>
      </c>
      <c r="S603" s="4" t="s">
        <v>58</v>
      </c>
      <c r="T603" s="3">
        <v>1</v>
      </c>
      <c r="U603" s="4" t="str" cm="1">
        <f t="array" ref="U603">_xlfn.IFS(V603&lt;=4, "Dissatisfied",V603&lt;=7,"Neutral",V603&gt;=8,"Satisfied")</f>
        <v>Dissatisfied</v>
      </c>
      <c r="V603" s="3">
        <v>2</v>
      </c>
      <c r="W603" s="4" t="s">
        <v>57</v>
      </c>
      <c r="X603" s="4" t="s">
        <v>101</v>
      </c>
      <c r="Y603" s="4" t="s">
        <v>61</v>
      </c>
      <c r="Z603" s="1">
        <v>45507</v>
      </c>
      <c r="AA603" s="4" t="str" cm="1">
        <f t="array" ref="AA603">_xlfn.IFS(OR(AB603="December", AB603="February", AB603="January"), "Winter", OR(AB603="March", AB603="April", AB603="May"), "Spring", OR(AB603="June", AB603="July", AB603="August"), "Summer", TRUE, "Autumn")</f>
        <v>Summer</v>
      </c>
      <c r="AB603" s="7" t="str">
        <f>TEXT(Z603, "mmmm")</f>
        <v>August</v>
      </c>
      <c r="AC603" s="1" t="str">
        <f>TEXT(Z603, "dddd")</f>
        <v>Saturday</v>
      </c>
      <c r="AD603" s="4" t="s">
        <v>76</v>
      </c>
      <c r="AE603" s="4" t="s">
        <v>76</v>
      </c>
      <c r="AF603" s="4" t="s">
        <v>63</v>
      </c>
      <c r="AG603" s="4" t="s">
        <v>64</v>
      </c>
      <c r="AH603" s="3">
        <v>14</v>
      </c>
    </row>
    <row r="604" spans="1:34">
      <c r="A604" s="4" t="s">
        <v>1304</v>
      </c>
      <c r="B604" s="3">
        <v>23</v>
      </c>
      <c r="C604" s="9" t="str" cm="1">
        <f t="array" ref="C604">_xlfn.IFS(B604&gt;65,"+65",B604&gt;54,"55-65",B604&gt;44,"45-54",B604&gt;35,"36-44",B604&gt;25,"26-35",B604&gt;=18,"18-25")</f>
        <v>18-25</v>
      </c>
      <c r="D604" s="4" t="s">
        <v>78</v>
      </c>
      <c r="E604" s="4" t="s">
        <v>72</v>
      </c>
      <c r="F604" s="4" t="s">
        <v>95</v>
      </c>
      <c r="G604" s="4" t="s">
        <v>80</v>
      </c>
      <c r="H604" s="4" t="s">
        <v>1305</v>
      </c>
      <c r="I604" s="4" t="s">
        <v>194</v>
      </c>
      <c r="J604" s="5">
        <v>461.09</v>
      </c>
      <c r="K604" s="3">
        <v>8</v>
      </c>
      <c r="L604" s="4" t="str">
        <f>IF(AND(J604&gt;350,K604&gt;6), "True","False")</f>
        <v>True</v>
      </c>
      <c r="M604" s="4" t="s">
        <v>56</v>
      </c>
      <c r="N604" s="3">
        <v>4</v>
      </c>
      <c r="O604" s="4" t="str" cm="1">
        <f t="array" ref="O604">_xlfn.IFS(P604&lt;=2,"Poor",P604=3,"Average",P604&gt;=4,"Good")</f>
        <v>Poor</v>
      </c>
      <c r="P604" s="3">
        <v>1</v>
      </c>
      <c r="Q604" s="2">
        <v>0</v>
      </c>
      <c r="R604" s="4" t="s">
        <v>85</v>
      </c>
      <c r="S604" s="4" t="s">
        <v>84</v>
      </c>
      <c r="T604" s="3">
        <v>0</v>
      </c>
      <c r="U604" s="4" t="str" cm="1">
        <f t="array" ref="U604">_xlfn.IFS(V604&lt;=4, "Dissatisfied",V604&lt;=7,"Neutral",V604&gt;=8,"Satisfied")</f>
        <v>Dissatisfied</v>
      </c>
      <c r="V604" s="3">
        <v>4</v>
      </c>
      <c r="W604" s="4" t="s">
        <v>85</v>
      </c>
      <c r="X604" s="4" t="s">
        <v>60</v>
      </c>
      <c r="Y604" s="4" t="s">
        <v>75</v>
      </c>
      <c r="Z604" s="1">
        <v>45507</v>
      </c>
      <c r="AA604" s="4" t="str" cm="1">
        <f t="array" ref="AA604">_xlfn.IFS(OR(AB604="December", AB604="February", AB604="January"), "Winter", OR(AB604="March", AB604="April", AB604="May"), "Spring", OR(AB604="June", AB604="July", AB604="August"), "Summer", TRUE, "Autumn")</f>
        <v>Summer</v>
      </c>
      <c r="AB604" s="7" t="str">
        <f>TEXT(Z604, "mmmm")</f>
        <v>August</v>
      </c>
      <c r="AC604" s="1" t="str">
        <f>TEXT(Z604, "dddd")</f>
        <v>Saturday</v>
      </c>
      <c r="AD604" s="4" t="s">
        <v>62</v>
      </c>
      <c r="AE604" s="4" t="s">
        <v>76</v>
      </c>
      <c r="AF604" s="4" t="s">
        <v>63</v>
      </c>
      <c r="AG604" s="4" t="s">
        <v>88</v>
      </c>
      <c r="AH604" s="3">
        <v>8</v>
      </c>
    </row>
    <row r="605" spans="1:34">
      <c r="A605" s="4" t="s">
        <v>1306</v>
      </c>
      <c r="B605" s="3">
        <v>46</v>
      </c>
      <c r="C605" s="9" t="str" cm="1">
        <f t="array" ref="C605">_xlfn.IFS(B605&gt;65,"+65",B605&gt;54,"55-65",B605&gt;44,"45-54",B605&gt;35,"36-44",B605&gt;25,"26-35",B605&gt;=18,"18-25")</f>
        <v>45-54</v>
      </c>
      <c r="D605" s="4" t="s">
        <v>78</v>
      </c>
      <c r="E605" s="4" t="s">
        <v>72</v>
      </c>
      <c r="F605" s="4" t="s">
        <v>52</v>
      </c>
      <c r="G605" s="4" t="s">
        <v>68</v>
      </c>
      <c r="H605" s="4" t="s">
        <v>1307</v>
      </c>
      <c r="I605" s="4" t="s">
        <v>156</v>
      </c>
      <c r="J605" s="5">
        <v>170.77</v>
      </c>
      <c r="K605" s="3">
        <v>9</v>
      </c>
      <c r="L605" s="4" t="str">
        <f>IF(AND(J605&gt;350,K605&gt;6), "True","False")</f>
        <v>False</v>
      </c>
      <c r="M605" s="4" t="s">
        <v>56</v>
      </c>
      <c r="N605" s="3">
        <v>5</v>
      </c>
      <c r="O605" s="4" t="str" cm="1">
        <f t="array" ref="O605">_xlfn.IFS(P605&lt;=2,"Poor",P605=3,"Average",P605&gt;=4,"Good")</f>
        <v>Poor</v>
      </c>
      <c r="P605" s="3">
        <v>2</v>
      </c>
      <c r="Q605" s="2">
        <v>1</v>
      </c>
      <c r="R605" s="4" t="s">
        <v>85</v>
      </c>
      <c r="S605" s="4" t="s">
        <v>84</v>
      </c>
      <c r="T605" s="3">
        <v>2</v>
      </c>
      <c r="U605" s="4" t="str" cm="1">
        <f t="array" ref="U605">_xlfn.IFS(V605&lt;=4, "Dissatisfied",V605&lt;=7,"Neutral",V605&gt;=8,"Satisfied")</f>
        <v>Dissatisfied</v>
      </c>
      <c r="V605" s="3">
        <v>1</v>
      </c>
      <c r="W605" s="4" t="s">
        <v>59</v>
      </c>
      <c r="X605" s="4" t="s">
        <v>60</v>
      </c>
      <c r="Y605" s="4" t="s">
        <v>119</v>
      </c>
      <c r="Z605" s="1">
        <v>45508</v>
      </c>
      <c r="AA605" s="4" t="str" cm="1">
        <f t="array" ref="AA605">_xlfn.IFS(OR(AB605="December", AB605="February", AB605="January"), "Winter", OR(AB605="March", AB605="April", AB605="May"), "Spring", OR(AB605="June", AB605="July", AB605="August"), "Summer", TRUE, "Autumn")</f>
        <v>Summer</v>
      </c>
      <c r="AB605" s="7" t="str">
        <f>TEXT(Z605, "mmmm")</f>
        <v>August</v>
      </c>
      <c r="AC605" s="1" t="str">
        <f>TEXT(Z605, "dddd")</f>
        <v>Sunday</v>
      </c>
      <c r="AD605" s="4" t="s">
        <v>76</v>
      </c>
      <c r="AE605" s="4" t="s">
        <v>76</v>
      </c>
      <c r="AF605" s="4" t="s">
        <v>92</v>
      </c>
      <c r="AG605" s="4" t="s">
        <v>88</v>
      </c>
      <c r="AH605" s="3">
        <v>4</v>
      </c>
    </row>
    <row r="606" spans="1:34">
      <c r="A606" s="4" t="s">
        <v>1308</v>
      </c>
      <c r="B606" s="3">
        <v>46</v>
      </c>
      <c r="C606" s="9" t="str" cm="1">
        <f t="array" ref="C606">_xlfn.IFS(B606&gt;65,"+65",B606&gt;54,"55-65",B606&gt;44,"45-54",B606&gt;35,"36-44",B606&gt;25,"26-35",B606&gt;=18,"18-25")</f>
        <v>45-54</v>
      </c>
      <c r="D606" s="4" t="s">
        <v>66</v>
      </c>
      <c r="E606" s="4" t="s">
        <v>72</v>
      </c>
      <c r="F606" s="4" t="s">
        <v>52</v>
      </c>
      <c r="G606" s="4" t="s">
        <v>53</v>
      </c>
      <c r="H606" s="4" t="s">
        <v>1309</v>
      </c>
      <c r="I606" s="4" t="s">
        <v>164</v>
      </c>
      <c r="J606" s="5">
        <v>256.44</v>
      </c>
      <c r="K606" s="3">
        <v>8</v>
      </c>
      <c r="L606" s="4" t="str">
        <f>IF(AND(J606&gt;350,K606&gt;6), "True","False")</f>
        <v>False</v>
      </c>
      <c r="M606" s="4" t="s">
        <v>71</v>
      </c>
      <c r="N606" s="3">
        <v>4</v>
      </c>
      <c r="O606" s="4" t="str" cm="1">
        <f t="array" ref="O606">_xlfn.IFS(P606&lt;=2,"Poor",P606=3,"Average",P606&gt;=4,"Good")</f>
        <v>Poor</v>
      </c>
      <c r="P606" s="3">
        <v>1</v>
      </c>
      <c r="Q606" s="2">
        <v>2</v>
      </c>
      <c r="R606" s="4" t="s">
        <v>72</v>
      </c>
      <c r="S606" s="4" t="s">
        <v>84</v>
      </c>
      <c r="T606" s="3">
        <v>1</v>
      </c>
      <c r="U606" s="4" t="str" cm="1">
        <f t="array" ref="U606">_xlfn.IFS(V606&lt;=4, "Dissatisfied",V606&lt;=7,"Neutral",V606&gt;=8,"Satisfied")</f>
        <v>Neutral</v>
      </c>
      <c r="V606" s="3">
        <v>6</v>
      </c>
      <c r="W606" s="4" t="s">
        <v>85</v>
      </c>
      <c r="X606" s="4" t="s">
        <v>74</v>
      </c>
      <c r="Y606" s="4" t="s">
        <v>111</v>
      </c>
      <c r="Z606" s="1">
        <v>45508</v>
      </c>
      <c r="AA606" s="4" t="str" cm="1">
        <f t="array" ref="AA606">_xlfn.IFS(OR(AB606="December", AB606="February", AB606="January"), "Winter", OR(AB606="March", AB606="April", AB606="May"), "Spring", OR(AB606="June", AB606="July", AB606="August"), "Summer", TRUE, "Autumn")</f>
        <v>Summer</v>
      </c>
      <c r="AB606" s="7" t="str">
        <f>TEXT(Z606, "mmmm")</f>
        <v>August</v>
      </c>
      <c r="AC606" s="1" t="str">
        <f>TEXT(Z606, "dddd")</f>
        <v>Sunday</v>
      </c>
      <c r="AD606" s="4" t="s">
        <v>76</v>
      </c>
      <c r="AE606" s="4" t="s">
        <v>76</v>
      </c>
      <c r="AF606" s="4" t="s">
        <v>102</v>
      </c>
      <c r="AG606" s="4" t="s">
        <v>93</v>
      </c>
      <c r="AH606" s="3">
        <v>3</v>
      </c>
    </row>
    <row r="607" spans="1:34">
      <c r="A607" s="4" t="s">
        <v>1310</v>
      </c>
      <c r="B607" s="3">
        <v>44</v>
      </c>
      <c r="C607" s="9" t="str" cm="1">
        <f t="array" ref="C607">_xlfn.IFS(B607&gt;65,"+65",B607&gt;54,"55-65",B607&gt;44,"45-54",B607&gt;35,"36-44",B607&gt;25,"26-35",B607&gt;=18,"18-25")</f>
        <v>36-44</v>
      </c>
      <c r="D607" s="4" t="s">
        <v>78</v>
      </c>
      <c r="E607" s="4" t="s">
        <v>72</v>
      </c>
      <c r="F607" s="4" t="s">
        <v>79</v>
      </c>
      <c r="G607" s="4" t="s">
        <v>80</v>
      </c>
      <c r="H607" s="4" t="s">
        <v>1311</v>
      </c>
      <c r="I607" s="4" t="s">
        <v>97</v>
      </c>
      <c r="J607" s="5">
        <v>312.93</v>
      </c>
      <c r="K607" s="3">
        <v>2</v>
      </c>
      <c r="L607" s="4" t="str">
        <f>IF(AND(J607&gt;350,K607&gt;6), "True","False")</f>
        <v>False</v>
      </c>
      <c r="M607" s="4" t="s">
        <v>71</v>
      </c>
      <c r="N607" s="3">
        <v>2</v>
      </c>
      <c r="O607" s="4" t="str" cm="1">
        <f t="array" ref="O607">_xlfn.IFS(P607&lt;=2,"Poor",P607=3,"Average",P607&gt;=4,"Good")</f>
        <v>Poor</v>
      </c>
      <c r="P607" s="3">
        <v>2</v>
      </c>
      <c r="Q607" s="2">
        <v>1</v>
      </c>
      <c r="R607" s="4" t="s">
        <v>72</v>
      </c>
      <c r="S607" s="4" t="s">
        <v>73</v>
      </c>
      <c r="T607" s="3">
        <v>0</v>
      </c>
      <c r="U607" s="4" t="str" cm="1">
        <f t="array" ref="U607">_xlfn.IFS(V607&lt;=4, "Dissatisfied",V607&lt;=7,"Neutral",V607&gt;=8,"Satisfied")</f>
        <v>Neutral</v>
      </c>
      <c r="V607" s="3">
        <v>7</v>
      </c>
      <c r="W607" s="4" t="s">
        <v>57</v>
      </c>
      <c r="X607" s="4" t="s">
        <v>60</v>
      </c>
      <c r="Y607" s="4" t="s">
        <v>86</v>
      </c>
      <c r="Z607" s="1">
        <v>45508</v>
      </c>
      <c r="AA607" s="4" t="str" cm="1">
        <f t="array" ref="AA607">_xlfn.IFS(OR(AB607="December", AB607="February", AB607="January"), "Winter", OR(AB607="March", AB607="April", AB607="May"), "Spring", OR(AB607="June", AB607="July", AB607="August"), "Summer", TRUE, "Autumn")</f>
        <v>Summer</v>
      </c>
      <c r="AB607" s="7" t="str">
        <f>TEXT(Z607, "mmmm")</f>
        <v>August</v>
      </c>
      <c r="AC607" s="1" t="str">
        <f>TEXT(Z607, "dddd")</f>
        <v>Sunday</v>
      </c>
      <c r="AD607" s="4" t="s">
        <v>62</v>
      </c>
      <c r="AE607" s="4" t="s">
        <v>62</v>
      </c>
      <c r="AF607" s="4" t="s">
        <v>102</v>
      </c>
      <c r="AG607" s="4" t="s">
        <v>88</v>
      </c>
      <c r="AH607" s="3">
        <v>3</v>
      </c>
    </row>
    <row r="608" spans="1:34">
      <c r="A608" s="4" t="s">
        <v>1312</v>
      </c>
      <c r="B608" s="3">
        <v>42</v>
      </c>
      <c r="C608" s="9" t="str" cm="1">
        <f t="array" ref="C608">_xlfn.IFS(B608&gt;65,"+65",B608&gt;54,"55-65",B608&gt;44,"45-54",B608&gt;35,"36-44",B608&gt;25,"26-35",B608&gt;=18,"18-25")</f>
        <v>36-44</v>
      </c>
      <c r="D608" s="4" t="s">
        <v>66</v>
      </c>
      <c r="E608" s="4" t="s">
        <v>72</v>
      </c>
      <c r="F608" s="4" t="s">
        <v>79</v>
      </c>
      <c r="G608" s="4" t="s">
        <v>68</v>
      </c>
      <c r="H608" s="4" t="s">
        <v>1313</v>
      </c>
      <c r="I608" s="4" t="s">
        <v>100</v>
      </c>
      <c r="J608" s="5">
        <v>239.46</v>
      </c>
      <c r="K608" s="3">
        <v>3</v>
      </c>
      <c r="L608" s="4" t="str">
        <f>IF(AND(J608&gt;350,K608&gt;6), "True","False")</f>
        <v>False</v>
      </c>
      <c r="M608" s="4" t="s">
        <v>83</v>
      </c>
      <c r="N608" s="3">
        <v>3</v>
      </c>
      <c r="O608" s="4" t="str" cm="1">
        <f t="array" ref="O608">_xlfn.IFS(P608&lt;=2,"Poor",P608=3,"Average",P608&gt;=4,"Good")</f>
        <v>Poor</v>
      </c>
      <c r="P608" s="3">
        <v>1</v>
      </c>
      <c r="Q608" s="2">
        <v>0</v>
      </c>
      <c r="R608" s="4" t="s">
        <v>59</v>
      </c>
      <c r="S608" s="4" t="s">
        <v>58</v>
      </c>
      <c r="T608" s="3">
        <v>2</v>
      </c>
      <c r="U608" s="4" t="str" cm="1">
        <f t="array" ref="U608">_xlfn.IFS(V608&lt;=4, "Dissatisfied",V608&lt;=7,"Neutral",V608&gt;=8,"Satisfied")</f>
        <v>Satisfied</v>
      </c>
      <c r="V608" s="3">
        <v>8</v>
      </c>
      <c r="W608" s="4" t="s">
        <v>72</v>
      </c>
      <c r="X608" s="4" t="s">
        <v>101</v>
      </c>
      <c r="Y608" s="4" t="s">
        <v>111</v>
      </c>
      <c r="Z608" s="1">
        <v>45508</v>
      </c>
      <c r="AA608" s="4" t="str" cm="1">
        <f t="array" ref="AA608">_xlfn.IFS(OR(AB608="December", AB608="February", AB608="January"), "Winter", OR(AB608="March", AB608="April", AB608="May"), "Spring", OR(AB608="June", AB608="July", AB608="August"), "Summer", TRUE, "Autumn")</f>
        <v>Summer</v>
      </c>
      <c r="AB608" s="7" t="str">
        <f>TEXT(Z608, "mmmm")</f>
        <v>August</v>
      </c>
      <c r="AC608" s="1" t="str">
        <f>TEXT(Z608, "dddd")</f>
        <v>Sunday</v>
      </c>
      <c r="AD608" s="4" t="s">
        <v>62</v>
      </c>
      <c r="AE608" s="4" t="s">
        <v>62</v>
      </c>
      <c r="AF608" s="4" t="s">
        <v>87</v>
      </c>
      <c r="AG608" s="4" t="s">
        <v>64</v>
      </c>
      <c r="AH608" s="3">
        <v>7</v>
      </c>
    </row>
    <row r="609" spans="1:34">
      <c r="A609" s="4" t="s">
        <v>1314</v>
      </c>
      <c r="B609" s="3">
        <v>40</v>
      </c>
      <c r="C609" s="9" t="str" cm="1">
        <f t="array" ref="C609">_xlfn.IFS(B609&gt;65,"+65",B609&gt;54,"55-65",B609&gt;44,"45-54",B609&gt;35,"36-44",B609&gt;25,"26-35",B609&gt;=18,"18-25")</f>
        <v>36-44</v>
      </c>
      <c r="D609" s="4" t="s">
        <v>78</v>
      </c>
      <c r="E609" s="4" t="s">
        <v>72</v>
      </c>
      <c r="F609" s="4" t="s">
        <v>79</v>
      </c>
      <c r="G609" s="4" t="s">
        <v>53</v>
      </c>
      <c r="H609" s="4" t="s">
        <v>1315</v>
      </c>
      <c r="I609" s="4" t="s">
        <v>194</v>
      </c>
      <c r="J609" s="5">
        <v>392.08</v>
      </c>
      <c r="K609" s="3">
        <v>6</v>
      </c>
      <c r="L609" s="4" t="str">
        <f>IF(AND(J609&gt;350,K609&gt;6), "True","False")</f>
        <v>False</v>
      </c>
      <c r="M609" s="4" t="s">
        <v>56</v>
      </c>
      <c r="N609" s="3">
        <v>2</v>
      </c>
      <c r="O609" s="4" t="str" cm="1">
        <f t="array" ref="O609">_xlfn.IFS(P609&lt;=2,"Poor",P609=3,"Average",P609&gt;=4,"Good")</f>
        <v>Good</v>
      </c>
      <c r="P609" s="3">
        <v>5</v>
      </c>
      <c r="Q609" s="2">
        <v>1</v>
      </c>
      <c r="R609" s="4" t="s">
        <v>57</v>
      </c>
      <c r="S609" s="4" t="s">
        <v>73</v>
      </c>
      <c r="T609" s="3">
        <v>2</v>
      </c>
      <c r="U609" s="4" t="str" cm="1">
        <f t="array" ref="U609">_xlfn.IFS(V609&lt;=4, "Dissatisfied",V609&lt;=7,"Neutral",V609&gt;=8,"Satisfied")</f>
        <v>Neutral</v>
      </c>
      <c r="V609" s="3">
        <v>7</v>
      </c>
      <c r="W609" s="4" t="s">
        <v>72</v>
      </c>
      <c r="X609" s="4" t="s">
        <v>74</v>
      </c>
      <c r="Y609" s="4" t="s">
        <v>111</v>
      </c>
      <c r="Z609" s="1">
        <v>45508</v>
      </c>
      <c r="AA609" s="4" t="str" cm="1">
        <f t="array" ref="AA609">_xlfn.IFS(OR(AB609="December", AB609="February", AB609="January"), "Winter", OR(AB609="March", AB609="April", AB609="May"), "Spring", OR(AB609="June", AB609="July", AB609="August"), "Summer", TRUE, "Autumn")</f>
        <v>Summer</v>
      </c>
      <c r="AB609" s="7" t="str">
        <f>TEXT(Z609, "mmmm")</f>
        <v>August</v>
      </c>
      <c r="AC609" s="1" t="str">
        <f>TEXT(Z609, "dddd")</f>
        <v>Sunday</v>
      </c>
      <c r="AD609" s="4" t="s">
        <v>62</v>
      </c>
      <c r="AE609" s="4" t="s">
        <v>62</v>
      </c>
      <c r="AF609" s="4" t="s">
        <v>63</v>
      </c>
      <c r="AG609" s="4" t="s">
        <v>93</v>
      </c>
      <c r="AH609" s="3">
        <v>6</v>
      </c>
    </row>
    <row r="610" spans="1:34">
      <c r="A610" s="4" t="s">
        <v>1316</v>
      </c>
      <c r="B610" s="3">
        <v>21</v>
      </c>
      <c r="C610" s="9" t="str" cm="1">
        <f t="array" ref="C610">_xlfn.IFS(B610&gt;65,"+65",B610&gt;54,"55-65",B610&gt;44,"45-54",B610&gt;35,"36-44",B610&gt;25,"26-35",B610&gt;=18,"18-25")</f>
        <v>18-25</v>
      </c>
      <c r="D610" s="4" t="s">
        <v>78</v>
      </c>
      <c r="E610" s="4" t="s">
        <v>72</v>
      </c>
      <c r="F610" s="4" t="s">
        <v>95</v>
      </c>
      <c r="G610" s="4" t="s">
        <v>80</v>
      </c>
      <c r="H610" s="4" t="s">
        <v>1317</v>
      </c>
      <c r="I610" s="4" t="s">
        <v>97</v>
      </c>
      <c r="J610" s="5">
        <v>105.95</v>
      </c>
      <c r="K610" s="3">
        <v>12</v>
      </c>
      <c r="L610" s="4" t="str">
        <f>IF(AND(J610&gt;350,K610&gt;6), "True","False")</f>
        <v>False</v>
      </c>
      <c r="M610" s="4" t="s">
        <v>83</v>
      </c>
      <c r="N610" s="3">
        <v>1</v>
      </c>
      <c r="O610" s="4" t="str" cm="1">
        <f t="array" ref="O610">_xlfn.IFS(P610&lt;=2,"Poor",P610=3,"Average",P610&gt;=4,"Good")</f>
        <v>Good</v>
      </c>
      <c r="P610" s="3">
        <v>4</v>
      </c>
      <c r="Q610" s="2">
        <v>2</v>
      </c>
      <c r="R610" s="4" t="s">
        <v>59</v>
      </c>
      <c r="S610" s="4" t="s">
        <v>73</v>
      </c>
      <c r="T610" s="3">
        <v>1</v>
      </c>
      <c r="U610" s="4" t="str" cm="1">
        <f t="array" ref="U610">_xlfn.IFS(V610&lt;=4, "Dissatisfied",V610&lt;=7,"Neutral",V610&gt;=8,"Satisfied")</f>
        <v>Neutral</v>
      </c>
      <c r="V610" s="3">
        <v>7</v>
      </c>
      <c r="W610" s="4" t="s">
        <v>85</v>
      </c>
      <c r="X610" s="4" t="s">
        <v>101</v>
      </c>
      <c r="Y610" s="4" t="s">
        <v>61</v>
      </c>
      <c r="Z610" s="1">
        <v>45508</v>
      </c>
      <c r="AA610" s="4" t="str" cm="1">
        <f t="array" ref="AA610">_xlfn.IFS(OR(AB610="December", AB610="February", AB610="January"), "Winter", OR(AB610="March", AB610="April", AB610="May"), "Spring", OR(AB610="June", AB610="July", AB610="August"), "Summer", TRUE, "Autumn")</f>
        <v>Summer</v>
      </c>
      <c r="AB610" s="7" t="str">
        <f>TEXT(Z610, "mmmm")</f>
        <v>August</v>
      </c>
      <c r="AC610" s="1" t="str">
        <f>TEXT(Z610, "dddd")</f>
        <v>Sunday</v>
      </c>
      <c r="AD610" s="4" t="s">
        <v>76</v>
      </c>
      <c r="AE610" s="4" t="s">
        <v>76</v>
      </c>
      <c r="AF610" s="4" t="s">
        <v>92</v>
      </c>
      <c r="AG610" s="4" t="s">
        <v>64</v>
      </c>
      <c r="AH610" s="3">
        <v>11</v>
      </c>
    </row>
    <row r="611" spans="1:34">
      <c r="A611" s="4" t="s">
        <v>1318</v>
      </c>
      <c r="B611" s="3">
        <v>37</v>
      </c>
      <c r="C611" s="9" t="str" cm="1">
        <f t="array" ref="C611">_xlfn.IFS(B611&gt;65,"+65",B611&gt;54,"55-65",B611&gt;44,"45-54",B611&gt;35,"36-44",B611&gt;25,"26-35",B611&gt;=18,"18-25")</f>
        <v>36-44</v>
      </c>
      <c r="D611" s="4" t="s">
        <v>66</v>
      </c>
      <c r="E611" s="4" t="s">
        <v>51</v>
      </c>
      <c r="F611" s="4" t="s">
        <v>95</v>
      </c>
      <c r="G611" s="4" t="s">
        <v>68</v>
      </c>
      <c r="H611" s="4" t="s">
        <v>1319</v>
      </c>
      <c r="I611" s="4" t="s">
        <v>118</v>
      </c>
      <c r="J611" s="5">
        <v>107.21</v>
      </c>
      <c r="K611" s="3">
        <v>2</v>
      </c>
      <c r="L611" s="4" t="str">
        <f>IF(AND(J611&gt;350,K611&gt;6), "True","False")</f>
        <v>False</v>
      </c>
      <c r="M611" s="4" t="s">
        <v>56</v>
      </c>
      <c r="N611" s="3">
        <v>4</v>
      </c>
      <c r="O611" s="4" t="str" cm="1">
        <f t="array" ref="O611">_xlfn.IFS(P611&lt;=2,"Poor",P611=3,"Average",P611&gt;=4,"Good")</f>
        <v>Poor</v>
      </c>
      <c r="P611" s="3">
        <v>2</v>
      </c>
      <c r="Q611" s="2">
        <v>1</v>
      </c>
      <c r="R611" s="4" t="s">
        <v>57</v>
      </c>
      <c r="S611" s="4" t="s">
        <v>58</v>
      </c>
      <c r="T611" s="3">
        <v>2</v>
      </c>
      <c r="U611" s="4" t="str" cm="1">
        <f t="array" ref="U611">_xlfn.IFS(V611&lt;=4, "Dissatisfied",V611&lt;=7,"Neutral",V611&gt;=8,"Satisfied")</f>
        <v>Satisfied</v>
      </c>
      <c r="V611" s="3">
        <v>9</v>
      </c>
      <c r="W611" s="4" t="s">
        <v>85</v>
      </c>
      <c r="X611" s="4" t="s">
        <v>101</v>
      </c>
      <c r="Y611" s="4" t="s">
        <v>111</v>
      </c>
      <c r="Z611" s="1">
        <v>45509</v>
      </c>
      <c r="AA611" s="4" t="str" cm="1">
        <f t="array" ref="AA611">_xlfn.IFS(OR(AB611="December", AB611="February", AB611="January"), "Winter", OR(AB611="March", AB611="April", AB611="May"), "Spring", OR(AB611="June", AB611="July", AB611="August"), "Summer", TRUE, "Autumn")</f>
        <v>Summer</v>
      </c>
      <c r="AB611" s="7" t="str">
        <f>TEXT(Z611, "mmmm")</f>
        <v>August</v>
      </c>
      <c r="AC611" s="1" t="str">
        <f>TEXT(Z611, "dddd")</f>
        <v>Monday</v>
      </c>
      <c r="AD611" s="4" t="s">
        <v>62</v>
      </c>
      <c r="AE611" s="4" t="s">
        <v>62</v>
      </c>
      <c r="AF611" s="4" t="s">
        <v>87</v>
      </c>
      <c r="AG611" s="4" t="s">
        <v>64</v>
      </c>
      <c r="AH611" s="3">
        <v>6</v>
      </c>
    </row>
    <row r="612" spans="1:34">
      <c r="A612" s="4" t="s">
        <v>1320</v>
      </c>
      <c r="B612" s="3">
        <v>36</v>
      </c>
      <c r="C612" s="9" t="str" cm="1">
        <f t="array" ref="C612">_xlfn.IFS(B612&gt;65,"+65",B612&gt;54,"55-65",B612&gt;44,"45-54",B612&gt;35,"36-44",B612&gt;25,"26-35",B612&gt;=18,"18-25")</f>
        <v>36-44</v>
      </c>
      <c r="D612" s="4" t="s">
        <v>78</v>
      </c>
      <c r="E612" s="4" t="s">
        <v>72</v>
      </c>
      <c r="F612" s="4" t="s">
        <v>95</v>
      </c>
      <c r="G612" s="4" t="s">
        <v>80</v>
      </c>
      <c r="H612" s="4" t="s">
        <v>1321</v>
      </c>
      <c r="I612" s="4" t="s">
        <v>105</v>
      </c>
      <c r="J612" s="5">
        <v>383.33</v>
      </c>
      <c r="K612" s="3">
        <v>6</v>
      </c>
      <c r="L612" s="4" t="str">
        <f>IF(AND(J612&gt;350,K612&gt;6), "True","False")</f>
        <v>False</v>
      </c>
      <c r="M612" s="4" t="s">
        <v>56</v>
      </c>
      <c r="N612" s="3">
        <v>3</v>
      </c>
      <c r="O612" s="4" t="str" cm="1">
        <f t="array" ref="O612">_xlfn.IFS(P612&lt;=2,"Poor",P612=3,"Average",P612&gt;=4,"Good")</f>
        <v>Good</v>
      </c>
      <c r="P612" s="3">
        <v>4</v>
      </c>
      <c r="Q612" s="2">
        <v>2</v>
      </c>
      <c r="R612" s="4" t="s">
        <v>85</v>
      </c>
      <c r="S612" s="4" t="s">
        <v>73</v>
      </c>
      <c r="T612" s="3">
        <v>1</v>
      </c>
      <c r="U612" s="4" t="str" cm="1">
        <f t="array" ref="U612">_xlfn.IFS(V612&lt;=4, "Dissatisfied",V612&lt;=7,"Neutral",V612&gt;=8,"Satisfied")</f>
        <v>Dissatisfied</v>
      </c>
      <c r="V612" s="3">
        <v>3</v>
      </c>
      <c r="W612" s="4" t="s">
        <v>57</v>
      </c>
      <c r="X612" s="4" t="s">
        <v>60</v>
      </c>
      <c r="Y612" s="4" t="s">
        <v>119</v>
      </c>
      <c r="Z612" s="1">
        <v>45509</v>
      </c>
      <c r="AA612" s="4" t="str" cm="1">
        <f t="array" ref="AA612">_xlfn.IFS(OR(AB612="December", AB612="February", AB612="January"), "Winter", OR(AB612="March", AB612="April", AB612="May"), "Spring", OR(AB612="June", AB612="July", AB612="August"), "Summer", TRUE, "Autumn")</f>
        <v>Summer</v>
      </c>
      <c r="AB612" s="7" t="str">
        <f>TEXT(Z612, "mmmm")</f>
        <v>August</v>
      </c>
      <c r="AC612" s="1" t="str">
        <f>TEXT(Z612, "dddd")</f>
        <v>Monday</v>
      </c>
      <c r="AD612" s="4" t="s">
        <v>76</v>
      </c>
      <c r="AE612" s="4" t="s">
        <v>76</v>
      </c>
      <c r="AF612" s="4" t="s">
        <v>87</v>
      </c>
      <c r="AG612" s="4" t="s">
        <v>64</v>
      </c>
      <c r="AH612" s="3">
        <v>12</v>
      </c>
    </row>
    <row r="613" spans="1:34">
      <c r="A613" s="4" t="s">
        <v>1322</v>
      </c>
      <c r="B613" s="3">
        <v>34</v>
      </c>
      <c r="C613" s="9" t="str" cm="1">
        <f t="array" ref="C613">_xlfn.IFS(B613&gt;65,"+65",B613&gt;54,"55-65",B613&gt;44,"45-54",B613&gt;35,"36-44",B613&gt;25,"26-35",B613&gt;=18,"18-25")</f>
        <v>26-35</v>
      </c>
      <c r="D613" s="4" t="s">
        <v>66</v>
      </c>
      <c r="E613" s="4" t="s">
        <v>51</v>
      </c>
      <c r="F613" s="4" t="s">
        <v>52</v>
      </c>
      <c r="G613" s="4" t="s">
        <v>53</v>
      </c>
      <c r="H613" s="4" t="s">
        <v>1323</v>
      </c>
      <c r="I613" s="4" t="s">
        <v>97</v>
      </c>
      <c r="J613" s="5">
        <v>61.22</v>
      </c>
      <c r="K613" s="3">
        <v>7</v>
      </c>
      <c r="L613" s="4" t="str">
        <f>IF(AND(J613&gt;350,K613&gt;6), "True","False")</f>
        <v>False</v>
      </c>
      <c r="M613" s="4" t="s">
        <v>71</v>
      </c>
      <c r="N613" s="3">
        <v>5</v>
      </c>
      <c r="O613" s="4" t="str" cm="1">
        <f t="array" ref="O613">_xlfn.IFS(P613&lt;=2,"Poor",P613=3,"Average",P613&gt;=4,"Good")</f>
        <v>Poor</v>
      </c>
      <c r="P613" s="3">
        <v>2</v>
      </c>
      <c r="Q613" s="2">
        <v>2</v>
      </c>
      <c r="R613" s="4" t="s">
        <v>59</v>
      </c>
      <c r="S613" s="4" t="s">
        <v>73</v>
      </c>
      <c r="T613" s="3">
        <v>1</v>
      </c>
      <c r="U613" s="4" t="str" cm="1">
        <f t="array" ref="U613">_xlfn.IFS(V613&lt;=4, "Dissatisfied",V613&lt;=7,"Neutral",V613&gt;=8,"Satisfied")</f>
        <v>Neutral</v>
      </c>
      <c r="V613" s="3">
        <v>7</v>
      </c>
      <c r="W613" s="4" t="s">
        <v>72</v>
      </c>
      <c r="X613" s="4" t="s">
        <v>101</v>
      </c>
      <c r="Y613" s="4" t="s">
        <v>75</v>
      </c>
      <c r="Z613" s="1">
        <v>45509</v>
      </c>
      <c r="AA613" s="4" t="str" cm="1">
        <f t="array" ref="AA613">_xlfn.IFS(OR(AB613="December", AB613="February", AB613="January"), "Winter", OR(AB613="March", AB613="April", AB613="May"), "Spring", OR(AB613="June", AB613="July", AB613="August"), "Summer", TRUE, "Autumn")</f>
        <v>Summer</v>
      </c>
      <c r="AB613" s="7" t="str">
        <f>TEXT(Z613, "mmmm")</f>
        <v>August</v>
      </c>
      <c r="AC613" s="1" t="str">
        <f>TEXT(Z613, "dddd")</f>
        <v>Monday</v>
      </c>
      <c r="AD613" s="4" t="s">
        <v>62</v>
      </c>
      <c r="AE613" s="4" t="s">
        <v>62</v>
      </c>
      <c r="AF613" s="4" t="s">
        <v>63</v>
      </c>
      <c r="AG613" s="4" t="s">
        <v>88</v>
      </c>
      <c r="AH613" s="3">
        <v>5</v>
      </c>
    </row>
    <row r="614" spans="1:34">
      <c r="A614" s="4" t="s">
        <v>1324</v>
      </c>
      <c r="B614" s="3">
        <v>43</v>
      </c>
      <c r="C614" s="9" t="str" cm="1">
        <f t="array" ref="C614">_xlfn.IFS(B614&gt;65,"+65",B614&gt;54,"55-65",B614&gt;44,"45-54",B614&gt;35,"36-44",B614&gt;25,"26-35",B614&gt;=18,"18-25")</f>
        <v>36-44</v>
      </c>
      <c r="D614" s="4" t="s">
        <v>50</v>
      </c>
      <c r="E614" s="4" t="s">
        <v>72</v>
      </c>
      <c r="F614" s="4" t="s">
        <v>79</v>
      </c>
      <c r="G614" s="4" t="s">
        <v>68</v>
      </c>
      <c r="H614" s="4" t="s">
        <v>1325</v>
      </c>
      <c r="I614" s="4" t="s">
        <v>55</v>
      </c>
      <c r="J614" s="5">
        <v>111.24</v>
      </c>
      <c r="K614" s="3">
        <v>9</v>
      </c>
      <c r="L614" s="4" t="str">
        <f>IF(AND(J614&gt;350,K614&gt;6), "True","False")</f>
        <v>False</v>
      </c>
      <c r="M614" s="4" t="s">
        <v>83</v>
      </c>
      <c r="N614" s="3">
        <v>5</v>
      </c>
      <c r="O614" s="4" t="str" cm="1">
        <f t="array" ref="O614">_xlfn.IFS(P614&lt;=2,"Poor",P614=3,"Average",P614&gt;=4,"Good")</f>
        <v>Poor</v>
      </c>
      <c r="P614" s="3">
        <v>2</v>
      </c>
      <c r="Q614" s="2">
        <v>0</v>
      </c>
      <c r="R614" s="4" t="s">
        <v>85</v>
      </c>
      <c r="S614" s="4" t="s">
        <v>84</v>
      </c>
      <c r="T614" s="3">
        <v>0</v>
      </c>
      <c r="U614" s="4" t="str" cm="1">
        <f t="array" ref="U614">_xlfn.IFS(V614&lt;=4, "Dissatisfied",V614&lt;=7,"Neutral",V614&gt;=8,"Satisfied")</f>
        <v>Dissatisfied</v>
      </c>
      <c r="V614" s="3">
        <v>2</v>
      </c>
      <c r="W614" s="4" t="s">
        <v>72</v>
      </c>
      <c r="X614" s="4" t="s">
        <v>60</v>
      </c>
      <c r="Y614" s="4" t="s">
        <v>119</v>
      </c>
      <c r="Z614" s="1">
        <v>45510</v>
      </c>
      <c r="AA614" s="4" t="str" cm="1">
        <f t="array" ref="AA614">_xlfn.IFS(OR(AB614="December", AB614="February", AB614="January"), "Winter", OR(AB614="March", AB614="April", AB614="May"), "Spring", OR(AB614="June", AB614="July", AB614="August"), "Summer", TRUE, "Autumn")</f>
        <v>Summer</v>
      </c>
      <c r="AB614" s="7" t="str">
        <f>TEXT(Z614, "mmmm")</f>
        <v>August</v>
      </c>
      <c r="AC614" s="1" t="str">
        <f>TEXT(Z614, "dddd")</f>
        <v>Tuesday</v>
      </c>
      <c r="AD614" s="4" t="s">
        <v>62</v>
      </c>
      <c r="AE614" s="4" t="s">
        <v>76</v>
      </c>
      <c r="AF614" s="4" t="s">
        <v>63</v>
      </c>
      <c r="AG614" s="4" t="s">
        <v>88</v>
      </c>
      <c r="AH614" s="3">
        <v>12</v>
      </c>
    </row>
    <row r="615" spans="1:34">
      <c r="A615" s="4" t="s">
        <v>1326</v>
      </c>
      <c r="B615" s="3">
        <v>34</v>
      </c>
      <c r="C615" s="9" t="str" cm="1">
        <f t="array" ref="C615">_xlfn.IFS(B615&gt;65,"+65",B615&gt;54,"55-65",B615&gt;44,"45-54",B615&gt;35,"36-44",B615&gt;25,"26-35",B615&gt;=18,"18-25")</f>
        <v>26-35</v>
      </c>
      <c r="D615" s="4" t="s">
        <v>66</v>
      </c>
      <c r="E615" s="4" t="s">
        <v>72</v>
      </c>
      <c r="F615" s="4" t="s">
        <v>95</v>
      </c>
      <c r="G615" s="4" t="s">
        <v>53</v>
      </c>
      <c r="H615" s="4" t="s">
        <v>1327</v>
      </c>
      <c r="I615" s="4" t="s">
        <v>122</v>
      </c>
      <c r="J615" s="5">
        <v>327.05</v>
      </c>
      <c r="K615" s="3">
        <v>9</v>
      </c>
      <c r="L615" s="4" t="str">
        <f>IF(AND(J615&gt;350,K615&gt;6), "True","False")</f>
        <v>False</v>
      </c>
      <c r="M615" s="4" t="s">
        <v>83</v>
      </c>
      <c r="N615" s="3">
        <v>5</v>
      </c>
      <c r="O615" s="4" t="str" cm="1">
        <f t="array" ref="O615">_xlfn.IFS(P615&lt;=2,"Poor",P615=3,"Average",P615&gt;=4,"Good")</f>
        <v>Good</v>
      </c>
      <c r="P615" s="3">
        <v>4</v>
      </c>
      <c r="Q615" s="2">
        <v>0</v>
      </c>
      <c r="R615" s="4" t="s">
        <v>59</v>
      </c>
      <c r="S615" s="4" t="s">
        <v>84</v>
      </c>
      <c r="T615" s="3">
        <v>2</v>
      </c>
      <c r="U615" s="4" t="str" cm="1">
        <f t="array" ref="U615">_xlfn.IFS(V615&lt;=4, "Dissatisfied",V615&lt;=7,"Neutral",V615&gt;=8,"Satisfied")</f>
        <v>Dissatisfied</v>
      </c>
      <c r="V615" s="3">
        <v>3</v>
      </c>
      <c r="W615" s="4" t="s">
        <v>72</v>
      </c>
      <c r="X615" s="4" t="s">
        <v>101</v>
      </c>
      <c r="Y615" s="4" t="s">
        <v>61</v>
      </c>
      <c r="Z615" s="1">
        <v>45510</v>
      </c>
      <c r="AA615" s="4" t="str" cm="1">
        <f t="array" ref="AA615">_xlfn.IFS(OR(AB615="December", AB615="February", AB615="January"), "Winter", OR(AB615="March", AB615="April", AB615="May"), "Spring", OR(AB615="June", AB615="July", AB615="August"), "Summer", TRUE, "Autumn")</f>
        <v>Summer</v>
      </c>
      <c r="AB615" s="7" t="str">
        <f>TEXT(Z615, "mmmm")</f>
        <v>August</v>
      </c>
      <c r="AC615" s="1" t="str">
        <f>TEXT(Z615, "dddd")</f>
        <v>Tuesday</v>
      </c>
      <c r="AD615" s="4" t="s">
        <v>76</v>
      </c>
      <c r="AE615" s="4" t="s">
        <v>62</v>
      </c>
      <c r="AF615" s="4" t="s">
        <v>63</v>
      </c>
      <c r="AG615" s="4" t="s">
        <v>88</v>
      </c>
      <c r="AH615" s="3">
        <v>7</v>
      </c>
    </row>
    <row r="616" spans="1:34">
      <c r="A616" s="4" t="s">
        <v>1328</v>
      </c>
      <c r="B616" s="3">
        <v>28</v>
      </c>
      <c r="C616" s="9" t="str" cm="1">
        <f t="array" ref="C616">_xlfn.IFS(B616&gt;65,"+65",B616&gt;54,"55-65",B616&gt;44,"45-54",B616&gt;35,"36-44",B616&gt;25,"26-35",B616&gt;=18,"18-25")</f>
        <v>26-35</v>
      </c>
      <c r="D616" s="4" t="s">
        <v>66</v>
      </c>
      <c r="E616" s="4" t="s">
        <v>72</v>
      </c>
      <c r="F616" s="4" t="s">
        <v>67</v>
      </c>
      <c r="G616" s="4" t="s">
        <v>53</v>
      </c>
      <c r="H616" s="4" t="s">
        <v>1329</v>
      </c>
      <c r="I616" s="4" t="s">
        <v>234</v>
      </c>
      <c r="J616" s="5">
        <v>207.52</v>
      </c>
      <c r="K616" s="3">
        <v>4</v>
      </c>
      <c r="L616" s="4" t="str">
        <f>IF(AND(J616&gt;350,K616&gt;6), "True","False")</f>
        <v>False</v>
      </c>
      <c r="M616" s="4" t="s">
        <v>71</v>
      </c>
      <c r="N616" s="3">
        <v>3</v>
      </c>
      <c r="O616" s="4" t="str" cm="1">
        <f t="array" ref="O616">_xlfn.IFS(P616&lt;=2,"Poor",P616=3,"Average",P616&gt;=4,"Good")</f>
        <v>Good</v>
      </c>
      <c r="P616" s="3">
        <v>4</v>
      </c>
      <c r="Q616" s="2">
        <v>1</v>
      </c>
      <c r="R616" s="4" t="s">
        <v>59</v>
      </c>
      <c r="S616" s="4" t="s">
        <v>58</v>
      </c>
      <c r="T616" s="3">
        <v>1</v>
      </c>
      <c r="U616" s="4" t="str" cm="1">
        <f t="array" ref="U616">_xlfn.IFS(V616&lt;=4, "Dissatisfied",V616&lt;=7,"Neutral",V616&gt;=8,"Satisfied")</f>
        <v>Satisfied</v>
      </c>
      <c r="V616" s="3">
        <v>8</v>
      </c>
      <c r="W616" s="4" t="s">
        <v>72</v>
      </c>
      <c r="X616" s="4" t="s">
        <v>101</v>
      </c>
      <c r="Y616" s="4" t="s">
        <v>75</v>
      </c>
      <c r="Z616" s="1">
        <v>45510</v>
      </c>
      <c r="AA616" s="4" t="str" cm="1">
        <f t="array" ref="AA616">_xlfn.IFS(OR(AB616="December", AB616="February", AB616="January"), "Winter", OR(AB616="March", AB616="April", AB616="May"), "Spring", OR(AB616="June", AB616="July", AB616="August"), "Summer", TRUE, "Autumn")</f>
        <v>Summer</v>
      </c>
      <c r="AB616" s="7" t="str">
        <f>TEXT(Z616, "mmmm")</f>
        <v>August</v>
      </c>
      <c r="AC616" s="1" t="str">
        <f>TEXT(Z616, "dddd")</f>
        <v>Tuesday</v>
      </c>
      <c r="AD616" s="4" t="s">
        <v>76</v>
      </c>
      <c r="AE616" s="4" t="s">
        <v>76</v>
      </c>
      <c r="AF616" s="4" t="s">
        <v>92</v>
      </c>
      <c r="AG616" s="4" t="s">
        <v>88</v>
      </c>
      <c r="AH616" s="3">
        <v>2</v>
      </c>
    </row>
    <row r="617" spans="1:34">
      <c r="A617" s="4" t="s">
        <v>1330</v>
      </c>
      <c r="B617" s="3">
        <v>19</v>
      </c>
      <c r="C617" s="9" t="str" cm="1">
        <f t="array" ref="C617">_xlfn.IFS(B617&gt;65,"+65",B617&gt;54,"55-65",B617&gt;44,"45-54",B617&gt;35,"36-44",B617&gt;25,"26-35",B617&gt;=18,"18-25")</f>
        <v>18-25</v>
      </c>
      <c r="D617" s="4" t="s">
        <v>188</v>
      </c>
      <c r="E617" s="4" t="s">
        <v>72</v>
      </c>
      <c r="F617" s="4" t="s">
        <v>67</v>
      </c>
      <c r="G617" s="4" t="s">
        <v>53</v>
      </c>
      <c r="H617" s="4" t="s">
        <v>1331</v>
      </c>
      <c r="I617" s="4" t="s">
        <v>97</v>
      </c>
      <c r="J617" s="5">
        <v>288.14999999999998</v>
      </c>
      <c r="K617" s="3">
        <v>3</v>
      </c>
      <c r="L617" s="4" t="str">
        <f>IF(AND(J617&gt;350,K617&gt;6), "True","False")</f>
        <v>False</v>
      </c>
      <c r="M617" s="4" t="s">
        <v>56</v>
      </c>
      <c r="N617" s="3">
        <v>1</v>
      </c>
      <c r="O617" s="4" t="str" cm="1">
        <f t="array" ref="O617">_xlfn.IFS(P617&lt;=2,"Poor",P617=3,"Average",P617&gt;=4,"Good")</f>
        <v>Good</v>
      </c>
      <c r="P617" s="3">
        <v>4</v>
      </c>
      <c r="Q617" s="2">
        <v>1</v>
      </c>
      <c r="R617" s="4" t="s">
        <v>72</v>
      </c>
      <c r="S617" s="4" t="s">
        <v>84</v>
      </c>
      <c r="T617" s="3">
        <v>1</v>
      </c>
      <c r="U617" s="4" t="str" cm="1">
        <f t="array" ref="U617">_xlfn.IFS(V617&lt;=4, "Dissatisfied",V617&lt;=7,"Neutral",V617&gt;=8,"Satisfied")</f>
        <v>Dissatisfied</v>
      </c>
      <c r="V617" s="3">
        <v>4</v>
      </c>
      <c r="W617" s="4" t="s">
        <v>85</v>
      </c>
      <c r="X617" s="4" t="s">
        <v>74</v>
      </c>
      <c r="Y617" s="4" t="s">
        <v>61</v>
      </c>
      <c r="Z617" s="1">
        <v>45510</v>
      </c>
      <c r="AA617" s="4" t="str" cm="1">
        <f t="array" ref="AA617">_xlfn.IFS(OR(AB617="December", AB617="February", AB617="January"), "Winter", OR(AB617="March", AB617="April", AB617="May"), "Spring", OR(AB617="June", AB617="July", AB617="August"), "Summer", TRUE, "Autumn")</f>
        <v>Summer</v>
      </c>
      <c r="AB617" s="7" t="str">
        <f>TEXT(Z617, "mmmm")</f>
        <v>August</v>
      </c>
      <c r="AC617" s="1" t="str">
        <f>TEXT(Z617, "dddd")</f>
        <v>Tuesday</v>
      </c>
      <c r="AD617" s="4" t="s">
        <v>62</v>
      </c>
      <c r="AE617" s="4" t="s">
        <v>76</v>
      </c>
      <c r="AF617" s="4" t="s">
        <v>92</v>
      </c>
      <c r="AG617" s="4" t="s">
        <v>64</v>
      </c>
      <c r="AH617" s="3">
        <v>13</v>
      </c>
    </row>
    <row r="618" spans="1:34">
      <c r="A618" s="4" t="s">
        <v>1332</v>
      </c>
      <c r="B618" s="3">
        <v>49</v>
      </c>
      <c r="C618" s="9" t="str" cm="1">
        <f t="array" ref="C618">_xlfn.IFS(B618&gt;65,"+65",B618&gt;54,"55-65",B618&gt;44,"45-54",B618&gt;35,"36-44",B618&gt;25,"26-35",B618&gt;=18,"18-25")</f>
        <v>45-54</v>
      </c>
      <c r="D618" s="4" t="s">
        <v>78</v>
      </c>
      <c r="E618" s="4" t="s">
        <v>51</v>
      </c>
      <c r="F618" s="4" t="s">
        <v>95</v>
      </c>
      <c r="G618" s="4" t="s">
        <v>80</v>
      </c>
      <c r="H618" s="4" t="s">
        <v>305</v>
      </c>
      <c r="I618" s="4" t="s">
        <v>97</v>
      </c>
      <c r="J618" s="5">
        <v>163.13999999999999</v>
      </c>
      <c r="K618" s="3">
        <v>5</v>
      </c>
      <c r="L618" s="4" t="str">
        <f>IF(AND(J618&gt;350,K618&gt;6), "True","False")</f>
        <v>False</v>
      </c>
      <c r="M618" s="4" t="s">
        <v>83</v>
      </c>
      <c r="N618" s="3">
        <v>5</v>
      </c>
      <c r="O618" s="4" t="str" cm="1">
        <f t="array" ref="O618">_xlfn.IFS(P618&lt;=2,"Poor",P618=3,"Average",P618&gt;=4,"Good")</f>
        <v>Good</v>
      </c>
      <c r="P618" s="3">
        <v>4</v>
      </c>
      <c r="Q618" s="2">
        <v>0</v>
      </c>
      <c r="R618" s="4" t="s">
        <v>59</v>
      </c>
      <c r="S618" s="4" t="s">
        <v>84</v>
      </c>
      <c r="T618" s="3">
        <v>1</v>
      </c>
      <c r="U618" s="4" t="str" cm="1">
        <f t="array" ref="U618">_xlfn.IFS(V618&lt;=4, "Dissatisfied",V618&lt;=7,"Neutral",V618&gt;=8,"Satisfied")</f>
        <v>Dissatisfied</v>
      </c>
      <c r="V618" s="3">
        <v>2</v>
      </c>
      <c r="W618" s="4" t="s">
        <v>57</v>
      </c>
      <c r="X618" s="4" t="s">
        <v>101</v>
      </c>
      <c r="Y618" s="4" t="s">
        <v>75</v>
      </c>
      <c r="Z618" s="1">
        <v>45511</v>
      </c>
      <c r="AA618" s="4" t="str" cm="1">
        <f t="array" ref="AA618">_xlfn.IFS(OR(AB618="December", AB618="February", AB618="January"), "Winter", OR(AB618="March", AB618="April", AB618="May"), "Spring", OR(AB618="June", AB618="July", AB618="August"), "Summer", TRUE, "Autumn")</f>
        <v>Summer</v>
      </c>
      <c r="AB618" s="7" t="str">
        <f>TEXT(Z618, "mmmm")</f>
        <v>August</v>
      </c>
      <c r="AC618" s="1" t="str">
        <f>TEXT(Z618, "dddd")</f>
        <v>Wednesday</v>
      </c>
      <c r="AD618" s="4" t="s">
        <v>62</v>
      </c>
      <c r="AE618" s="4" t="s">
        <v>62</v>
      </c>
      <c r="AF618" s="4" t="s">
        <v>87</v>
      </c>
      <c r="AG618" s="4" t="s">
        <v>88</v>
      </c>
      <c r="AH618" s="3">
        <v>1</v>
      </c>
    </row>
    <row r="619" spans="1:34">
      <c r="A619" s="4" t="s">
        <v>1333</v>
      </c>
      <c r="B619" s="3">
        <v>43</v>
      </c>
      <c r="C619" s="9" t="str" cm="1">
        <f t="array" ref="C619">_xlfn.IFS(B619&gt;65,"+65",B619&gt;54,"55-65",B619&gt;44,"45-54",B619&gt;35,"36-44",B619&gt;25,"26-35",B619&gt;=18,"18-25")</f>
        <v>36-44</v>
      </c>
      <c r="D619" s="4" t="s">
        <v>66</v>
      </c>
      <c r="E619" s="4" t="s">
        <v>72</v>
      </c>
      <c r="F619" s="4" t="s">
        <v>79</v>
      </c>
      <c r="G619" s="4" t="s">
        <v>68</v>
      </c>
      <c r="H619" s="4" t="s">
        <v>1334</v>
      </c>
      <c r="I619" s="4" t="s">
        <v>91</v>
      </c>
      <c r="J619" s="5">
        <v>322.39999999999998</v>
      </c>
      <c r="K619" s="3">
        <v>7</v>
      </c>
      <c r="L619" s="4" t="str">
        <f>IF(AND(J619&gt;350,K619&gt;6), "True","False")</f>
        <v>False</v>
      </c>
      <c r="M619" s="4" t="s">
        <v>83</v>
      </c>
      <c r="N619" s="3">
        <v>4</v>
      </c>
      <c r="O619" s="4" t="str" cm="1">
        <f t="array" ref="O619">_xlfn.IFS(P619&lt;=2,"Poor",P619=3,"Average",P619&gt;=4,"Good")</f>
        <v>Poor</v>
      </c>
      <c r="P619" s="3">
        <v>2</v>
      </c>
      <c r="Q619" s="2">
        <v>1</v>
      </c>
      <c r="R619" s="4" t="s">
        <v>85</v>
      </c>
      <c r="S619" s="4" t="s">
        <v>73</v>
      </c>
      <c r="T619" s="3">
        <v>2</v>
      </c>
      <c r="U619" s="4" t="str" cm="1">
        <f t="array" ref="U619">_xlfn.IFS(V619&lt;=4, "Dissatisfied",V619&lt;=7,"Neutral",V619&gt;=8,"Satisfied")</f>
        <v>Dissatisfied</v>
      </c>
      <c r="V619" s="3">
        <v>3</v>
      </c>
      <c r="W619" s="4" t="s">
        <v>85</v>
      </c>
      <c r="X619" s="4" t="s">
        <v>74</v>
      </c>
      <c r="Y619" s="4" t="s">
        <v>61</v>
      </c>
      <c r="Z619" s="1">
        <v>45511</v>
      </c>
      <c r="AA619" s="4" t="str" cm="1">
        <f t="array" ref="AA619">_xlfn.IFS(OR(AB619="December", AB619="February", AB619="January"), "Winter", OR(AB619="March", AB619="April", AB619="May"), "Spring", OR(AB619="June", AB619="July", AB619="August"), "Summer", TRUE, "Autumn")</f>
        <v>Summer</v>
      </c>
      <c r="AB619" s="7" t="str">
        <f>TEXT(Z619, "mmmm")</f>
        <v>August</v>
      </c>
      <c r="AC619" s="1" t="str">
        <f>TEXT(Z619, "dddd")</f>
        <v>Wednesday</v>
      </c>
      <c r="AD619" s="4" t="s">
        <v>62</v>
      </c>
      <c r="AE619" s="4" t="s">
        <v>62</v>
      </c>
      <c r="AF619" s="4" t="s">
        <v>63</v>
      </c>
      <c r="AG619" s="4" t="s">
        <v>93</v>
      </c>
      <c r="AH619" s="3">
        <v>2</v>
      </c>
    </row>
    <row r="620" spans="1:34">
      <c r="A620" s="4" t="s">
        <v>1335</v>
      </c>
      <c r="B620" s="3">
        <v>26</v>
      </c>
      <c r="C620" s="9" t="str" cm="1">
        <f t="array" ref="C620">_xlfn.IFS(B620&gt;65,"+65",B620&gt;54,"55-65",B620&gt;44,"45-54",B620&gt;35,"36-44",B620&gt;25,"26-35",B620&gt;=18,"18-25")</f>
        <v>26-35</v>
      </c>
      <c r="D620" s="4" t="s">
        <v>78</v>
      </c>
      <c r="E620" s="4" t="s">
        <v>72</v>
      </c>
      <c r="F620" s="4" t="s">
        <v>52</v>
      </c>
      <c r="G620" s="4" t="s">
        <v>68</v>
      </c>
      <c r="H620" s="4" t="s">
        <v>1336</v>
      </c>
      <c r="I620" s="4" t="s">
        <v>100</v>
      </c>
      <c r="J620" s="5">
        <v>469.22</v>
      </c>
      <c r="K620" s="3">
        <v>6</v>
      </c>
      <c r="L620" s="4" t="str">
        <f>IF(AND(J620&gt;350,K620&gt;6), "True","False")</f>
        <v>False</v>
      </c>
      <c r="M620" s="4" t="s">
        <v>71</v>
      </c>
      <c r="N620" s="3">
        <v>1</v>
      </c>
      <c r="O620" s="4" t="str" cm="1">
        <f t="array" ref="O620">_xlfn.IFS(P620&lt;=2,"Poor",P620=3,"Average",P620&gt;=4,"Good")</f>
        <v>Poor</v>
      </c>
      <c r="P620" s="3">
        <v>1</v>
      </c>
      <c r="Q620" s="2">
        <v>1</v>
      </c>
      <c r="R620" s="4" t="s">
        <v>72</v>
      </c>
      <c r="S620" s="4" t="s">
        <v>58</v>
      </c>
      <c r="T620" s="3">
        <v>0</v>
      </c>
      <c r="U620" s="4" t="str" cm="1">
        <f t="array" ref="U620">_xlfn.IFS(V620&lt;=4, "Dissatisfied",V620&lt;=7,"Neutral",V620&gt;=8,"Satisfied")</f>
        <v>Dissatisfied</v>
      </c>
      <c r="V620" s="3">
        <v>1</v>
      </c>
      <c r="W620" s="4" t="s">
        <v>59</v>
      </c>
      <c r="X620" s="4" t="s">
        <v>74</v>
      </c>
      <c r="Y620" s="4" t="s">
        <v>119</v>
      </c>
      <c r="Z620" s="1">
        <v>45511</v>
      </c>
      <c r="AA620" s="4" t="str" cm="1">
        <f t="array" ref="AA620">_xlfn.IFS(OR(AB620="December", AB620="February", AB620="January"), "Winter", OR(AB620="March", AB620="April", AB620="May"), "Spring", OR(AB620="June", AB620="July", AB620="August"), "Summer", TRUE, "Autumn")</f>
        <v>Summer</v>
      </c>
      <c r="AB620" s="7" t="str">
        <f>TEXT(Z620, "mmmm")</f>
        <v>August</v>
      </c>
      <c r="AC620" s="1" t="str">
        <f>TEXT(Z620, "dddd")</f>
        <v>Wednesday</v>
      </c>
      <c r="AD620" s="4" t="s">
        <v>76</v>
      </c>
      <c r="AE620" s="4" t="s">
        <v>76</v>
      </c>
      <c r="AF620" s="4" t="s">
        <v>102</v>
      </c>
      <c r="AG620" s="4" t="s">
        <v>88</v>
      </c>
      <c r="AH620" s="3">
        <v>7</v>
      </c>
    </row>
    <row r="621" spans="1:34">
      <c r="A621" s="4" t="s">
        <v>1337</v>
      </c>
      <c r="B621" s="3">
        <v>27</v>
      </c>
      <c r="C621" s="9" t="str" cm="1">
        <f t="array" ref="C621">_xlfn.IFS(B621&gt;65,"+65",B621&gt;54,"55-65",B621&gt;44,"45-54",B621&gt;35,"36-44",B621&gt;25,"26-35",B621&gt;=18,"18-25")</f>
        <v>26-35</v>
      </c>
      <c r="D621" s="4" t="s">
        <v>66</v>
      </c>
      <c r="E621" s="4" t="s">
        <v>72</v>
      </c>
      <c r="F621" s="4" t="s">
        <v>95</v>
      </c>
      <c r="G621" s="4" t="s">
        <v>68</v>
      </c>
      <c r="H621" s="4" t="s">
        <v>1338</v>
      </c>
      <c r="I621" s="4" t="s">
        <v>105</v>
      </c>
      <c r="J621" s="5">
        <v>117.13</v>
      </c>
      <c r="K621" s="3">
        <v>7</v>
      </c>
      <c r="L621" s="4" t="str">
        <f>IF(AND(J621&gt;350,K621&gt;6), "True","False")</f>
        <v>False</v>
      </c>
      <c r="M621" s="4" t="s">
        <v>83</v>
      </c>
      <c r="N621" s="3">
        <v>1</v>
      </c>
      <c r="O621" s="4" t="str" cm="1">
        <f t="array" ref="O621">_xlfn.IFS(P621&lt;=2,"Poor",P621=3,"Average",P621&gt;=4,"Good")</f>
        <v>Poor</v>
      </c>
      <c r="P621" s="3">
        <v>1</v>
      </c>
      <c r="Q621" s="2">
        <v>2</v>
      </c>
      <c r="R621" s="4" t="s">
        <v>72</v>
      </c>
      <c r="S621" s="4" t="s">
        <v>84</v>
      </c>
      <c r="T621" s="3">
        <v>1</v>
      </c>
      <c r="U621" s="4" t="str" cm="1">
        <f t="array" ref="U621">_xlfn.IFS(V621&lt;=4, "Dissatisfied",V621&lt;=7,"Neutral",V621&gt;=8,"Satisfied")</f>
        <v>Satisfied</v>
      </c>
      <c r="V621" s="3">
        <v>10</v>
      </c>
      <c r="W621" s="4" t="s">
        <v>72</v>
      </c>
      <c r="X621" s="4" t="s">
        <v>60</v>
      </c>
      <c r="Y621" s="4" t="s">
        <v>119</v>
      </c>
      <c r="Z621" s="1">
        <v>45512</v>
      </c>
      <c r="AA621" s="4" t="str" cm="1">
        <f t="array" ref="AA621">_xlfn.IFS(OR(AB621="December", AB621="February", AB621="January"), "Winter", OR(AB621="March", AB621="April", AB621="May"), "Spring", OR(AB621="June", AB621="July", AB621="August"), "Summer", TRUE, "Autumn")</f>
        <v>Summer</v>
      </c>
      <c r="AB621" s="7" t="str">
        <f>TEXT(Z621, "mmmm")</f>
        <v>August</v>
      </c>
      <c r="AC621" s="1" t="str">
        <f>TEXT(Z621, "dddd")</f>
        <v>Thursday</v>
      </c>
      <c r="AD621" s="4" t="s">
        <v>62</v>
      </c>
      <c r="AE621" s="4" t="s">
        <v>62</v>
      </c>
      <c r="AF621" s="4" t="s">
        <v>87</v>
      </c>
      <c r="AG621" s="4" t="s">
        <v>93</v>
      </c>
      <c r="AH621" s="3">
        <v>6</v>
      </c>
    </row>
    <row r="622" spans="1:34">
      <c r="A622" s="4" t="s">
        <v>1339</v>
      </c>
      <c r="B622" s="3">
        <v>23</v>
      </c>
      <c r="C622" s="9" t="str" cm="1">
        <f t="array" ref="C622">_xlfn.IFS(B622&gt;65,"+65",B622&gt;54,"55-65",B622&gt;44,"45-54",B622&gt;35,"36-44",B622&gt;25,"26-35",B622&gt;=18,"18-25")</f>
        <v>18-25</v>
      </c>
      <c r="D622" s="4" t="s">
        <v>78</v>
      </c>
      <c r="E622" s="4" t="s">
        <v>72</v>
      </c>
      <c r="F622" s="4" t="s">
        <v>79</v>
      </c>
      <c r="G622" s="4" t="s">
        <v>53</v>
      </c>
      <c r="H622" s="4" t="s">
        <v>1340</v>
      </c>
      <c r="I622" s="4" t="s">
        <v>82</v>
      </c>
      <c r="J622" s="5">
        <v>131.47999999999999</v>
      </c>
      <c r="K622" s="3">
        <v>8</v>
      </c>
      <c r="L622" s="4" t="str">
        <f>IF(AND(J622&gt;350,K622&gt;6), "True","False")</f>
        <v>False</v>
      </c>
      <c r="M622" s="4" t="s">
        <v>83</v>
      </c>
      <c r="N622" s="3">
        <v>3</v>
      </c>
      <c r="O622" s="4" t="str" cm="1">
        <f t="array" ref="O622">_xlfn.IFS(P622&lt;=2,"Poor",P622=3,"Average",P622&gt;=4,"Good")</f>
        <v>Good</v>
      </c>
      <c r="P622" s="3">
        <v>5</v>
      </c>
      <c r="Q622" s="2">
        <v>0</v>
      </c>
      <c r="R622" s="4" t="s">
        <v>57</v>
      </c>
      <c r="S622" s="4" t="s">
        <v>84</v>
      </c>
      <c r="T622" s="3">
        <v>2</v>
      </c>
      <c r="U622" s="4" t="str" cm="1">
        <f t="array" ref="U622">_xlfn.IFS(V622&lt;=4, "Dissatisfied",V622&lt;=7,"Neutral",V622&gt;=8,"Satisfied")</f>
        <v>Dissatisfied</v>
      </c>
      <c r="V622" s="3">
        <v>1</v>
      </c>
      <c r="W622" s="4" t="s">
        <v>59</v>
      </c>
      <c r="X622" s="4" t="s">
        <v>74</v>
      </c>
      <c r="Y622" s="4" t="s">
        <v>119</v>
      </c>
      <c r="Z622" s="1">
        <v>45512</v>
      </c>
      <c r="AA622" s="4" t="str" cm="1">
        <f t="array" ref="AA622">_xlfn.IFS(OR(AB622="December", AB622="February", AB622="January"), "Winter", OR(AB622="March", AB622="April", AB622="May"), "Spring", OR(AB622="June", AB622="July", AB622="August"), "Summer", TRUE, "Autumn")</f>
        <v>Summer</v>
      </c>
      <c r="AB622" s="7" t="str">
        <f>TEXT(Z622, "mmmm")</f>
        <v>August</v>
      </c>
      <c r="AC622" s="1" t="str">
        <f>TEXT(Z622, "dddd")</f>
        <v>Thursday</v>
      </c>
      <c r="AD622" s="4" t="s">
        <v>62</v>
      </c>
      <c r="AE622" s="4" t="s">
        <v>62</v>
      </c>
      <c r="AF622" s="4" t="s">
        <v>102</v>
      </c>
      <c r="AG622" s="4" t="s">
        <v>88</v>
      </c>
      <c r="AH622" s="3">
        <v>12</v>
      </c>
    </row>
    <row r="623" spans="1:34">
      <c r="A623" s="4" t="s">
        <v>1341</v>
      </c>
      <c r="B623" s="3">
        <v>18</v>
      </c>
      <c r="C623" s="9" t="str" cm="1">
        <f t="array" ref="C623">_xlfn.IFS(B623&gt;65,"+65",B623&gt;54,"55-65",B623&gt;44,"45-54",B623&gt;35,"36-44",B623&gt;25,"26-35",B623&gt;=18,"18-25")</f>
        <v>18-25</v>
      </c>
      <c r="D623" s="4" t="s">
        <v>78</v>
      </c>
      <c r="E623" s="4" t="s">
        <v>72</v>
      </c>
      <c r="F623" s="4" t="s">
        <v>52</v>
      </c>
      <c r="G623" s="4" t="s">
        <v>80</v>
      </c>
      <c r="H623" s="4" t="s">
        <v>1342</v>
      </c>
      <c r="I623" s="4" t="s">
        <v>100</v>
      </c>
      <c r="J623" s="5">
        <v>397.25</v>
      </c>
      <c r="K623" s="3">
        <v>6</v>
      </c>
      <c r="L623" s="4" t="str">
        <f>IF(AND(J623&gt;350,K623&gt;6), "True","False")</f>
        <v>False</v>
      </c>
      <c r="M623" s="4" t="s">
        <v>83</v>
      </c>
      <c r="N623" s="3">
        <v>5</v>
      </c>
      <c r="O623" s="4" t="str" cm="1">
        <f t="array" ref="O623">_xlfn.IFS(P623&lt;=2,"Poor",P623=3,"Average",P623&gt;=4,"Good")</f>
        <v>Poor</v>
      </c>
      <c r="P623" s="3">
        <v>2</v>
      </c>
      <c r="Q623" s="2">
        <v>1</v>
      </c>
      <c r="R623" s="4" t="s">
        <v>59</v>
      </c>
      <c r="S623" s="4" t="s">
        <v>58</v>
      </c>
      <c r="T623" s="3">
        <v>1</v>
      </c>
      <c r="U623" s="4" t="str" cm="1">
        <f t="array" ref="U623">_xlfn.IFS(V623&lt;=4, "Dissatisfied",V623&lt;=7,"Neutral",V623&gt;=8,"Satisfied")</f>
        <v>Satisfied</v>
      </c>
      <c r="V623" s="3">
        <v>10</v>
      </c>
      <c r="W623" s="4" t="s">
        <v>57</v>
      </c>
      <c r="X623" s="4" t="s">
        <v>101</v>
      </c>
      <c r="Y623" s="4" t="s">
        <v>61</v>
      </c>
      <c r="Z623" s="1">
        <v>45512</v>
      </c>
      <c r="AA623" s="4" t="str" cm="1">
        <f t="array" ref="AA623">_xlfn.IFS(OR(AB623="December", AB623="February", AB623="January"), "Winter", OR(AB623="March", AB623="April", AB623="May"), "Spring", OR(AB623="June", AB623="July", AB623="August"), "Summer", TRUE, "Autumn")</f>
        <v>Summer</v>
      </c>
      <c r="AB623" s="7" t="str">
        <f>TEXT(Z623, "mmmm")</f>
        <v>August</v>
      </c>
      <c r="AC623" s="1" t="str">
        <f>TEXT(Z623, "dddd")</f>
        <v>Thursday</v>
      </c>
      <c r="AD623" s="4" t="s">
        <v>76</v>
      </c>
      <c r="AE623" s="4" t="s">
        <v>62</v>
      </c>
      <c r="AF623" s="4" t="s">
        <v>102</v>
      </c>
      <c r="AG623" s="4" t="s">
        <v>88</v>
      </c>
      <c r="AH623" s="3">
        <v>2</v>
      </c>
    </row>
    <row r="624" spans="1:34">
      <c r="A624" s="4" t="s">
        <v>1343</v>
      </c>
      <c r="B624" s="3">
        <v>44</v>
      </c>
      <c r="C624" s="9" t="str" cm="1">
        <f t="array" ref="C624">_xlfn.IFS(B624&gt;65,"+65",B624&gt;54,"55-65",B624&gt;44,"45-54",B624&gt;35,"36-44",B624&gt;25,"26-35",B624&gt;=18,"18-25")</f>
        <v>36-44</v>
      </c>
      <c r="D624" s="4" t="s">
        <v>78</v>
      </c>
      <c r="E624" s="4" t="s">
        <v>51</v>
      </c>
      <c r="F624" s="4" t="s">
        <v>79</v>
      </c>
      <c r="G624" s="4" t="s">
        <v>80</v>
      </c>
      <c r="H624" s="4" t="s">
        <v>1344</v>
      </c>
      <c r="I624" s="4" t="s">
        <v>169</v>
      </c>
      <c r="J624" s="5">
        <v>422.31</v>
      </c>
      <c r="K624" s="3">
        <v>2</v>
      </c>
      <c r="L624" s="4" t="str">
        <f>IF(AND(J624&gt;350,K624&gt;6), "True","False")</f>
        <v>False</v>
      </c>
      <c r="M624" s="4" t="s">
        <v>71</v>
      </c>
      <c r="N624" s="3">
        <v>3</v>
      </c>
      <c r="O624" s="4" t="str" cm="1">
        <f t="array" ref="O624">_xlfn.IFS(P624&lt;=2,"Poor",P624=3,"Average",P624&gt;=4,"Good")</f>
        <v>Good</v>
      </c>
      <c r="P624" s="3">
        <v>4</v>
      </c>
      <c r="Q624" s="2">
        <v>1</v>
      </c>
      <c r="R624" s="4" t="s">
        <v>85</v>
      </c>
      <c r="S624" s="4" t="s">
        <v>73</v>
      </c>
      <c r="T624" s="3">
        <v>0</v>
      </c>
      <c r="U624" s="4" t="str" cm="1">
        <f t="array" ref="U624">_xlfn.IFS(V624&lt;=4, "Dissatisfied",V624&lt;=7,"Neutral",V624&gt;=8,"Satisfied")</f>
        <v>Neutral</v>
      </c>
      <c r="V624" s="3">
        <v>6</v>
      </c>
      <c r="W624" s="4" t="s">
        <v>57</v>
      </c>
      <c r="X624" s="4" t="s">
        <v>60</v>
      </c>
      <c r="Y624" s="4" t="s">
        <v>111</v>
      </c>
      <c r="Z624" s="1">
        <v>45513</v>
      </c>
      <c r="AA624" s="4" t="str" cm="1">
        <f t="array" ref="AA624">_xlfn.IFS(OR(AB624="December", AB624="February", AB624="January"), "Winter", OR(AB624="March", AB624="April", AB624="May"), "Spring", OR(AB624="June", AB624="July", AB624="August"), "Summer", TRUE, "Autumn")</f>
        <v>Summer</v>
      </c>
      <c r="AB624" s="7" t="str">
        <f>TEXT(Z624, "mmmm")</f>
        <v>August</v>
      </c>
      <c r="AC624" s="1" t="str">
        <f>TEXT(Z624, "dddd")</f>
        <v>Friday</v>
      </c>
      <c r="AD624" s="4" t="s">
        <v>62</v>
      </c>
      <c r="AE624" s="4" t="s">
        <v>62</v>
      </c>
      <c r="AF624" s="4" t="s">
        <v>92</v>
      </c>
      <c r="AG624" s="4" t="s">
        <v>88</v>
      </c>
      <c r="AH624" s="3">
        <v>3</v>
      </c>
    </row>
    <row r="625" spans="1:34">
      <c r="A625" s="4" t="s">
        <v>1345</v>
      </c>
      <c r="B625" s="3">
        <v>32</v>
      </c>
      <c r="C625" s="9" t="str" cm="1">
        <f t="array" ref="C625">_xlfn.IFS(B625&gt;65,"+65",B625&gt;54,"55-65",B625&gt;44,"45-54",B625&gt;35,"36-44",B625&gt;25,"26-35",B625&gt;=18,"18-25")</f>
        <v>26-35</v>
      </c>
      <c r="D625" s="4" t="s">
        <v>78</v>
      </c>
      <c r="E625" s="4" t="s">
        <v>72</v>
      </c>
      <c r="F625" s="4" t="s">
        <v>79</v>
      </c>
      <c r="G625" s="4" t="s">
        <v>53</v>
      </c>
      <c r="H625" s="4" t="s">
        <v>1346</v>
      </c>
      <c r="I625" s="4" t="s">
        <v>118</v>
      </c>
      <c r="J625" s="5">
        <v>283.77999999999997</v>
      </c>
      <c r="K625" s="3">
        <v>4</v>
      </c>
      <c r="L625" s="4" t="str">
        <f>IF(AND(J625&gt;350,K625&gt;6), "True","False")</f>
        <v>False</v>
      </c>
      <c r="M625" s="4" t="s">
        <v>83</v>
      </c>
      <c r="N625" s="3">
        <v>2</v>
      </c>
      <c r="O625" s="4" t="str" cm="1">
        <f t="array" ref="O625">_xlfn.IFS(P625&lt;=2,"Poor",P625=3,"Average",P625&gt;=4,"Good")</f>
        <v>Good</v>
      </c>
      <c r="P625" s="3">
        <v>4</v>
      </c>
      <c r="Q625" s="2">
        <v>1.2</v>
      </c>
      <c r="R625" s="4" t="s">
        <v>57</v>
      </c>
      <c r="S625" s="4" t="s">
        <v>84</v>
      </c>
      <c r="T625" s="3">
        <v>0</v>
      </c>
      <c r="U625" s="4" t="str" cm="1">
        <f t="array" ref="U625">_xlfn.IFS(V625&lt;=4, "Dissatisfied",V625&lt;=7,"Neutral",V625&gt;=8,"Satisfied")</f>
        <v>Neutral</v>
      </c>
      <c r="V625" s="3">
        <v>6</v>
      </c>
      <c r="W625" s="4" t="s">
        <v>57</v>
      </c>
      <c r="X625" s="4" t="s">
        <v>60</v>
      </c>
      <c r="Y625" s="4" t="s">
        <v>75</v>
      </c>
      <c r="Z625" s="1">
        <v>45513</v>
      </c>
      <c r="AA625" s="4" t="str" cm="1">
        <f t="array" ref="AA625">_xlfn.IFS(OR(AB625="December", AB625="February", AB625="January"), "Winter", OR(AB625="March", AB625="April", AB625="May"), "Spring", OR(AB625="June", AB625="July", AB625="August"), "Summer", TRUE, "Autumn")</f>
        <v>Summer</v>
      </c>
      <c r="AB625" s="7" t="str">
        <f>TEXT(Z625, "mmmm")</f>
        <v>August</v>
      </c>
      <c r="AC625" s="1" t="str">
        <f>TEXT(Z625, "dddd")</f>
        <v>Friday</v>
      </c>
      <c r="AD625" s="4" t="s">
        <v>62</v>
      </c>
      <c r="AE625" s="4" t="s">
        <v>76</v>
      </c>
      <c r="AF625" s="4" t="s">
        <v>63</v>
      </c>
      <c r="AG625" s="4" t="s">
        <v>93</v>
      </c>
      <c r="AH625" s="3">
        <v>10</v>
      </c>
    </row>
    <row r="626" spans="1:34">
      <c r="A626" s="4" t="s">
        <v>1347</v>
      </c>
      <c r="B626" s="3">
        <v>22</v>
      </c>
      <c r="C626" s="9" t="str" cm="1">
        <f t="array" ref="C626">_xlfn.IFS(B626&gt;65,"+65",B626&gt;54,"55-65",B626&gt;44,"45-54",B626&gt;35,"36-44",B626&gt;25,"26-35",B626&gt;=18,"18-25")</f>
        <v>18-25</v>
      </c>
      <c r="D626" s="4" t="s">
        <v>78</v>
      </c>
      <c r="E626" s="4" t="s">
        <v>51</v>
      </c>
      <c r="F626" s="4" t="s">
        <v>79</v>
      </c>
      <c r="G626" s="4" t="s">
        <v>68</v>
      </c>
      <c r="H626" s="4" t="s">
        <v>153</v>
      </c>
      <c r="I626" s="4" t="s">
        <v>169</v>
      </c>
      <c r="J626" s="5">
        <v>193.94</v>
      </c>
      <c r="K626" s="3">
        <v>11</v>
      </c>
      <c r="L626" s="4" t="str">
        <f>IF(AND(J626&gt;350,K626&gt;6), "True","False")</f>
        <v>False</v>
      </c>
      <c r="M626" s="4" t="s">
        <v>83</v>
      </c>
      <c r="N626" s="3">
        <v>4</v>
      </c>
      <c r="O626" s="4" t="str" cm="1">
        <f t="array" ref="O626">_xlfn.IFS(P626&lt;=2,"Poor",P626=3,"Average",P626&gt;=4,"Good")</f>
        <v>Poor</v>
      </c>
      <c r="P626" s="3">
        <v>1</v>
      </c>
      <c r="Q626" s="2">
        <v>0</v>
      </c>
      <c r="R626" s="4" t="s">
        <v>57</v>
      </c>
      <c r="S626" s="4" t="s">
        <v>58</v>
      </c>
      <c r="T626" s="3">
        <v>0</v>
      </c>
      <c r="U626" s="4" t="str" cm="1">
        <f t="array" ref="U626">_xlfn.IFS(V626&lt;=4, "Dissatisfied",V626&lt;=7,"Neutral",V626&gt;=8,"Satisfied")</f>
        <v>Dissatisfied</v>
      </c>
      <c r="V626" s="3">
        <v>3</v>
      </c>
      <c r="W626" s="4" t="s">
        <v>72</v>
      </c>
      <c r="X626" s="4" t="s">
        <v>101</v>
      </c>
      <c r="Y626" s="4" t="s">
        <v>111</v>
      </c>
      <c r="Z626" s="1">
        <v>45513</v>
      </c>
      <c r="AA626" s="4" t="str" cm="1">
        <f t="array" ref="AA626">_xlfn.IFS(OR(AB626="December", AB626="February", AB626="January"), "Winter", OR(AB626="March", AB626="April", AB626="May"), "Spring", OR(AB626="June", AB626="July", AB626="August"), "Summer", TRUE, "Autumn")</f>
        <v>Summer</v>
      </c>
      <c r="AB626" s="7" t="str">
        <f>TEXT(Z626, "mmmm")</f>
        <v>August</v>
      </c>
      <c r="AC626" s="1" t="str">
        <f>TEXT(Z626, "dddd")</f>
        <v>Friday</v>
      </c>
      <c r="AD626" s="4" t="s">
        <v>76</v>
      </c>
      <c r="AE626" s="4" t="s">
        <v>76</v>
      </c>
      <c r="AF626" s="4" t="s">
        <v>102</v>
      </c>
      <c r="AG626" s="4" t="s">
        <v>64</v>
      </c>
      <c r="AH626" s="3">
        <v>9</v>
      </c>
    </row>
    <row r="627" spans="1:34">
      <c r="A627" s="4" t="s">
        <v>1348</v>
      </c>
      <c r="B627" s="3">
        <v>28</v>
      </c>
      <c r="C627" s="9" t="str" cm="1">
        <f t="array" ref="C627">_xlfn.IFS(B627&gt;65,"+65",B627&gt;54,"55-65",B627&gt;44,"45-54",B627&gt;35,"36-44",B627&gt;25,"26-35",B627&gt;=18,"18-25")</f>
        <v>26-35</v>
      </c>
      <c r="D627" s="4" t="s">
        <v>78</v>
      </c>
      <c r="E627" s="4" t="s">
        <v>51</v>
      </c>
      <c r="F627" s="4" t="s">
        <v>67</v>
      </c>
      <c r="G627" s="4" t="s">
        <v>68</v>
      </c>
      <c r="H627" s="4" t="s">
        <v>1349</v>
      </c>
      <c r="I627" s="4" t="s">
        <v>172</v>
      </c>
      <c r="J627" s="5">
        <v>203.49</v>
      </c>
      <c r="K627" s="3">
        <v>7</v>
      </c>
      <c r="L627" s="4" t="str">
        <f>IF(AND(J627&gt;350,K627&gt;6), "True","False")</f>
        <v>False</v>
      </c>
      <c r="M627" s="4" t="s">
        <v>71</v>
      </c>
      <c r="N627" s="3">
        <v>4</v>
      </c>
      <c r="O627" s="4" t="str" cm="1">
        <f t="array" ref="O627">_xlfn.IFS(P627&lt;=2,"Poor",P627=3,"Average",P627&gt;=4,"Good")</f>
        <v>Poor</v>
      </c>
      <c r="P627" s="3">
        <v>1</v>
      </c>
      <c r="Q627" s="2">
        <v>2</v>
      </c>
      <c r="R627" s="4" t="s">
        <v>85</v>
      </c>
      <c r="S627" s="4" t="s">
        <v>58</v>
      </c>
      <c r="T627" s="3">
        <v>1</v>
      </c>
      <c r="U627" s="4" t="str" cm="1">
        <f t="array" ref="U627">_xlfn.IFS(V627&lt;=4, "Dissatisfied",V627&lt;=7,"Neutral",V627&gt;=8,"Satisfied")</f>
        <v>Satisfied</v>
      </c>
      <c r="V627" s="3">
        <v>8</v>
      </c>
      <c r="W627" s="4" t="s">
        <v>72</v>
      </c>
      <c r="X627" s="4" t="s">
        <v>74</v>
      </c>
      <c r="Y627" s="4" t="s">
        <v>61</v>
      </c>
      <c r="Z627" s="1">
        <v>45514</v>
      </c>
      <c r="AA627" s="4" t="str" cm="1">
        <f t="array" ref="AA627">_xlfn.IFS(OR(AB627="December", AB627="February", AB627="January"), "Winter", OR(AB627="March", AB627="April", AB627="May"), "Spring", OR(AB627="June", AB627="July", AB627="August"), "Summer", TRUE, "Autumn")</f>
        <v>Summer</v>
      </c>
      <c r="AB627" s="7" t="str">
        <f>TEXT(Z627, "mmmm")</f>
        <v>August</v>
      </c>
      <c r="AC627" s="1" t="str">
        <f>TEXT(Z627, "dddd")</f>
        <v>Saturday</v>
      </c>
      <c r="AD627" s="4" t="s">
        <v>76</v>
      </c>
      <c r="AE627" s="4" t="s">
        <v>62</v>
      </c>
      <c r="AF627" s="4" t="s">
        <v>63</v>
      </c>
      <c r="AG627" s="4" t="s">
        <v>93</v>
      </c>
      <c r="AH627" s="3">
        <v>11</v>
      </c>
    </row>
    <row r="628" spans="1:34">
      <c r="A628" s="4" t="s">
        <v>1350</v>
      </c>
      <c r="B628" s="3">
        <v>48</v>
      </c>
      <c r="C628" s="9" t="str" cm="1">
        <f t="array" ref="C628">_xlfn.IFS(B628&gt;65,"+65",B628&gt;54,"55-65",B628&gt;44,"45-54",B628&gt;35,"36-44",B628&gt;25,"26-35",B628&gt;=18,"18-25")</f>
        <v>45-54</v>
      </c>
      <c r="D628" s="4" t="s">
        <v>66</v>
      </c>
      <c r="E628" s="4" t="s">
        <v>51</v>
      </c>
      <c r="F628" s="4" t="s">
        <v>67</v>
      </c>
      <c r="G628" s="4" t="s">
        <v>80</v>
      </c>
      <c r="H628" s="4" t="s">
        <v>1351</v>
      </c>
      <c r="I628" s="4" t="s">
        <v>133</v>
      </c>
      <c r="J628" s="5">
        <v>439.31</v>
      </c>
      <c r="K628" s="3">
        <v>4</v>
      </c>
      <c r="L628" s="4" t="str">
        <f>IF(AND(J628&gt;350,K628&gt;6), "True","False")</f>
        <v>False</v>
      </c>
      <c r="M628" s="4" t="s">
        <v>71</v>
      </c>
      <c r="N628" s="3">
        <v>3</v>
      </c>
      <c r="O628" s="4" t="str" cm="1">
        <f t="array" ref="O628">_xlfn.IFS(P628&lt;=2,"Poor",P628=3,"Average",P628&gt;=4,"Good")</f>
        <v>Poor</v>
      </c>
      <c r="P628" s="3">
        <v>2</v>
      </c>
      <c r="Q628" s="2">
        <v>1</v>
      </c>
      <c r="R628" s="4" t="s">
        <v>85</v>
      </c>
      <c r="S628" s="4" t="s">
        <v>73</v>
      </c>
      <c r="T628" s="3">
        <v>0</v>
      </c>
      <c r="U628" s="4" t="str" cm="1">
        <f t="array" ref="U628">_xlfn.IFS(V628&lt;=4, "Dissatisfied",V628&lt;=7,"Neutral",V628&gt;=8,"Satisfied")</f>
        <v>Neutral</v>
      </c>
      <c r="V628" s="3">
        <v>6</v>
      </c>
      <c r="W628" s="4" t="s">
        <v>85</v>
      </c>
      <c r="X628" s="4" t="s">
        <v>60</v>
      </c>
      <c r="Y628" s="4" t="s">
        <v>75</v>
      </c>
      <c r="Z628" s="1">
        <v>45515</v>
      </c>
      <c r="AA628" s="4" t="str" cm="1">
        <f t="array" ref="AA628">_xlfn.IFS(OR(AB628="December", AB628="February", AB628="January"), "Winter", OR(AB628="March", AB628="April", AB628="May"), "Spring", OR(AB628="June", AB628="July", AB628="August"), "Summer", TRUE, "Autumn")</f>
        <v>Summer</v>
      </c>
      <c r="AB628" s="7" t="str">
        <f>TEXT(Z628, "mmmm")</f>
        <v>August</v>
      </c>
      <c r="AC628" s="1" t="str">
        <f>TEXT(Z628, "dddd")</f>
        <v>Sunday</v>
      </c>
      <c r="AD628" s="4" t="s">
        <v>76</v>
      </c>
      <c r="AE628" s="4" t="s">
        <v>62</v>
      </c>
      <c r="AF628" s="4" t="s">
        <v>102</v>
      </c>
      <c r="AG628" s="4" t="s">
        <v>88</v>
      </c>
      <c r="AH628" s="3">
        <v>7</v>
      </c>
    </row>
    <row r="629" spans="1:34">
      <c r="A629" s="4" t="s">
        <v>1352</v>
      </c>
      <c r="B629" s="3">
        <v>43</v>
      </c>
      <c r="C629" s="9" t="str" cm="1">
        <f t="array" ref="C629">_xlfn.IFS(B629&gt;65,"+65",B629&gt;54,"55-65",B629&gt;44,"45-54",B629&gt;35,"36-44",B629&gt;25,"26-35",B629&gt;=18,"18-25")</f>
        <v>36-44</v>
      </c>
      <c r="D629" s="4" t="s">
        <v>66</v>
      </c>
      <c r="E629" s="4" t="s">
        <v>72</v>
      </c>
      <c r="F629" s="4" t="s">
        <v>67</v>
      </c>
      <c r="G629" s="4" t="s">
        <v>53</v>
      </c>
      <c r="H629" s="4" t="s">
        <v>1353</v>
      </c>
      <c r="I629" s="4" t="s">
        <v>223</v>
      </c>
      <c r="J629" s="5">
        <v>87.03</v>
      </c>
      <c r="K629" s="3">
        <v>10</v>
      </c>
      <c r="L629" s="4" t="str">
        <f>IF(AND(J629&gt;350,K629&gt;6), "True","False")</f>
        <v>False</v>
      </c>
      <c r="M629" s="4" t="s">
        <v>83</v>
      </c>
      <c r="N629" s="3">
        <v>1</v>
      </c>
      <c r="O629" s="4" t="str" cm="1">
        <f t="array" ref="O629">_xlfn.IFS(P629&lt;=2,"Poor",P629=3,"Average",P629&gt;=4,"Good")</f>
        <v>Poor</v>
      </c>
      <c r="P629" s="3">
        <v>1</v>
      </c>
      <c r="Q629" s="2">
        <v>0</v>
      </c>
      <c r="R629" s="4" t="s">
        <v>59</v>
      </c>
      <c r="S629" s="4" t="s">
        <v>73</v>
      </c>
      <c r="T629" s="3">
        <v>1</v>
      </c>
      <c r="U629" s="4" t="str" cm="1">
        <f t="array" ref="U629">_xlfn.IFS(V629&lt;=4, "Dissatisfied",V629&lt;=7,"Neutral",V629&gt;=8,"Satisfied")</f>
        <v>Neutral</v>
      </c>
      <c r="V629" s="3">
        <v>5</v>
      </c>
      <c r="W629" s="4" t="s">
        <v>72</v>
      </c>
      <c r="X629" s="4" t="s">
        <v>101</v>
      </c>
      <c r="Y629" s="4" t="s">
        <v>86</v>
      </c>
      <c r="Z629" s="1">
        <v>45515</v>
      </c>
      <c r="AA629" s="4" t="str" cm="1">
        <f t="array" ref="AA629">_xlfn.IFS(OR(AB629="December", AB629="February", AB629="January"), "Winter", OR(AB629="March", AB629="April", AB629="May"), "Spring", OR(AB629="June", AB629="July", AB629="August"), "Summer", TRUE, "Autumn")</f>
        <v>Summer</v>
      </c>
      <c r="AB629" s="7" t="str">
        <f>TEXT(Z629, "mmmm")</f>
        <v>August</v>
      </c>
      <c r="AC629" s="1" t="str">
        <f>TEXT(Z629, "dddd")</f>
        <v>Sunday</v>
      </c>
      <c r="AD629" s="4" t="s">
        <v>76</v>
      </c>
      <c r="AE629" s="4" t="s">
        <v>62</v>
      </c>
      <c r="AF629" s="4" t="s">
        <v>63</v>
      </c>
      <c r="AG629" s="4" t="s">
        <v>88</v>
      </c>
      <c r="AH629" s="3">
        <v>7</v>
      </c>
    </row>
    <row r="630" spans="1:34">
      <c r="A630" s="4" t="s">
        <v>1354</v>
      </c>
      <c r="B630" s="3">
        <v>40</v>
      </c>
      <c r="C630" s="9" t="str" cm="1">
        <f t="array" ref="C630">_xlfn.IFS(B630&gt;65,"+65",B630&gt;54,"55-65",B630&gt;44,"45-54",B630&gt;35,"36-44",B630&gt;25,"26-35",B630&gt;=18,"18-25")</f>
        <v>36-44</v>
      </c>
      <c r="D630" s="4" t="s">
        <v>66</v>
      </c>
      <c r="E630" s="4" t="s">
        <v>72</v>
      </c>
      <c r="F630" s="4" t="s">
        <v>95</v>
      </c>
      <c r="G630" s="4" t="s">
        <v>68</v>
      </c>
      <c r="H630" s="4" t="s">
        <v>1355</v>
      </c>
      <c r="I630" s="4" t="s">
        <v>110</v>
      </c>
      <c r="J630" s="5">
        <v>109.29</v>
      </c>
      <c r="K630" s="3">
        <v>3</v>
      </c>
      <c r="L630" s="4" t="str">
        <f>IF(AND(J630&gt;350,K630&gt;6), "True","False")</f>
        <v>False</v>
      </c>
      <c r="M630" s="4" t="s">
        <v>56</v>
      </c>
      <c r="N630" s="3">
        <v>3</v>
      </c>
      <c r="O630" s="4" t="str" cm="1">
        <f t="array" ref="O630">_xlfn.IFS(P630&lt;=2,"Poor",P630=3,"Average",P630&gt;=4,"Good")</f>
        <v>Good</v>
      </c>
      <c r="P630" s="3">
        <v>4</v>
      </c>
      <c r="Q630" s="2">
        <v>0</v>
      </c>
      <c r="R630" s="4" t="s">
        <v>85</v>
      </c>
      <c r="S630" s="4" t="s">
        <v>84</v>
      </c>
      <c r="T630" s="3">
        <v>2</v>
      </c>
      <c r="U630" s="4" t="str" cm="1">
        <f t="array" ref="U630">_xlfn.IFS(V630&lt;=4, "Dissatisfied",V630&lt;=7,"Neutral",V630&gt;=8,"Satisfied")</f>
        <v>Dissatisfied</v>
      </c>
      <c r="V630" s="3">
        <v>2</v>
      </c>
      <c r="W630" s="4" t="s">
        <v>72</v>
      </c>
      <c r="X630" s="4" t="s">
        <v>101</v>
      </c>
      <c r="Y630" s="4" t="s">
        <v>75</v>
      </c>
      <c r="Z630" s="1">
        <v>45515</v>
      </c>
      <c r="AA630" s="4" t="str" cm="1">
        <f t="array" ref="AA630">_xlfn.IFS(OR(AB630="December", AB630="February", AB630="January"), "Winter", OR(AB630="March", AB630="April", AB630="May"), "Spring", OR(AB630="June", AB630="July", AB630="August"), "Summer", TRUE, "Autumn")</f>
        <v>Summer</v>
      </c>
      <c r="AB630" s="7" t="str">
        <f>TEXT(Z630, "mmmm")</f>
        <v>August</v>
      </c>
      <c r="AC630" s="1" t="str">
        <f>TEXT(Z630, "dddd")</f>
        <v>Sunday</v>
      </c>
      <c r="AD630" s="4" t="s">
        <v>76</v>
      </c>
      <c r="AE630" s="4" t="s">
        <v>62</v>
      </c>
      <c r="AF630" s="4" t="s">
        <v>102</v>
      </c>
      <c r="AG630" s="4" t="s">
        <v>93</v>
      </c>
      <c r="AH630" s="3">
        <v>11</v>
      </c>
    </row>
    <row r="631" spans="1:34">
      <c r="A631" s="4" t="s">
        <v>1356</v>
      </c>
      <c r="B631" s="3">
        <v>31</v>
      </c>
      <c r="C631" s="9" t="str" cm="1">
        <f t="array" ref="C631">_xlfn.IFS(B631&gt;65,"+65",B631&gt;54,"55-65",B631&gt;44,"45-54",B631&gt;35,"36-44",B631&gt;25,"26-35",B631&gt;=18,"18-25")</f>
        <v>26-35</v>
      </c>
      <c r="D631" s="4" t="s">
        <v>232</v>
      </c>
      <c r="E631" s="4" t="s">
        <v>72</v>
      </c>
      <c r="F631" s="4" t="s">
        <v>52</v>
      </c>
      <c r="G631" s="4" t="s">
        <v>68</v>
      </c>
      <c r="H631" s="4" t="s">
        <v>1357</v>
      </c>
      <c r="I631" s="4" t="s">
        <v>118</v>
      </c>
      <c r="J631" s="5">
        <v>148.97999999999999</v>
      </c>
      <c r="K631" s="3">
        <v>12</v>
      </c>
      <c r="L631" s="4" t="str">
        <f>IF(AND(J631&gt;350,K631&gt;6), "True","False")</f>
        <v>False</v>
      </c>
      <c r="M631" s="4" t="s">
        <v>56</v>
      </c>
      <c r="N631" s="3">
        <v>5</v>
      </c>
      <c r="O631" s="4" t="str" cm="1">
        <f t="array" ref="O631">_xlfn.IFS(P631&lt;=2,"Poor",P631=3,"Average",P631&gt;=4,"Good")</f>
        <v>Poor</v>
      </c>
      <c r="P631" s="3">
        <v>1</v>
      </c>
      <c r="Q631" s="2">
        <v>2</v>
      </c>
      <c r="R631" s="4" t="s">
        <v>57</v>
      </c>
      <c r="S631" s="4" t="s">
        <v>73</v>
      </c>
      <c r="T631" s="3">
        <v>0</v>
      </c>
      <c r="U631" s="4" t="str" cm="1">
        <f t="array" ref="U631">_xlfn.IFS(V631&lt;=4, "Dissatisfied",V631&lt;=7,"Neutral",V631&gt;=8,"Satisfied")</f>
        <v>Satisfied</v>
      </c>
      <c r="V631" s="3">
        <v>8</v>
      </c>
      <c r="W631" s="4" t="s">
        <v>59</v>
      </c>
      <c r="X631" s="4" t="s">
        <v>74</v>
      </c>
      <c r="Y631" s="4" t="s">
        <v>75</v>
      </c>
      <c r="Z631" s="1">
        <v>45515</v>
      </c>
      <c r="AA631" s="4" t="str" cm="1">
        <f t="array" ref="AA631">_xlfn.IFS(OR(AB631="December", AB631="February", AB631="January"), "Winter", OR(AB631="March", AB631="April", AB631="May"), "Spring", OR(AB631="June", AB631="July", AB631="August"), "Summer", TRUE, "Autumn")</f>
        <v>Summer</v>
      </c>
      <c r="AB631" s="7" t="str">
        <f>TEXT(Z631, "mmmm")</f>
        <v>August</v>
      </c>
      <c r="AC631" s="1" t="str">
        <f>TEXT(Z631, "dddd")</f>
        <v>Sunday</v>
      </c>
      <c r="AD631" s="4" t="s">
        <v>62</v>
      </c>
      <c r="AE631" s="4" t="s">
        <v>62</v>
      </c>
      <c r="AF631" s="4" t="s">
        <v>102</v>
      </c>
      <c r="AG631" s="4" t="s">
        <v>64</v>
      </c>
      <c r="AH631" s="3">
        <v>13</v>
      </c>
    </row>
    <row r="632" spans="1:34">
      <c r="A632" s="4" t="s">
        <v>1358</v>
      </c>
      <c r="B632" s="3">
        <v>49</v>
      </c>
      <c r="C632" s="9" t="str" cm="1">
        <f t="array" ref="C632">_xlfn.IFS(B632&gt;65,"+65",B632&gt;54,"55-65",B632&gt;44,"45-54",B632&gt;35,"36-44",B632&gt;25,"26-35",B632&gt;=18,"18-25")</f>
        <v>45-54</v>
      </c>
      <c r="D632" s="4" t="s">
        <v>66</v>
      </c>
      <c r="E632" s="4" t="s">
        <v>72</v>
      </c>
      <c r="F632" s="4" t="s">
        <v>52</v>
      </c>
      <c r="G632" s="4" t="s">
        <v>53</v>
      </c>
      <c r="H632" s="4" t="s">
        <v>1359</v>
      </c>
      <c r="I632" s="4" t="s">
        <v>100</v>
      </c>
      <c r="J632" s="5">
        <v>109.97</v>
      </c>
      <c r="K632" s="3">
        <v>4</v>
      </c>
      <c r="L632" s="4" t="str">
        <f>IF(AND(J632&gt;350,K632&gt;6), "True","False")</f>
        <v>False</v>
      </c>
      <c r="M632" s="4" t="s">
        <v>71</v>
      </c>
      <c r="N632" s="3">
        <v>4</v>
      </c>
      <c r="O632" s="4" t="str" cm="1">
        <f t="array" ref="O632">_xlfn.IFS(P632&lt;=2,"Poor",P632=3,"Average",P632&gt;=4,"Good")</f>
        <v>Good</v>
      </c>
      <c r="P632" s="3">
        <v>4</v>
      </c>
      <c r="Q632" s="2">
        <v>1</v>
      </c>
      <c r="R632" s="4" t="s">
        <v>57</v>
      </c>
      <c r="S632" s="4" t="s">
        <v>73</v>
      </c>
      <c r="T632" s="3">
        <v>1</v>
      </c>
      <c r="U632" s="4" t="str" cm="1">
        <f t="array" ref="U632">_xlfn.IFS(V632&lt;=4, "Dissatisfied",V632&lt;=7,"Neutral",V632&gt;=8,"Satisfied")</f>
        <v>Neutral</v>
      </c>
      <c r="V632" s="3">
        <v>5</v>
      </c>
      <c r="W632" s="4" t="s">
        <v>57</v>
      </c>
      <c r="X632" s="4" t="s">
        <v>74</v>
      </c>
      <c r="Y632" s="4" t="s">
        <v>119</v>
      </c>
      <c r="Z632" s="1">
        <v>45516</v>
      </c>
      <c r="AA632" s="4" t="str" cm="1">
        <f t="array" ref="AA632">_xlfn.IFS(OR(AB632="December", AB632="February", AB632="January"), "Winter", OR(AB632="March", AB632="April", AB632="May"), "Spring", OR(AB632="June", AB632="July", AB632="August"), "Summer", TRUE, "Autumn")</f>
        <v>Summer</v>
      </c>
      <c r="AB632" s="7" t="str">
        <f>TEXT(Z632, "mmmm")</f>
        <v>August</v>
      </c>
      <c r="AC632" s="1" t="str">
        <f>TEXT(Z632, "dddd")</f>
        <v>Monday</v>
      </c>
      <c r="AD632" s="4" t="s">
        <v>62</v>
      </c>
      <c r="AE632" s="4" t="s">
        <v>76</v>
      </c>
      <c r="AF632" s="4" t="s">
        <v>102</v>
      </c>
      <c r="AG632" s="4" t="s">
        <v>88</v>
      </c>
      <c r="AH632" s="3">
        <v>1</v>
      </c>
    </row>
    <row r="633" spans="1:34">
      <c r="A633" s="4" t="s">
        <v>1360</v>
      </c>
      <c r="B633" s="3">
        <v>48</v>
      </c>
      <c r="C633" s="9" t="str" cm="1">
        <f t="array" ref="C633">_xlfn.IFS(B633&gt;65,"+65",B633&gt;54,"55-65",B633&gt;44,"45-54",B633&gt;35,"36-44",B633&gt;25,"26-35",B633&gt;=18,"18-25")</f>
        <v>45-54</v>
      </c>
      <c r="D633" s="4" t="s">
        <v>78</v>
      </c>
      <c r="E633" s="4" t="s">
        <v>72</v>
      </c>
      <c r="F633" s="4" t="s">
        <v>67</v>
      </c>
      <c r="G633" s="4" t="s">
        <v>68</v>
      </c>
      <c r="H633" s="4" t="s">
        <v>1361</v>
      </c>
      <c r="I633" s="4" t="s">
        <v>122</v>
      </c>
      <c r="J633" s="5">
        <v>333.15</v>
      </c>
      <c r="K633" s="3">
        <v>9</v>
      </c>
      <c r="L633" s="4" t="str">
        <f>IF(AND(J633&gt;350,K633&gt;6), "True","False")</f>
        <v>False</v>
      </c>
      <c r="M633" s="4" t="s">
        <v>83</v>
      </c>
      <c r="N633" s="3">
        <v>1</v>
      </c>
      <c r="O633" s="4" t="str" cm="1">
        <f t="array" ref="O633">_xlfn.IFS(P633&lt;=2,"Poor",P633=3,"Average",P633&gt;=4,"Good")</f>
        <v>Good</v>
      </c>
      <c r="P633" s="3">
        <v>5</v>
      </c>
      <c r="Q633" s="2">
        <v>1</v>
      </c>
      <c r="R633" s="4" t="s">
        <v>72</v>
      </c>
      <c r="S633" s="4" t="s">
        <v>73</v>
      </c>
      <c r="T633" s="3">
        <v>1</v>
      </c>
      <c r="U633" s="4" t="str" cm="1">
        <f t="array" ref="U633">_xlfn.IFS(V633&lt;=4, "Dissatisfied",V633&lt;=7,"Neutral",V633&gt;=8,"Satisfied")</f>
        <v>Satisfied</v>
      </c>
      <c r="V633" s="3">
        <v>8</v>
      </c>
      <c r="W633" s="4" t="s">
        <v>72</v>
      </c>
      <c r="X633" s="4" t="s">
        <v>60</v>
      </c>
      <c r="Y633" s="4" t="s">
        <v>111</v>
      </c>
      <c r="Z633" s="1">
        <v>45516</v>
      </c>
      <c r="AA633" s="4" t="str" cm="1">
        <f t="array" ref="AA633">_xlfn.IFS(OR(AB633="December", AB633="February", AB633="January"), "Winter", OR(AB633="March", AB633="April", AB633="May"), "Spring", OR(AB633="June", AB633="July", AB633="August"), "Summer", TRUE, "Autumn")</f>
        <v>Summer</v>
      </c>
      <c r="AB633" s="7" t="str">
        <f>TEXT(Z633, "mmmm")</f>
        <v>August</v>
      </c>
      <c r="AC633" s="1" t="str">
        <f>TEXT(Z633, "dddd")</f>
        <v>Monday</v>
      </c>
      <c r="AD633" s="4" t="s">
        <v>76</v>
      </c>
      <c r="AE633" s="4" t="s">
        <v>76</v>
      </c>
      <c r="AF633" s="4" t="s">
        <v>92</v>
      </c>
      <c r="AG633" s="4" t="s">
        <v>64</v>
      </c>
      <c r="AH633" s="3">
        <v>14</v>
      </c>
    </row>
    <row r="634" spans="1:34">
      <c r="A634" s="4" t="s">
        <v>1362</v>
      </c>
      <c r="B634" s="3">
        <v>42</v>
      </c>
      <c r="C634" s="9" t="str" cm="1">
        <f t="array" ref="C634">_xlfn.IFS(B634&gt;65,"+65",B634&gt;54,"55-65",B634&gt;44,"45-54",B634&gt;35,"36-44",B634&gt;25,"26-35",B634&gt;=18,"18-25")</f>
        <v>36-44</v>
      </c>
      <c r="D634" s="4" t="s">
        <v>78</v>
      </c>
      <c r="E634" s="4" t="s">
        <v>72</v>
      </c>
      <c r="F634" s="4" t="s">
        <v>95</v>
      </c>
      <c r="G634" s="4" t="s">
        <v>80</v>
      </c>
      <c r="H634" s="4" t="s">
        <v>1363</v>
      </c>
      <c r="I634" s="4" t="s">
        <v>97</v>
      </c>
      <c r="J634" s="5">
        <v>335.32</v>
      </c>
      <c r="K634" s="3">
        <v>6</v>
      </c>
      <c r="L634" s="4" t="str">
        <f>IF(AND(J634&gt;350,K634&gt;6), "True","False")</f>
        <v>False</v>
      </c>
      <c r="M634" s="4" t="s">
        <v>83</v>
      </c>
      <c r="N634" s="3">
        <v>3</v>
      </c>
      <c r="O634" s="4" t="str" cm="1">
        <f t="array" ref="O634">_xlfn.IFS(P634&lt;=2,"Poor",P634=3,"Average",P634&gt;=4,"Good")</f>
        <v>Average</v>
      </c>
      <c r="P634" s="3">
        <v>3</v>
      </c>
      <c r="Q634" s="2">
        <v>1</v>
      </c>
      <c r="R634" s="4" t="s">
        <v>57</v>
      </c>
      <c r="S634" s="4" t="s">
        <v>58</v>
      </c>
      <c r="T634" s="3">
        <v>0</v>
      </c>
      <c r="U634" s="4" t="str" cm="1">
        <f t="array" ref="U634">_xlfn.IFS(V634&lt;=4, "Dissatisfied",V634&lt;=7,"Neutral",V634&gt;=8,"Satisfied")</f>
        <v>Dissatisfied</v>
      </c>
      <c r="V634" s="3">
        <v>1</v>
      </c>
      <c r="W634" s="4" t="s">
        <v>59</v>
      </c>
      <c r="X634" s="4" t="s">
        <v>101</v>
      </c>
      <c r="Y634" s="4" t="s">
        <v>111</v>
      </c>
      <c r="Z634" s="1">
        <v>45516</v>
      </c>
      <c r="AA634" s="4" t="str" cm="1">
        <f t="array" ref="AA634">_xlfn.IFS(OR(AB634="December", AB634="February", AB634="January"), "Winter", OR(AB634="March", AB634="April", AB634="May"), "Spring", OR(AB634="June", AB634="July", AB634="August"), "Summer", TRUE, "Autumn")</f>
        <v>Summer</v>
      </c>
      <c r="AB634" s="7" t="str">
        <f>TEXT(Z634, "mmmm")</f>
        <v>August</v>
      </c>
      <c r="AC634" s="1" t="str">
        <f>TEXT(Z634, "dddd")</f>
        <v>Monday</v>
      </c>
      <c r="AD634" s="4" t="s">
        <v>62</v>
      </c>
      <c r="AE634" s="4" t="s">
        <v>76</v>
      </c>
      <c r="AF634" s="4" t="s">
        <v>87</v>
      </c>
      <c r="AG634" s="4" t="s">
        <v>88</v>
      </c>
      <c r="AH634" s="3">
        <v>10</v>
      </c>
    </row>
    <row r="635" spans="1:34">
      <c r="A635" s="4" t="s">
        <v>1364</v>
      </c>
      <c r="B635" s="3">
        <v>37</v>
      </c>
      <c r="C635" s="9" t="str" cm="1">
        <f t="array" ref="C635">_xlfn.IFS(B635&gt;65,"+65",B635&gt;54,"55-65",B635&gt;44,"45-54",B635&gt;35,"36-44",B635&gt;25,"26-35",B635&gt;=18,"18-25")</f>
        <v>36-44</v>
      </c>
      <c r="D635" s="4" t="s">
        <v>160</v>
      </c>
      <c r="E635" s="4" t="s">
        <v>72</v>
      </c>
      <c r="F635" s="4" t="s">
        <v>67</v>
      </c>
      <c r="G635" s="4" t="s">
        <v>53</v>
      </c>
      <c r="H635" s="4" t="s">
        <v>1365</v>
      </c>
      <c r="I635" s="4" t="s">
        <v>118</v>
      </c>
      <c r="J635" s="5">
        <v>411.4</v>
      </c>
      <c r="K635" s="3">
        <v>3</v>
      </c>
      <c r="L635" s="4" t="str">
        <f>IF(AND(J635&gt;350,K635&gt;6), "True","False")</f>
        <v>False</v>
      </c>
      <c r="M635" s="4" t="s">
        <v>71</v>
      </c>
      <c r="N635" s="3">
        <v>1</v>
      </c>
      <c r="O635" s="4" t="str" cm="1">
        <f t="array" ref="O635">_xlfn.IFS(P635&lt;=2,"Poor",P635=3,"Average",P635&gt;=4,"Good")</f>
        <v>Average</v>
      </c>
      <c r="P635" s="3">
        <v>3</v>
      </c>
      <c r="Q635" s="2">
        <v>0</v>
      </c>
      <c r="R635" s="4" t="s">
        <v>72</v>
      </c>
      <c r="S635" s="4" t="s">
        <v>84</v>
      </c>
      <c r="T635" s="3">
        <v>2</v>
      </c>
      <c r="U635" s="4" t="str" cm="1">
        <f t="array" ref="U635">_xlfn.IFS(V635&lt;=4, "Dissatisfied",V635&lt;=7,"Neutral",V635&gt;=8,"Satisfied")</f>
        <v>Satisfied</v>
      </c>
      <c r="V635" s="3">
        <v>9</v>
      </c>
      <c r="W635" s="4" t="s">
        <v>57</v>
      </c>
      <c r="X635" s="4" t="s">
        <v>60</v>
      </c>
      <c r="Y635" s="4" t="s">
        <v>86</v>
      </c>
      <c r="Z635" s="1">
        <v>45516</v>
      </c>
      <c r="AA635" s="4" t="str" cm="1">
        <f t="array" ref="AA635">_xlfn.IFS(OR(AB635="December", AB635="February", AB635="January"), "Winter", OR(AB635="March", AB635="April", AB635="May"), "Spring", OR(AB635="June", AB635="July", AB635="August"), "Summer", TRUE, "Autumn")</f>
        <v>Summer</v>
      </c>
      <c r="AB635" s="7" t="str">
        <f>TEXT(Z635, "mmmm")</f>
        <v>August</v>
      </c>
      <c r="AC635" s="1" t="str">
        <f>TEXT(Z635, "dddd")</f>
        <v>Monday</v>
      </c>
      <c r="AD635" s="4" t="s">
        <v>62</v>
      </c>
      <c r="AE635" s="4" t="s">
        <v>76</v>
      </c>
      <c r="AF635" s="4" t="s">
        <v>92</v>
      </c>
      <c r="AG635" s="4" t="s">
        <v>64</v>
      </c>
      <c r="AH635" s="3">
        <v>6</v>
      </c>
    </row>
    <row r="636" spans="1:34">
      <c r="A636" s="4" t="s">
        <v>1366</v>
      </c>
      <c r="B636" s="3">
        <v>34</v>
      </c>
      <c r="C636" s="9" t="str" cm="1">
        <f t="array" ref="C636">_xlfn.IFS(B636&gt;65,"+65",B636&gt;54,"55-65",B636&gt;44,"45-54",B636&gt;35,"36-44",B636&gt;25,"26-35",B636&gt;=18,"18-25")</f>
        <v>26-35</v>
      </c>
      <c r="D636" s="4" t="s">
        <v>66</v>
      </c>
      <c r="E636" s="4" t="s">
        <v>72</v>
      </c>
      <c r="F636" s="4" t="s">
        <v>79</v>
      </c>
      <c r="G636" s="4" t="s">
        <v>80</v>
      </c>
      <c r="H636" s="4" t="s">
        <v>1367</v>
      </c>
      <c r="I636" s="4" t="s">
        <v>118</v>
      </c>
      <c r="J636" s="5">
        <v>93.52</v>
      </c>
      <c r="K636" s="3">
        <v>2</v>
      </c>
      <c r="L636" s="4" t="str">
        <f>IF(AND(J636&gt;350,K636&gt;6), "True","False")</f>
        <v>False</v>
      </c>
      <c r="M636" s="4" t="s">
        <v>56</v>
      </c>
      <c r="N636" s="3">
        <v>1</v>
      </c>
      <c r="O636" s="4" t="str" cm="1">
        <f t="array" ref="O636">_xlfn.IFS(P636&lt;=2,"Poor",P636=3,"Average",P636&gt;=4,"Good")</f>
        <v>Good</v>
      </c>
      <c r="P636" s="3">
        <v>5</v>
      </c>
      <c r="Q636" s="2">
        <v>1</v>
      </c>
      <c r="R636" s="4" t="s">
        <v>57</v>
      </c>
      <c r="S636" s="4" t="s">
        <v>84</v>
      </c>
      <c r="T636" s="3">
        <v>1</v>
      </c>
      <c r="U636" s="4" t="str" cm="1">
        <f t="array" ref="U636">_xlfn.IFS(V636&lt;=4, "Dissatisfied",V636&lt;=7,"Neutral",V636&gt;=8,"Satisfied")</f>
        <v>Dissatisfied</v>
      </c>
      <c r="V636" s="3">
        <v>2</v>
      </c>
      <c r="W636" s="4" t="s">
        <v>72</v>
      </c>
      <c r="X636" s="4" t="s">
        <v>101</v>
      </c>
      <c r="Y636" s="4" t="s">
        <v>86</v>
      </c>
      <c r="Z636" s="1">
        <v>45516</v>
      </c>
      <c r="AA636" s="4" t="str" cm="1">
        <f t="array" ref="AA636">_xlfn.IFS(OR(AB636="December", AB636="February", AB636="January"), "Winter", OR(AB636="March", AB636="April", AB636="May"), "Spring", OR(AB636="June", AB636="July", AB636="August"), "Summer", TRUE, "Autumn")</f>
        <v>Summer</v>
      </c>
      <c r="AB636" s="7" t="str">
        <f>TEXT(Z636, "mmmm")</f>
        <v>August</v>
      </c>
      <c r="AC636" s="1" t="str">
        <f>TEXT(Z636, "dddd")</f>
        <v>Monday</v>
      </c>
      <c r="AD636" s="4" t="s">
        <v>76</v>
      </c>
      <c r="AE636" s="4" t="s">
        <v>62</v>
      </c>
      <c r="AF636" s="4" t="s">
        <v>87</v>
      </c>
      <c r="AG636" s="4" t="s">
        <v>88</v>
      </c>
      <c r="AH636" s="3">
        <v>12</v>
      </c>
    </row>
    <row r="637" spans="1:34">
      <c r="A637" s="4" t="s">
        <v>1368</v>
      </c>
      <c r="B637" s="3">
        <v>34</v>
      </c>
      <c r="C637" s="9" t="str" cm="1">
        <f t="array" ref="C637">_xlfn.IFS(B637&gt;65,"+65",B637&gt;54,"55-65",B637&gt;44,"45-54",B637&gt;35,"36-44",B637&gt;25,"26-35",B637&gt;=18,"18-25")</f>
        <v>26-35</v>
      </c>
      <c r="D637" s="4" t="s">
        <v>160</v>
      </c>
      <c r="E637" s="4" t="s">
        <v>72</v>
      </c>
      <c r="F637" s="4" t="s">
        <v>52</v>
      </c>
      <c r="G637" s="4" t="s">
        <v>53</v>
      </c>
      <c r="H637" s="4" t="s">
        <v>1369</v>
      </c>
      <c r="I637" s="4" t="s">
        <v>110</v>
      </c>
      <c r="J637" s="5">
        <v>182.89</v>
      </c>
      <c r="K637" s="3">
        <v>2</v>
      </c>
      <c r="L637" s="4" t="str">
        <f>IF(AND(J637&gt;350,K637&gt;6), "True","False")</f>
        <v>False</v>
      </c>
      <c r="M637" s="4" t="s">
        <v>83</v>
      </c>
      <c r="N637" s="3">
        <v>5</v>
      </c>
      <c r="O637" s="4" t="str" cm="1">
        <f t="array" ref="O637">_xlfn.IFS(P637&lt;=2,"Poor",P637=3,"Average",P637&gt;=4,"Good")</f>
        <v>Average</v>
      </c>
      <c r="P637" s="3">
        <v>3</v>
      </c>
      <c r="Q637" s="2">
        <v>1</v>
      </c>
      <c r="R637" s="4" t="s">
        <v>59</v>
      </c>
      <c r="S637" s="4" t="s">
        <v>58</v>
      </c>
      <c r="T637" s="3">
        <v>1</v>
      </c>
      <c r="U637" s="4" t="str" cm="1">
        <f t="array" ref="U637">_xlfn.IFS(V637&lt;=4, "Dissatisfied",V637&lt;=7,"Neutral",V637&gt;=8,"Satisfied")</f>
        <v>Satisfied</v>
      </c>
      <c r="V637" s="3">
        <v>9</v>
      </c>
      <c r="W637" s="4" t="s">
        <v>59</v>
      </c>
      <c r="X637" s="4" t="s">
        <v>60</v>
      </c>
      <c r="Y637" s="4" t="s">
        <v>86</v>
      </c>
      <c r="Z637" s="1">
        <v>45516</v>
      </c>
      <c r="AA637" s="4" t="str" cm="1">
        <f t="array" ref="AA637">_xlfn.IFS(OR(AB637="December", AB637="February", AB637="January"), "Winter", OR(AB637="March", AB637="April", AB637="May"), "Spring", OR(AB637="June", AB637="July", AB637="August"), "Summer", TRUE, "Autumn")</f>
        <v>Summer</v>
      </c>
      <c r="AB637" s="7" t="str">
        <f>TEXT(Z637, "mmmm")</f>
        <v>August</v>
      </c>
      <c r="AC637" s="1" t="str">
        <f>TEXT(Z637, "dddd")</f>
        <v>Monday</v>
      </c>
      <c r="AD637" s="4" t="s">
        <v>76</v>
      </c>
      <c r="AE637" s="4" t="s">
        <v>76</v>
      </c>
      <c r="AF637" s="4" t="s">
        <v>102</v>
      </c>
      <c r="AG637" s="4" t="s">
        <v>93</v>
      </c>
      <c r="AH637" s="3">
        <v>5</v>
      </c>
    </row>
    <row r="638" spans="1:34">
      <c r="A638" s="4" t="s">
        <v>1370</v>
      </c>
      <c r="B638" s="3">
        <v>32</v>
      </c>
      <c r="C638" s="9" t="str" cm="1">
        <f t="array" ref="C638">_xlfn.IFS(B638&gt;65,"+65",B638&gt;54,"55-65",B638&gt;44,"45-54",B638&gt;35,"36-44",B638&gt;25,"26-35",B638&gt;=18,"18-25")</f>
        <v>26-35</v>
      </c>
      <c r="D638" s="4" t="s">
        <v>66</v>
      </c>
      <c r="E638" s="4" t="s">
        <v>72</v>
      </c>
      <c r="F638" s="4" t="s">
        <v>52</v>
      </c>
      <c r="G638" s="4" t="s">
        <v>53</v>
      </c>
      <c r="H638" s="4" t="s">
        <v>1371</v>
      </c>
      <c r="I638" s="4" t="s">
        <v>194</v>
      </c>
      <c r="J638" s="5">
        <v>249.82</v>
      </c>
      <c r="K638" s="3">
        <v>10</v>
      </c>
      <c r="L638" s="4" t="str">
        <f>IF(AND(J638&gt;350,K638&gt;6), "True","False")</f>
        <v>False</v>
      </c>
      <c r="M638" s="4" t="s">
        <v>71</v>
      </c>
      <c r="N638" s="3">
        <v>5</v>
      </c>
      <c r="O638" s="4" t="str" cm="1">
        <f t="array" ref="O638">_xlfn.IFS(P638&lt;=2,"Poor",P638=3,"Average",P638&gt;=4,"Good")</f>
        <v>Average</v>
      </c>
      <c r="P638" s="3">
        <v>3</v>
      </c>
      <c r="Q638" s="2">
        <v>1</v>
      </c>
      <c r="R638" s="4" t="s">
        <v>72</v>
      </c>
      <c r="S638" s="4" t="s">
        <v>58</v>
      </c>
      <c r="T638" s="3">
        <v>2</v>
      </c>
      <c r="U638" s="4" t="str" cm="1">
        <f t="array" ref="U638">_xlfn.IFS(V638&lt;=4, "Dissatisfied",V638&lt;=7,"Neutral",V638&gt;=8,"Satisfied")</f>
        <v>Neutral</v>
      </c>
      <c r="V638" s="3">
        <v>6</v>
      </c>
      <c r="W638" s="4" t="s">
        <v>85</v>
      </c>
      <c r="X638" s="4" t="s">
        <v>74</v>
      </c>
      <c r="Y638" s="4" t="s">
        <v>86</v>
      </c>
      <c r="Z638" s="1">
        <v>45516</v>
      </c>
      <c r="AA638" s="4" t="str" cm="1">
        <f t="array" ref="AA638">_xlfn.IFS(OR(AB638="December", AB638="February", AB638="January"), "Winter", OR(AB638="March", AB638="April", AB638="May"), "Spring", OR(AB638="June", AB638="July", AB638="August"), "Summer", TRUE, "Autumn")</f>
        <v>Summer</v>
      </c>
      <c r="AB638" s="7" t="str">
        <f>TEXT(Z638, "mmmm")</f>
        <v>August</v>
      </c>
      <c r="AC638" s="1" t="str">
        <f>TEXT(Z638, "dddd")</f>
        <v>Monday</v>
      </c>
      <c r="AD638" s="4" t="s">
        <v>62</v>
      </c>
      <c r="AE638" s="4" t="s">
        <v>76</v>
      </c>
      <c r="AF638" s="4" t="s">
        <v>102</v>
      </c>
      <c r="AG638" s="4" t="s">
        <v>88</v>
      </c>
      <c r="AH638" s="3">
        <v>10</v>
      </c>
    </row>
    <row r="639" spans="1:34">
      <c r="A639" s="4" t="s">
        <v>1372</v>
      </c>
      <c r="B639" s="3">
        <v>21</v>
      </c>
      <c r="C639" s="9" t="str" cm="1">
        <f t="array" ref="C639">_xlfn.IFS(B639&gt;65,"+65",B639&gt;54,"55-65",B639&gt;44,"45-54",B639&gt;35,"36-44",B639&gt;25,"26-35",B639&gt;=18,"18-25")</f>
        <v>18-25</v>
      </c>
      <c r="D639" s="4" t="s">
        <v>160</v>
      </c>
      <c r="E639" s="4" t="s">
        <v>51</v>
      </c>
      <c r="F639" s="4" t="s">
        <v>67</v>
      </c>
      <c r="G639" s="4" t="s">
        <v>53</v>
      </c>
      <c r="H639" s="4" t="s">
        <v>1373</v>
      </c>
      <c r="I639" s="4" t="s">
        <v>146</v>
      </c>
      <c r="J639" s="5">
        <v>61.19</v>
      </c>
      <c r="K639" s="3">
        <v>2</v>
      </c>
      <c r="L639" s="4" t="str">
        <f>IF(AND(J639&gt;350,K639&gt;6), "True","False")</f>
        <v>False</v>
      </c>
      <c r="M639" s="4" t="s">
        <v>83</v>
      </c>
      <c r="N639" s="3">
        <v>4</v>
      </c>
      <c r="O639" s="4" t="str" cm="1">
        <f t="array" ref="O639">_xlfn.IFS(P639&lt;=2,"Poor",P639=3,"Average",P639&gt;=4,"Good")</f>
        <v>Good</v>
      </c>
      <c r="P639" s="3">
        <v>5</v>
      </c>
      <c r="Q639" s="2">
        <v>1</v>
      </c>
      <c r="R639" s="4" t="s">
        <v>57</v>
      </c>
      <c r="S639" s="4" t="s">
        <v>58</v>
      </c>
      <c r="T639" s="3">
        <v>2</v>
      </c>
      <c r="U639" s="4" t="str" cm="1">
        <f t="array" ref="U639">_xlfn.IFS(V639&lt;=4, "Dissatisfied",V639&lt;=7,"Neutral",V639&gt;=8,"Satisfied")</f>
        <v>Neutral</v>
      </c>
      <c r="V639" s="3">
        <v>6</v>
      </c>
      <c r="W639" s="4" t="s">
        <v>72</v>
      </c>
      <c r="X639" s="4" t="s">
        <v>101</v>
      </c>
      <c r="Y639" s="4" t="s">
        <v>86</v>
      </c>
      <c r="Z639" s="1">
        <v>45516</v>
      </c>
      <c r="AA639" s="4" t="str" cm="1">
        <f t="array" ref="AA639">_xlfn.IFS(OR(AB639="December", AB639="February", AB639="January"), "Winter", OR(AB639="March", AB639="April", AB639="May"), "Spring", OR(AB639="June", AB639="July", AB639="August"), "Summer", TRUE, "Autumn")</f>
        <v>Summer</v>
      </c>
      <c r="AB639" s="7" t="str">
        <f>TEXT(Z639, "mmmm")</f>
        <v>August</v>
      </c>
      <c r="AC639" s="1" t="str">
        <f>TEXT(Z639, "dddd")</f>
        <v>Monday</v>
      </c>
      <c r="AD639" s="4" t="s">
        <v>62</v>
      </c>
      <c r="AE639" s="4" t="s">
        <v>62</v>
      </c>
      <c r="AF639" s="4" t="s">
        <v>102</v>
      </c>
      <c r="AG639" s="4" t="s">
        <v>88</v>
      </c>
      <c r="AH639" s="3">
        <v>3</v>
      </c>
    </row>
    <row r="640" spans="1:34">
      <c r="A640" s="4" t="s">
        <v>1374</v>
      </c>
      <c r="B640" s="3">
        <v>50</v>
      </c>
      <c r="C640" s="9" t="str" cm="1">
        <f t="array" ref="C640">_xlfn.IFS(B640&gt;65,"+65",B640&gt;54,"55-65",B640&gt;44,"45-54",B640&gt;35,"36-44",B640&gt;25,"26-35",B640&gt;=18,"18-25")</f>
        <v>45-54</v>
      </c>
      <c r="D640" s="4" t="s">
        <v>66</v>
      </c>
      <c r="E640" s="4" t="s">
        <v>72</v>
      </c>
      <c r="F640" s="4" t="s">
        <v>95</v>
      </c>
      <c r="G640" s="4" t="s">
        <v>53</v>
      </c>
      <c r="H640" s="4" t="s">
        <v>1375</v>
      </c>
      <c r="I640" s="4" t="s">
        <v>164</v>
      </c>
      <c r="J640" s="5">
        <v>166.45</v>
      </c>
      <c r="K640" s="3">
        <v>7</v>
      </c>
      <c r="L640" s="4" t="str">
        <f>IF(AND(J640&gt;350,K640&gt;6), "True","False")</f>
        <v>False</v>
      </c>
      <c r="M640" s="4" t="s">
        <v>83</v>
      </c>
      <c r="N640" s="3">
        <v>5</v>
      </c>
      <c r="O640" s="4" t="str" cm="1">
        <f t="array" ref="O640">_xlfn.IFS(P640&lt;=2,"Poor",P640=3,"Average",P640&gt;=4,"Good")</f>
        <v>Poor</v>
      </c>
      <c r="P640" s="3">
        <v>2</v>
      </c>
      <c r="Q640" s="2">
        <v>2</v>
      </c>
      <c r="R640" s="4" t="s">
        <v>59</v>
      </c>
      <c r="S640" s="4" t="s">
        <v>73</v>
      </c>
      <c r="T640" s="3">
        <v>2</v>
      </c>
      <c r="U640" s="4" t="str" cm="1">
        <f t="array" ref="U640">_xlfn.IFS(V640&lt;=4, "Dissatisfied",V640&lt;=7,"Neutral",V640&gt;=8,"Satisfied")</f>
        <v>Dissatisfied</v>
      </c>
      <c r="V640" s="3">
        <v>1</v>
      </c>
      <c r="W640" s="4" t="s">
        <v>72</v>
      </c>
      <c r="X640" s="4" t="s">
        <v>60</v>
      </c>
      <c r="Y640" s="4" t="s">
        <v>61</v>
      </c>
      <c r="Z640" s="1">
        <v>45517</v>
      </c>
      <c r="AA640" s="4" t="str" cm="1">
        <f t="array" ref="AA640">_xlfn.IFS(OR(AB640="December", AB640="February", AB640="January"), "Winter", OR(AB640="March", AB640="April", AB640="May"), "Spring", OR(AB640="June", AB640="July", AB640="August"), "Summer", TRUE, "Autumn")</f>
        <v>Summer</v>
      </c>
      <c r="AB640" s="7" t="str">
        <f>TEXT(Z640, "mmmm")</f>
        <v>August</v>
      </c>
      <c r="AC640" s="1" t="str">
        <f>TEXT(Z640, "dddd")</f>
        <v>Tuesday</v>
      </c>
      <c r="AD640" s="4" t="s">
        <v>62</v>
      </c>
      <c r="AE640" s="4" t="s">
        <v>76</v>
      </c>
      <c r="AF640" s="4" t="s">
        <v>87</v>
      </c>
      <c r="AG640" s="4" t="s">
        <v>93</v>
      </c>
      <c r="AH640" s="3">
        <v>12</v>
      </c>
    </row>
    <row r="641" spans="1:34">
      <c r="A641" s="4" t="s">
        <v>1376</v>
      </c>
      <c r="B641" s="3">
        <v>49</v>
      </c>
      <c r="C641" s="9" t="str" cm="1">
        <f t="array" ref="C641">_xlfn.IFS(B641&gt;65,"+65",B641&gt;54,"55-65",B641&gt;44,"45-54",B641&gt;35,"36-44",B641&gt;25,"26-35",B641&gt;=18,"18-25")</f>
        <v>45-54</v>
      </c>
      <c r="D641" s="4" t="s">
        <v>78</v>
      </c>
      <c r="E641" s="4" t="s">
        <v>72</v>
      </c>
      <c r="F641" s="4" t="s">
        <v>79</v>
      </c>
      <c r="G641" s="4" t="s">
        <v>80</v>
      </c>
      <c r="H641" s="4" t="s">
        <v>1377</v>
      </c>
      <c r="I641" s="4" t="s">
        <v>194</v>
      </c>
      <c r="J641" s="5">
        <v>372.26</v>
      </c>
      <c r="K641" s="3">
        <v>11</v>
      </c>
      <c r="L641" s="4" t="str">
        <f>IF(AND(J641&gt;350,K641&gt;6), "True","False")</f>
        <v>True</v>
      </c>
      <c r="M641" s="4" t="s">
        <v>71</v>
      </c>
      <c r="N641" s="3">
        <v>1</v>
      </c>
      <c r="O641" s="4" t="str" cm="1">
        <f t="array" ref="O641">_xlfn.IFS(P641&lt;=2,"Poor",P641=3,"Average",P641&gt;=4,"Good")</f>
        <v>Good</v>
      </c>
      <c r="P641" s="3">
        <v>5</v>
      </c>
      <c r="Q641" s="2">
        <v>2</v>
      </c>
      <c r="R641" s="4" t="s">
        <v>57</v>
      </c>
      <c r="S641" s="4" t="s">
        <v>73</v>
      </c>
      <c r="T641" s="3">
        <v>1</v>
      </c>
      <c r="U641" s="4" t="str" cm="1">
        <f t="array" ref="U641">_xlfn.IFS(V641&lt;=4, "Dissatisfied",V641&lt;=7,"Neutral",V641&gt;=8,"Satisfied")</f>
        <v>Satisfied</v>
      </c>
      <c r="V641" s="3">
        <v>8</v>
      </c>
      <c r="W641" s="4" t="s">
        <v>72</v>
      </c>
      <c r="X641" s="4" t="s">
        <v>60</v>
      </c>
      <c r="Y641" s="4" t="s">
        <v>86</v>
      </c>
      <c r="Z641" s="1">
        <v>45517</v>
      </c>
      <c r="AA641" s="4" t="str" cm="1">
        <f t="array" ref="AA641">_xlfn.IFS(OR(AB641="December", AB641="February", AB641="January"), "Winter", OR(AB641="March", AB641="April", AB641="May"), "Spring", OR(AB641="June", AB641="July", AB641="August"), "Summer", TRUE, "Autumn")</f>
        <v>Summer</v>
      </c>
      <c r="AB641" s="7" t="str">
        <f>TEXT(Z641, "mmmm")</f>
        <v>August</v>
      </c>
      <c r="AC641" s="1" t="str">
        <f>TEXT(Z641, "dddd")</f>
        <v>Tuesday</v>
      </c>
      <c r="AD641" s="4" t="s">
        <v>76</v>
      </c>
      <c r="AE641" s="4" t="s">
        <v>62</v>
      </c>
      <c r="AF641" s="4" t="s">
        <v>102</v>
      </c>
      <c r="AG641" s="4" t="s">
        <v>93</v>
      </c>
      <c r="AH641" s="3">
        <v>6</v>
      </c>
    </row>
    <row r="642" spans="1:34">
      <c r="A642" s="4" t="s">
        <v>1378</v>
      </c>
      <c r="B642" s="3">
        <v>49</v>
      </c>
      <c r="C642" s="9" t="str" cm="1">
        <f t="array" ref="C642">_xlfn.IFS(B642&gt;65,"+65",B642&gt;54,"55-65",B642&gt;44,"45-54",B642&gt;35,"36-44",B642&gt;25,"26-35",B642&gt;=18,"18-25")</f>
        <v>45-54</v>
      </c>
      <c r="D642" s="4" t="s">
        <v>66</v>
      </c>
      <c r="E642" s="4" t="s">
        <v>51</v>
      </c>
      <c r="F642" s="4" t="s">
        <v>95</v>
      </c>
      <c r="G642" s="4" t="s">
        <v>53</v>
      </c>
      <c r="H642" s="4" t="s">
        <v>1379</v>
      </c>
      <c r="I642" s="4" t="s">
        <v>194</v>
      </c>
      <c r="J642" s="5">
        <v>393.48</v>
      </c>
      <c r="K642" s="3">
        <v>11</v>
      </c>
      <c r="L642" s="4" t="str">
        <f>IF(AND(J642&gt;350,K642&gt;6), "True","False")</f>
        <v>True</v>
      </c>
      <c r="M642" s="4" t="s">
        <v>71</v>
      </c>
      <c r="N642" s="3">
        <v>2</v>
      </c>
      <c r="O642" s="4" t="str" cm="1">
        <f t="array" ref="O642">_xlfn.IFS(P642&lt;=2,"Poor",P642=3,"Average",P642&gt;=4,"Good")</f>
        <v>Poor</v>
      </c>
      <c r="P642" s="3">
        <v>2</v>
      </c>
      <c r="Q642" s="2">
        <v>0</v>
      </c>
      <c r="R642" s="4" t="s">
        <v>72</v>
      </c>
      <c r="S642" s="4" t="s">
        <v>73</v>
      </c>
      <c r="T642" s="3">
        <v>1</v>
      </c>
      <c r="U642" s="4" t="str" cm="1">
        <f t="array" ref="U642">_xlfn.IFS(V642&lt;=4, "Dissatisfied",V642&lt;=7,"Neutral",V642&gt;=8,"Satisfied")</f>
        <v>Satisfied</v>
      </c>
      <c r="V642" s="3">
        <v>10</v>
      </c>
      <c r="W642" s="4" t="s">
        <v>57</v>
      </c>
      <c r="X642" s="4" t="s">
        <v>74</v>
      </c>
      <c r="Y642" s="4" t="s">
        <v>111</v>
      </c>
      <c r="Z642" s="1">
        <v>45517</v>
      </c>
      <c r="AA642" s="4" t="str" cm="1">
        <f t="array" ref="AA642">_xlfn.IFS(OR(AB642="December", AB642="February", AB642="January"), "Winter", OR(AB642="March", AB642="April", AB642="May"), "Spring", OR(AB642="June", AB642="July", AB642="August"), "Summer", TRUE, "Autumn")</f>
        <v>Summer</v>
      </c>
      <c r="AB642" s="7" t="str">
        <f>TEXT(Z642, "mmmm")</f>
        <v>August</v>
      </c>
      <c r="AC642" s="1" t="str">
        <f>TEXT(Z642, "dddd")</f>
        <v>Tuesday</v>
      </c>
      <c r="AD642" s="4" t="s">
        <v>62</v>
      </c>
      <c r="AE642" s="4" t="s">
        <v>62</v>
      </c>
      <c r="AF642" s="4" t="s">
        <v>63</v>
      </c>
      <c r="AG642" s="4" t="s">
        <v>64</v>
      </c>
      <c r="AH642" s="3">
        <v>3</v>
      </c>
    </row>
    <row r="643" spans="1:34">
      <c r="A643" s="4" t="s">
        <v>1380</v>
      </c>
      <c r="B643" s="3">
        <v>41</v>
      </c>
      <c r="C643" s="9" t="str" cm="1">
        <f t="array" ref="C643">_xlfn.IFS(B643&gt;65,"+65",B643&gt;54,"55-65",B643&gt;44,"45-54",B643&gt;35,"36-44",B643&gt;25,"26-35",B643&gt;=18,"18-25")</f>
        <v>36-44</v>
      </c>
      <c r="D643" s="4" t="s">
        <v>66</v>
      </c>
      <c r="E643" s="4" t="s">
        <v>72</v>
      </c>
      <c r="F643" s="4" t="s">
        <v>95</v>
      </c>
      <c r="G643" s="4" t="s">
        <v>68</v>
      </c>
      <c r="H643" s="4" t="s">
        <v>1381</v>
      </c>
      <c r="I643" s="4" t="s">
        <v>194</v>
      </c>
      <c r="J643" s="5">
        <v>396.82</v>
      </c>
      <c r="K643" s="3">
        <v>7</v>
      </c>
      <c r="L643" s="4" t="str">
        <f>IF(AND(J643&gt;350,K643&gt;6), "True","False")</f>
        <v>True</v>
      </c>
      <c r="M643" s="4" t="s">
        <v>83</v>
      </c>
      <c r="N643" s="3">
        <v>3</v>
      </c>
      <c r="O643" s="4" t="str" cm="1">
        <f t="array" ref="O643">_xlfn.IFS(P643&lt;=2,"Poor",P643=3,"Average",P643&gt;=4,"Good")</f>
        <v>Good</v>
      </c>
      <c r="P643" s="3">
        <v>4</v>
      </c>
      <c r="Q643" s="2">
        <v>1</v>
      </c>
      <c r="R643" s="4" t="s">
        <v>57</v>
      </c>
      <c r="S643" s="4" t="s">
        <v>84</v>
      </c>
      <c r="T643" s="3">
        <v>1</v>
      </c>
      <c r="U643" s="4" t="str" cm="1">
        <f t="array" ref="U643">_xlfn.IFS(V643&lt;=4, "Dissatisfied",V643&lt;=7,"Neutral",V643&gt;=8,"Satisfied")</f>
        <v>Satisfied</v>
      </c>
      <c r="V643" s="3">
        <v>9</v>
      </c>
      <c r="W643" s="4" t="s">
        <v>72</v>
      </c>
      <c r="X643" s="4" t="s">
        <v>101</v>
      </c>
      <c r="Y643" s="4" t="s">
        <v>119</v>
      </c>
      <c r="Z643" s="1">
        <v>45517</v>
      </c>
      <c r="AA643" s="4" t="str" cm="1">
        <f t="array" ref="AA643">_xlfn.IFS(OR(AB643="December", AB643="February", AB643="January"), "Winter", OR(AB643="March", AB643="April", AB643="May"), "Spring", OR(AB643="June", AB643="July", AB643="August"), "Summer", TRUE, "Autumn")</f>
        <v>Summer</v>
      </c>
      <c r="AB643" s="7" t="str">
        <f>TEXT(Z643, "mmmm")</f>
        <v>August</v>
      </c>
      <c r="AC643" s="1" t="str">
        <f>TEXT(Z643, "dddd")</f>
        <v>Tuesday</v>
      </c>
      <c r="AD643" s="4" t="s">
        <v>62</v>
      </c>
      <c r="AE643" s="4" t="s">
        <v>62</v>
      </c>
      <c r="AF643" s="4" t="s">
        <v>63</v>
      </c>
      <c r="AG643" s="4" t="s">
        <v>88</v>
      </c>
      <c r="AH643" s="3">
        <v>9</v>
      </c>
    </row>
    <row r="644" spans="1:34">
      <c r="A644" s="4" t="s">
        <v>1382</v>
      </c>
      <c r="B644" s="3">
        <v>33</v>
      </c>
      <c r="C644" s="9" t="str" cm="1">
        <f t="array" ref="C644">_xlfn.IFS(B644&gt;65,"+65",B644&gt;54,"55-65",B644&gt;44,"45-54",B644&gt;35,"36-44",B644&gt;25,"26-35",B644&gt;=18,"18-25")</f>
        <v>26-35</v>
      </c>
      <c r="D644" s="4" t="s">
        <v>78</v>
      </c>
      <c r="E644" s="4" t="s">
        <v>72</v>
      </c>
      <c r="F644" s="4" t="s">
        <v>79</v>
      </c>
      <c r="G644" s="4" t="s">
        <v>80</v>
      </c>
      <c r="H644" s="4" t="s">
        <v>1383</v>
      </c>
      <c r="I644" s="4" t="s">
        <v>169</v>
      </c>
      <c r="J644" s="5">
        <v>481.84</v>
      </c>
      <c r="K644" s="3">
        <v>10</v>
      </c>
      <c r="L644" s="4" t="str">
        <f>IF(AND(J644&gt;350,K644&gt;6), "True","False")</f>
        <v>True</v>
      </c>
      <c r="M644" s="4" t="s">
        <v>71</v>
      </c>
      <c r="N644" s="3">
        <v>1</v>
      </c>
      <c r="O644" s="4" t="str" cm="1">
        <f t="array" ref="O644">_xlfn.IFS(P644&lt;=2,"Poor",P644=3,"Average",P644&gt;=4,"Good")</f>
        <v>Good</v>
      </c>
      <c r="P644" s="3">
        <v>4</v>
      </c>
      <c r="Q644" s="2">
        <v>2</v>
      </c>
      <c r="R644" s="4" t="s">
        <v>72</v>
      </c>
      <c r="S644" s="4" t="s">
        <v>84</v>
      </c>
      <c r="T644" s="3">
        <v>1</v>
      </c>
      <c r="U644" s="4" t="str" cm="1">
        <f t="array" ref="U644">_xlfn.IFS(V644&lt;=4, "Dissatisfied",V644&lt;=7,"Neutral",V644&gt;=8,"Satisfied")</f>
        <v>Dissatisfied</v>
      </c>
      <c r="V644" s="3">
        <v>1</v>
      </c>
      <c r="W644" s="4" t="s">
        <v>85</v>
      </c>
      <c r="X644" s="4" t="s">
        <v>74</v>
      </c>
      <c r="Y644" s="4" t="s">
        <v>61</v>
      </c>
      <c r="Z644" s="1">
        <v>45518</v>
      </c>
      <c r="AA644" s="4" t="str" cm="1">
        <f t="array" ref="AA644">_xlfn.IFS(OR(AB644="December", AB644="February", AB644="January"), "Winter", OR(AB644="March", AB644="April", AB644="May"), "Spring", OR(AB644="June", AB644="July", AB644="August"), "Summer", TRUE, "Autumn")</f>
        <v>Summer</v>
      </c>
      <c r="AB644" s="7" t="str">
        <f>TEXT(Z644, "mmmm")</f>
        <v>August</v>
      </c>
      <c r="AC644" s="1" t="str">
        <f>TEXT(Z644, "dddd")</f>
        <v>Wednesday</v>
      </c>
      <c r="AD644" s="4" t="s">
        <v>76</v>
      </c>
      <c r="AE644" s="4" t="s">
        <v>76</v>
      </c>
      <c r="AF644" s="4" t="s">
        <v>102</v>
      </c>
      <c r="AG644" s="4" t="s">
        <v>93</v>
      </c>
      <c r="AH644" s="3">
        <v>9</v>
      </c>
    </row>
    <row r="645" spans="1:34">
      <c r="A645" s="4" t="s">
        <v>1384</v>
      </c>
      <c r="B645" s="3">
        <v>19</v>
      </c>
      <c r="C645" s="9" t="str" cm="1">
        <f t="array" ref="C645">_xlfn.IFS(B645&gt;65,"+65",B645&gt;54,"55-65",B645&gt;44,"45-54",B645&gt;35,"36-44",B645&gt;25,"26-35",B645&gt;=18,"18-25")</f>
        <v>18-25</v>
      </c>
      <c r="D645" s="4" t="s">
        <v>66</v>
      </c>
      <c r="E645" s="4" t="s">
        <v>72</v>
      </c>
      <c r="F645" s="4" t="s">
        <v>95</v>
      </c>
      <c r="G645" s="4" t="s">
        <v>80</v>
      </c>
      <c r="H645" s="4" t="s">
        <v>1385</v>
      </c>
      <c r="I645" s="4" t="s">
        <v>194</v>
      </c>
      <c r="J645" s="5">
        <v>289.08</v>
      </c>
      <c r="K645" s="3">
        <v>12</v>
      </c>
      <c r="L645" s="4" t="str">
        <f>IF(AND(J645&gt;350,K645&gt;6), "True","False")</f>
        <v>False</v>
      </c>
      <c r="M645" s="4" t="s">
        <v>56</v>
      </c>
      <c r="N645" s="3">
        <v>2</v>
      </c>
      <c r="O645" s="4" t="str" cm="1">
        <f t="array" ref="O645">_xlfn.IFS(P645&lt;=2,"Poor",P645=3,"Average",P645&gt;=4,"Good")</f>
        <v>Poor</v>
      </c>
      <c r="P645" s="3">
        <v>1</v>
      </c>
      <c r="Q645" s="2">
        <v>0</v>
      </c>
      <c r="R645" s="4" t="s">
        <v>57</v>
      </c>
      <c r="S645" s="4" t="s">
        <v>73</v>
      </c>
      <c r="T645" s="3">
        <v>1</v>
      </c>
      <c r="U645" s="4" t="str" cm="1">
        <f t="array" ref="U645">_xlfn.IFS(V645&lt;=4, "Dissatisfied",V645&lt;=7,"Neutral",V645&gt;=8,"Satisfied")</f>
        <v>Satisfied</v>
      </c>
      <c r="V645" s="3">
        <v>10</v>
      </c>
      <c r="W645" s="4" t="s">
        <v>85</v>
      </c>
      <c r="X645" s="4" t="s">
        <v>101</v>
      </c>
      <c r="Y645" s="4" t="s">
        <v>111</v>
      </c>
      <c r="Z645" s="1">
        <v>45518</v>
      </c>
      <c r="AA645" s="4" t="str" cm="1">
        <f t="array" ref="AA645">_xlfn.IFS(OR(AB645="December", AB645="February", AB645="January"), "Winter", OR(AB645="March", AB645="April", AB645="May"), "Spring", OR(AB645="June", AB645="July", AB645="August"), "Summer", TRUE, "Autumn")</f>
        <v>Summer</v>
      </c>
      <c r="AB645" s="7" t="str">
        <f>TEXT(Z645, "mmmm")</f>
        <v>August</v>
      </c>
      <c r="AC645" s="1" t="str">
        <f>TEXT(Z645, "dddd")</f>
        <v>Wednesday</v>
      </c>
      <c r="AD645" s="4" t="s">
        <v>62</v>
      </c>
      <c r="AE645" s="4" t="s">
        <v>62</v>
      </c>
      <c r="AF645" s="4" t="s">
        <v>102</v>
      </c>
      <c r="AG645" s="4" t="s">
        <v>64</v>
      </c>
      <c r="AH645" s="3">
        <v>7</v>
      </c>
    </row>
    <row r="646" spans="1:34">
      <c r="A646" s="4" t="s">
        <v>1386</v>
      </c>
      <c r="B646" s="3">
        <v>36</v>
      </c>
      <c r="C646" s="9" t="str" cm="1">
        <f t="array" ref="C646">_xlfn.IFS(B646&gt;65,"+65",B646&gt;54,"55-65",B646&gt;44,"45-54",B646&gt;35,"36-44",B646&gt;25,"26-35",B646&gt;=18,"18-25")</f>
        <v>36-44</v>
      </c>
      <c r="D646" s="4" t="s">
        <v>66</v>
      </c>
      <c r="E646" s="4" t="s">
        <v>72</v>
      </c>
      <c r="F646" s="4" t="s">
        <v>95</v>
      </c>
      <c r="G646" s="4" t="s">
        <v>80</v>
      </c>
      <c r="H646" s="4" t="s">
        <v>1387</v>
      </c>
      <c r="I646" s="4" t="s">
        <v>234</v>
      </c>
      <c r="J646" s="5">
        <v>203.13</v>
      </c>
      <c r="K646" s="3">
        <v>10</v>
      </c>
      <c r="L646" s="4" t="str">
        <f>IF(AND(J646&gt;350,K646&gt;6), "True","False")</f>
        <v>False</v>
      </c>
      <c r="M646" s="4" t="s">
        <v>56</v>
      </c>
      <c r="N646" s="3">
        <v>4</v>
      </c>
      <c r="O646" s="4" t="str" cm="1">
        <f t="array" ref="O646">_xlfn.IFS(P646&lt;=2,"Poor",P646=3,"Average",P646&gt;=4,"Good")</f>
        <v>Average</v>
      </c>
      <c r="P646" s="3">
        <v>3</v>
      </c>
      <c r="Q646" s="2">
        <v>2</v>
      </c>
      <c r="R646" s="4" t="s">
        <v>57</v>
      </c>
      <c r="S646" s="4" t="s">
        <v>84</v>
      </c>
      <c r="T646" s="3">
        <v>1</v>
      </c>
      <c r="U646" s="4" t="str" cm="1">
        <f t="array" ref="U646">_xlfn.IFS(V646&lt;=4, "Dissatisfied",V646&lt;=7,"Neutral",V646&gt;=8,"Satisfied")</f>
        <v>Neutral</v>
      </c>
      <c r="V646" s="3">
        <v>5</v>
      </c>
      <c r="W646" s="4" t="s">
        <v>72</v>
      </c>
      <c r="X646" s="4" t="s">
        <v>74</v>
      </c>
      <c r="Y646" s="4" t="s">
        <v>75</v>
      </c>
      <c r="Z646" s="1">
        <v>45519</v>
      </c>
      <c r="AA646" s="4" t="str" cm="1">
        <f t="array" ref="AA646">_xlfn.IFS(OR(AB646="December", AB646="February", AB646="January"), "Winter", OR(AB646="March", AB646="April", AB646="May"), "Spring", OR(AB646="June", AB646="July", AB646="August"), "Summer", TRUE, "Autumn")</f>
        <v>Summer</v>
      </c>
      <c r="AB646" s="7" t="str">
        <f>TEXT(Z646, "mmmm")</f>
        <v>August</v>
      </c>
      <c r="AC646" s="1" t="str">
        <f>TEXT(Z646, "dddd")</f>
        <v>Thursday</v>
      </c>
      <c r="AD646" s="4" t="s">
        <v>62</v>
      </c>
      <c r="AE646" s="4" t="s">
        <v>76</v>
      </c>
      <c r="AF646" s="4" t="s">
        <v>92</v>
      </c>
      <c r="AG646" s="4" t="s">
        <v>64</v>
      </c>
      <c r="AH646" s="3">
        <v>6</v>
      </c>
    </row>
    <row r="647" spans="1:34">
      <c r="A647" s="4" t="s">
        <v>1388</v>
      </c>
      <c r="B647" s="3">
        <v>34</v>
      </c>
      <c r="C647" s="9" t="str" cm="1">
        <f t="array" ref="C647">_xlfn.IFS(B647&gt;65,"+65",B647&gt;54,"55-65",B647&gt;44,"45-54",B647&gt;35,"36-44",B647&gt;25,"26-35",B647&gt;=18,"18-25")</f>
        <v>26-35</v>
      </c>
      <c r="D647" s="4" t="s">
        <v>66</v>
      </c>
      <c r="E647" s="4" t="s">
        <v>51</v>
      </c>
      <c r="F647" s="4" t="s">
        <v>79</v>
      </c>
      <c r="G647" s="4" t="s">
        <v>68</v>
      </c>
      <c r="H647" s="4" t="s">
        <v>1389</v>
      </c>
      <c r="I647" s="4" t="s">
        <v>156</v>
      </c>
      <c r="J647" s="5">
        <v>204.47</v>
      </c>
      <c r="K647" s="3">
        <v>7</v>
      </c>
      <c r="L647" s="4" t="str">
        <f>IF(AND(J647&gt;350,K647&gt;6), "True","False")</f>
        <v>False</v>
      </c>
      <c r="M647" s="4" t="s">
        <v>56</v>
      </c>
      <c r="N647" s="3">
        <v>2</v>
      </c>
      <c r="O647" s="4" t="str" cm="1">
        <f t="array" ref="O647">_xlfn.IFS(P647&lt;=2,"Poor",P647=3,"Average",P647&gt;=4,"Good")</f>
        <v>Poor</v>
      </c>
      <c r="P647" s="3">
        <v>1</v>
      </c>
      <c r="Q647" s="2">
        <v>1</v>
      </c>
      <c r="R647" s="4" t="s">
        <v>57</v>
      </c>
      <c r="S647" s="4" t="s">
        <v>73</v>
      </c>
      <c r="T647" s="3">
        <v>2</v>
      </c>
      <c r="U647" s="4" t="str" cm="1">
        <f t="array" ref="U647">_xlfn.IFS(V647&lt;=4, "Dissatisfied",V647&lt;=7,"Neutral",V647&gt;=8,"Satisfied")</f>
        <v>Satisfied</v>
      </c>
      <c r="V647" s="3">
        <v>9</v>
      </c>
      <c r="W647" s="4" t="s">
        <v>57</v>
      </c>
      <c r="X647" s="4" t="s">
        <v>60</v>
      </c>
      <c r="Y647" s="4" t="s">
        <v>119</v>
      </c>
      <c r="Z647" s="1">
        <v>45519</v>
      </c>
      <c r="AA647" s="4" t="str" cm="1">
        <f t="array" ref="AA647">_xlfn.IFS(OR(AB647="December", AB647="February", AB647="January"), "Winter", OR(AB647="March", AB647="April", AB647="May"), "Spring", OR(AB647="June", AB647="July", AB647="August"), "Summer", TRUE, "Autumn")</f>
        <v>Summer</v>
      </c>
      <c r="AB647" s="7" t="str">
        <f>TEXT(Z647, "mmmm")</f>
        <v>August</v>
      </c>
      <c r="AC647" s="1" t="str">
        <f>TEXT(Z647, "dddd")</f>
        <v>Thursday</v>
      </c>
      <c r="AD647" s="4" t="s">
        <v>62</v>
      </c>
      <c r="AE647" s="4" t="s">
        <v>62</v>
      </c>
      <c r="AF647" s="4" t="s">
        <v>102</v>
      </c>
      <c r="AG647" s="4" t="s">
        <v>88</v>
      </c>
      <c r="AH647" s="3">
        <v>3</v>
      </c>
    </row>
    <row r="648" spans="1:34">
      <c r="A648" s="4" t="s">
        <v>1390</v>
      </c>
      <c r="B648" s="3">
        <v>35</v>
      </c>
      <c r="C648" s="9" t="str" cm="1">
        <f t="array" ref="C648">_xlfn.IFS(B648&gt;65,"+65",B648&gt;54,"55-65",B648&gt;44,"45-54",B648&gt;35,"36-44",B648&gt;25,"26-35",B648&gt;=18,"18-25")</f>
        <v>26-35</v>
      </c>
      <c r="D648" s="4" t="s">
        <v>78</v>
      </c>
      <c r="E648" s="4" t="s">
        <v>72</v>
      </c>
      <c r="F648" s="4" t="s">
        <v>52</v>
      </c>
      <c r="G648" s="4" t="s">
        <v>68</v>
      </c>
      <c r="H648" s="4" t="s">
        <v>1391</v>
      </c>
      <c r="I648" s="4" t="s">
        <v>164</v>
      </c>
      <c r="J648" s="5">
        <v>494.97</v>
      </c>
      <c r="K648" s="3">
        <v>12</v>
      </c>
      <c r="L648" s="4" t="str">
        <f>IF(AND(J648&gt;350,K648&gt;6), "True","False")</f>
        <v>True</v>
      </c>
      <c r="M648" s="4" t="s">
        <v>71</v>
      </c>
      <c r="N648" s="3">
        <v>5</v>
      </c>
      <c r="O648" s="4" t="str" cm="1">
        <f t="array" ref="O648">_xlfn.IFS(P648&lt;=2,"Poor",P648=3,"Average",P648&gt;=4,"Good")</f>
        <v>Good</v>
      </c>
      <c r="P648" s="3">
        <v>4</v>
      </c>
      <c r="Q648" s="2">
        <v>2</v>
      </c>
      <c r="R648" s="4" t="s">
        <v>59</v>
      </c>
      <c r="S648" s="4" t="s">
        <v>58</v>
      </c>
      <c r="T648" s="3">
        <v>1</v>
      </c>
      <c r="U648" s="4" t="str" cm="1">
        <f t="array" ref="U648">_xlfn.IFS(V648&lt;=4, "Dissatisfied",V648&lt;=7,"Neutral",V648&gt;=8,"Satisfied")</f>
        <v>Neutral</v>
      </c>
      <c r="V648" s="3">
        <v>5</v>
      </c>
      <c r="W648" s="4" t="s">
        <v>59</v>
      </c>
      <c r="X648" s="4" t="s">
        <v>74</v>
      </c>
      <c r="Y648" s="4" t="s">
        <v>75</v>
      </c>
      <c r="Z648" s="1">
        <v>45520</v>
      </c>
      <c r="AA648" s="4" t="str" cm="1">
        <f t="array" ref="AA648">_xlfn.IFS(OR(AB648="December", AB648="February", AB648="January"), "Winter", OR(AB648="March", AB648="April", AB648="May"), "Spring", OR(AB648="June", AB648="July", AB648="August"), "Summer", TRUE, "Autumn")</f>
        <v>Summer</v>
      </c>
      <c r="AB648" s="7" t="str">
        <f>TEXT(Z648, "mmmm")</f>
        <v>August</v>
      </c>
      <c r="AC648" s="1" t="str">
        <f>TEXT(Z648, "dddd")</f>
        <v>Friday</v>
      </c>
      <c r="AD648" s="4" t="s">
        <v>76</v>
      </c>
      <c r="AE648" s="4" t="s">
        <v>76</v>
      </c>
      <c r="AF648" s="4" t="s">
        <v>87</v>
      </c>
      <c r="AG648" s="4" t="s">
        <v>88</v>
      </c>
      <c r="AH648" s="3">
        <v>7</v>
      </c>
    </row>
    <row r="649" spans="1:34">
      <c r="A649" s="4" t="s">
        <v>1392</v>
      </c>
      <c r="B649" s="3">
        <v>38</v>
      </c>
      <c r="C649" s="9" t="str" cm="1">
        <f t="array" ref="C649">_xlfn.IFS(B649&gt;65,"+65",B649&gt;54,"55-65",B649&gt;44,"45-54",B649&gt;35,"36-44",B649&gt;25,"26-35",B649&gt;=18,"18-25")</f>
        <v>36-44</v>
      </c>
      <c r="D649" s="4" t="s">
        <v>66</v>
      </c>
      <c r="E649" s="4" t="s">
        <v>51</v>
      </c>
      <c r="F649" s="4" t="s">
        <v>95</v>
      </c>
      <c r="G649" s="4" t="s">
        <v>53</v>
      </c>
      <c r="H649" s="4" t="s">
        <v>1393</v>
      </c>
      <c r="I649" s="4" t="s">
        <v>122</v>
      </c>
      <c r="J649" s="5">
        <v>227.57</v>
      </c>
      <c r="K649" s="3">
        <v>2</v>
      </c>
      <c r="L649" s="4" t="str">
        <f>IF(AND(J649&gt;350,K649&gt;6), "True","False")</f>
        <v>False</v>
      </c>
      <c r="M649" s="4" t="s">
        <v>56</v>
      </c>
      <c r="N649" s="3">
        <v>1</v>
      </c>
      <c r="O649" s="4" t="str" cm="1">
        <f t="array" ref="O649">_xlfn.IFS(P649&lt;=2,"Poor",P649=3,"Average",P649&gt;=4,"Good")</f>
        <v>Poor</v>
      </c>
      <c r="P649" s="3">
        <v>2</v>
      </c>
      <c r="Q649" s="2">
        <v>0</v>
      </c>
      <c r="R649" s="4" t="s">
        <v>72</v>
      </c>
      <c r="S649" s="4" t="s">
        <v>84</v>
      </c>
      <c r="T649" s="3">
        <v>1</v>
      </c>
      <c r="U649" s="4" t="str" cm="1">
        <f t="array" ref="U649">_xlfn.IFS(V649&lt;=4, "Dissatisfied",V649&lt;=7,"Neutral",V649&gt;=8,"Satisfied")</f>
        <v>Neutral</v>
      </c>
      <c r="V649" s="3">
        <v>6</v>
      </c>
      <c r="W649" s="4" t="s">
        <v>57</v>
      </c>
      <c r="X649" s="4" t="s">
        <v>74</v>
      </c>
      <c r="Y649" s="4" t="s">
        <v>86</v>
      </c>
      <c r="Z649" s="1">
        <v>45521</v>
      </c>
      <c r="AA649" s="4" t="str" cm="1">
        <f t="array" ref="AA649">_xlfn.IFS(OR(AB649="December", AB649="February", AB649="January"), "Winter", OR(AB649="March", AB649="April", AB649="May"), "Spring", OR(AB649="June", AB649="July", AB649="August"), "Summer", TRUE, "Autumn")</f>
        <v>Summer</v>
      </c>
      <c r="AB649" s="7" t="str">
        <f>TEXT(Z649, "mmmm")</f>
        <v>August</v>
      </c>
      <c r="AC649" s="1" t="str">
        <f>TEXT(Z649, "dddd")</f>
        <v>Saturday</v>
      </c>
      <c r="AD649" s="4" t="s">
        <v>76</v>
      </c>
      <c r="AE649" s="4" t="s">
        <v>62</v>
      </c>
      <c r="AF649" s="4" t="s">
        <v>102</v>
      </c>
      <c r="AG649" s="4" t="s">
        <v>88</v>
      </c>
      <c r="AH649" s="3">
        <v>14</v>
      </c>
    </row>
    <row r="650" spans="1:34">
      <c r="A650" s="4" t="s">
        <v>1394</v>
      </c>
      <c r="B650" s="3">
        <v>31</v>
      </c>
      <c r="C650" s="9" t="str" cm="1">
        <f t="array" ref="C650">_xlfn.IFS(B650&gt;65,"+65",B650&gt;54,"55-65",B650&gt;44,"45-54",B650&gt;35,"36-44",B650&gt;25,"26-35",B650&gt;=18,"18-25")</f>
        <v>26-35</v>
      </c>
      <c r="D650" s="4" t="s">
        <v>456</v>
      </c>
      <c r="E650" s="4" t="s">
        <v>51</v>
      </c>
      <c r="F650" s="4" t="s">
        <v>52</v>
      </c>
      <c r="G650" s="4" t="s">
        <v>53</v>
      </c>
      <c r="H650" s="4" t="s">
        <v>1395</v>
      </c>
      <c r="I650" s="4" t="s">
        <v>82</v>
      </c>
      <c r="J650" s="5">
        <v>73.739999999999995</v>
      </c>
      <c r="K650" s="3">
        <v>7</v>
      </c>
      <c r="L650" s="4" t="str">
        <f>IF(AND(J650&gt;350,K650&gt;6), "True","False")</f>
        <v>False</v>
      </c>
      <c r="M650" s="4" t="s">
        <v>56</v>
      </c>
      <c r="N650" s="3">
        <v>4</v>
      </c>
      <c r="O650" s="4" t="str" cm="1">
        <f t="array" ref="O650">_xlfn.IFS(P650&lt;=2,"Poor",P650=3,"Average",P650&gt;=4,"Good")</f>
        <v>Poor</v>
      </c>
      <c r="P650" s="3">
        <v>2</v>
      </c>
      <c r="Q650" s="2">
        <v>0.3</v>
      </c>
      <c r="R650" s="4" t="s">
        <v>72</v>
      </c>
      <c r="S650" s="4" t="s">
        <v>58</v>
      </c>
      <c r="T650" s="3">
        <v>1</v>
      </c>
      <c r="U650" s="4" t="str" cm="1">
        <f t="array" ref="U650">_xlfn.IFS(V650&lt;=4, "Dissatisfied",V650&lt;=7,"Neutral",V650&gt;=8,"Satisfied")</f>
        <v>Dissatisfied</v>
      </c>
      <c r="V650" s="3">
        <v>3</v>
      </c>
      <c r="W650" s="4" t="s">
        <v>85</v>
      </c>
      <c r="X650" s="4" t="s">
        <v>60</v>
      </c>
      <c r="Y650" s="4" t="s">
        <v>111</v>
      </c>
      <c r="Z650" s="1">
        <v>45521</v>
      </c>
      <c r="AA650" s="4" t="str" cm="1">
        <f t="array" ref="AA650">_xlfn.IFS(OR(AB650="December", AB650="February", AB650="January"), "Winter", OR(AB650="March", AB650="April", AB650="May"), "Spring", OR(AB650="June", AB650="July", AB650="August"), "Summer", TRUE, "Autumn")</f>
        <v>Summer</v>
      </c>
      <c r="AB650" s="7" t="str">
        <f>TEXT(Z650, "mmmm")</f>
        <v>August</v>
      </c>
      <c r="AC650" s="1" t="str">
        <f>TEXT(Z650, "dddd")</f>
        <v>Saturday</v>
      </c>
      <c r="AD650" s="4" t="s">
        <v>76</v>
      </c>
      <c r="AE650" s="4" t="s">
        <v>76</v>
      </c>
      <c r="AF650" s="4" t="s">
        <v>102</v>
      </c>
      <c r="AG650" s="4" t="s">
        <v>64</v>
      </c>
      <c r="AH650" s="3">
        <v>13</v>
      </c>
    </row>
    <row r="651" spans="1:34">
      <c r="A651" s="4" t="s">
        <v>1396</v>
      </c>
      <c r="B651" s="3">
        <v>22</v>
      </c>
      <c r="C651" s="9" t="str" cm="1">
        <f t="array" ref="C651">_xlfn.IFS(B651&gt;65,"+65",B651&gt;54,"55-65",B651&gt;44,"45-54",B651&gt;35,"36-44",B651&gt;25,"26-35",B651&gt;=18,"18-25")</f>
        <v>18-25</v>
      </c>
      <c r="D651" s="4" t="s">
        <v>66</v>
      </c>
      <c r="E651" s="4" t="s">
        <v>51</v>
      </c>
      <c r="F651" s="4" t="s">
        <v>67</v>
      </c>
      <c r="G651" s="4" t="s">
        <v>80</v>
      </c>
      <c r="H651" s="4" t="s">
        <v>1301</v>
      </c>
      <c r="I651" s="4" t="s">
        <v>105</v>
      </c>
      <c r="J651" s="5">
        <v>210.9</v>
      </c>
      <c r="K651" s="3">
        <v>12</v>
      </c>
      <c r="L651" s="4" t="str">
        <f>IF(AND(J651&gt;350,K651&gt;6), "True","False")</f>
        <v>False</v>
      </c>
      <c r="M651" s="4" t="s">
        <v>71</v>
      </c>
      <c r="N651" s="3">
        <v>2</v>
      </c>
      <c r="O651" s="4" t="str" cm="1">
        <f t="array" ref="O651">_xlfn.IFS(P651&lt;=2,"Poor",P651=3,"Average",P651&gt;=4,"Good")</f>
        <v>Poor</v>
      </c>
      <c r="P651" s="3">
        <v>1</v>
      </c>
      <c r="Q651" s="2">
        <v>2</v>
      </c>
      <c r="R651" s="4" t="s">
        <v>57</v>
      </c>
      <c r="S651" s="4" t="s">
        <v>84</v>
      </c>
      <c r="T651" s="3">
        <v>1</v>
      </c>
      <c r="U651" s="4" t="str" cm="1">
        <f t="array" ref="U651">_xlfn.IFS(V651&lt;=4, "Dissatisfied",V651&lt;=7,"Neutral",V651&gt;=8,"Satisfied")</f>
        <v>Dissatisfied</v>
      </c>
      <c r="V651" s="3">
        <v>1</v>
      </c>
      <c r="W651" s="4" t="s">
        <v>57</v>
      </c>
      <c r="X651" s="4" t="s">
        <v>74</v>
      </c>
      <c r="Y651" s="4" t="s">
        <v>75</v>
      </c>
      <c r="Z651" s="1">
        <v>45521</v>
      </c>
      <c r="AA651" s="4" t="str" cm="1">
        <f t="array" ref="AA651">_xlfn.IFS(OR(AB651="December", AB651="February", AB651="January"), "Winter", OR(AB651="March", AB651="April", AB651="May"), "Spring", OR(AB651="June", AB651="July", AB651="August"), "Summer", TRUE, "Autumn")</f>
        <v>Summer</v>
      </c>
      <c r="AB651" s="7" t="str">
        <f>TEXT(Z651, "mmmm")</f>
        <v>August</v>
      </c>
      <c r="AC651" s="1" t="str">
        <f>TEXT(Z651, "dddd")</f>
        <v>Saturday</v>
      </c>
      <c r="AD651" s="4" t="s">
        <v>76</v>
      </c>
      <c r="AE651" s="4" t="s">
        <v>76</v>
      </c>
      <c r="AF651" s="4" t="s">
        <v>92</v>
      </c>
      <c r="AG651" s="4" t="s">
        <v>64</v>
      </c>
      <c r="AH651" s="3">
        <v>12</v>
      </c>
    </row>
    <row r="652" spans="1:34">
      <c r="A652" s="4" t="s">
        <v>1397</v>
      </c>
      <c r="B652" s="3">
        <v>35</v>
      </c>
      <c r="C652" s="9" t="str" cm="1">
        <f t="array" ref="C652">_xlfn.IFS(B652&gt;65,"+65",B652&gt;54,"55-65",B652&gt;44,"45-54",B652&gt;35,"36-44",B652&gt;25,"26-35",B652&gt;=18,"18-25")</f>
        <v>26-35</v>
      </c>
      <c r="D652" s="4" t="s">
        <v>78</v>
      </c>
      <c r="E652" s="4" t="s">
        <v>72</v>
      </c>
      <c r="F652" s="4" t="s">
        <v>67</v>
      </c>
      <c r="G652" s="4" t="s">
        <v>68</v>
      </c>
      <c r="H652" s="4" t="s">
        <v>1398</v>
      </c>
      <c r="I652" s="4" t="s">
        <v>55</v>
      </c>
      <c r="J652" s="5">
        <v>370.73</v>
      </c>
      <c r="K652" s="3">
        <v>7</v>
      </c>
      <c r="L652" s="4" t="str">
        <f>IF(AND(J652&gt;350,K652&gt;6), "True","False")</f>
        <v>True</v>
      </c>
      <c r="M652" s="4" t="s">
        <v>56</v>
      </c>
      <c r="N652" s="3">
        <v>3</v>
      </c>
      <c r="O652" s="4" t="str" cm="1">
        <f t="array" ref="O652">_xlfn.IFS(P652&lt;=2,"Poor",P652=3,"Average",P652&gt;=4,"Good")</f>
        <v>Poor</v>
      </c>
      <c r="P652" s="3">
        <v>2</v>
      </c>
      <c r="Q652" s="2">
        <v>1</v>
      </c>
      <c r="R652" s="4" t="s">
        <v>72</v>
      </c>
      <c r="S652" s="4" t="s">
        <v>58</v>
      </c>
      <c r="T652" s="3">
        <v>0</v>
      </c>
      <c r="U652" s="4" t="str" cm="1">
        <f t="array" ref="U652">_xlfn.IFS(V652&lt;=4, "Dissatisfied",V652&lt;=7,"Neutral",V652&gt;=8,"Satisfied")</f>
        <v>Satisfied</v>
      </c>
      <c r="V652" s="3">
        <v>9</v>
      </c>
      <c r="W652" s="4" t="s">
        <v>72</v>
      </c>
      <c r="X652" s="4" t="s">
        <v>60</v>
      </c>
      <c r="Y652" s="4" t="s">
        <v>75</v>
      </c>
      <c r="Z652" s="1">
        <v>45522</v>
      </c>
      <c r="AA652" s="4" t="str" cm="1">
        <f t="array" ref="AA652">_xlfn.IFS(OR(AB652="December", AB652="February", AB652="January"), "Winter", OR(AB652="March", AB652="April", AB652="May"), "Spring", OR(AB652="June", AB652="July", AB652="August"), "Summer", TRUE, "Autumn")</f>
        <v>Summer</v>
      </c>
      <c r="AB652" s="7" t="str">
        <f>TEXT(Z652, "mmmm")</f>
        <v>August</v>
      </c>
      <c r="AC652" s="1" t="str">
        <f>TEXT(Z652, "dddd")</f>
        <v>Sunday</v>
      </c>
      <c r="AD652" s="4" t="s">
        <v>76</v>
      </c>
      <c r="AE652" s="4" t="s">
        <v>62</v>
      </c>
      <c r="AF652" s="4" t="s">
        <v>63</v>
      </c>
      <c r="AG652" s="4" t="s">
        <v>88</v>
      </c>
      <c r="AH652" s="3">
        <v>7</v>
      </c>
    </row>
    <row r="653" spans="1:34">
      <c r="A653" s="4" t="s">
        <v>1399</v>
      </c>
      <c r="B653" s="3">
        <v>32</v>
      </c>
      <c r="C653" s="9" t="str" cm="1">
        <f t="array" ref="C653">_xlfn.IFS(B653&gt;65,"+65",B653&gt;54,"55-65",B653&gt;44,"45-54",B653&gt;35,"36-44",B653&gt;25,"26-35",B653&gt;=18,"18-25")</f>
        <v>26-35</v>
      </c>
      <c r="D653" s="4" t="s">
        <v>78</v>
      </c>
      <c r="E653" s="4" t="s">
        <v>51</v>
      </c>
      <c r="F653" s="4" t="s">
        <v>67</v>
      </c>
      <c r="G653" s="4" t="s">
        <v>53</v>
      </c>
      <c r="H653" s="4" t="s">
        <v>1400</v>
      </c>
      <c r="I653" s="4" t="s">
        <v>172</v>
      </c>
      <c r="J653" s="5">
        <v>395.97</v>
      </c>
      <c r="K653" s="3">
        <v>9</v>
      </c>
      <c r="L653" s="4" t="str">
        <f>IF(AND(J653&gt;350,K653&gt;6), "True","False")</f>
        <v>True</v>
      </c>
      <c r="M653" s="4" t="s">
        <v>71</v>
      </c>
      <c r="N653" s="3">
        <v>1</v>
      </c>
      <c r="O653" s="4" t="str" cm="1">
        <f t="array" ref="O653">_xlfn.IFS(P653&lt;=2,"Poor",P653=3,"Average",P653&gt;=4,"Good")</f>
        <v>Good</v>
      </c>
      <c r="P653" s="3">
        <v>4</v>
      </c>
      <c r="Q653" s="2">
        <v>0</v>
      </c>
      <c r="R653" s="4" t="s">
        <v>85</v>
      </c>
      <c r="S653" s="4" t="s">
        <v>73</v>
      </c>
      <c r="T653" s="3">
        <v>1</v>
      </c>
      <c r="U653" s="4" t="str" cm="1">
        <f t="array" ref="U653">_xlfn.IFS(V653&lt;=4, "Dissatisfied",V653&lt;=7,"Neutral",V653&gt;=8,"Satisfied")</f>
        <v>Neutral</v>
      </c>
      <c r="V653" s="3">
        <v>6</v>
      </c>
      <c r="W653" s="4" t="s">
        <v>59</v>
      </c>
      <c r="X653" s="4" t="s">
        <v>74</v>
      </c>
      <c r="Y653" s="4" t="s">
        <v>75</v>
      </c>
      <c r="Z653" s="1">
        <v>45522</v>
      </c>
      <c r="AA653" s="4" t="str" cm="1">
        <f t="array" ref="AA653">_xlfn.IFS(OR(AB653="December", AB653="February", AB653="January"), "Winter", OR(AB653="March", AB653="April", AB653="May"), "Spring", OR(AB653="June", AB653="July", AB653="August"), "Summer", TRUE, "Autumn")</f>
        <v>Summer</v>
      </c>
      <c r="AB653" s="7" t="str">
        <f>TEXT(Z653, "mmmm")</f>
        <v>August</v>
      </c>
      <c r="AC653" s="1" t="str">
        <f>TEXT(Z653, "dddd")</f>
        <v>Sunday</v>
      </c>
      <c r="AD653" s="4" t="s">
        <v>62</v>
      </c>
      <c r="AE653" s="4" t="s">
        <v>62</v>
      </c>
      <c r="AF653" s="4" t="s">
        <v>102</v>
      </c>
      <c r="AG653" s="4" t="s">
        <v>64</v>
      </c>
      <c r="AH653" s="3">
        <v>1</v>
      </c>
    </row>
    <row r="654" spans="1:34">
      <c r="A654" s="4" t="s">
        <v>1401</v>
      </c>
      <c r="B654" s="3">
        <v>20</v>
      </c>
      <c r="C654" s="9" t="str" cm="1">
        <f t="array" ref="C654">_xlfn.IFS(B654&gt;65,"+65",B654&gt;54,"55-65",B654&gt;44,"45-54",B654&gt;35,"36-44",B654&gt;25,"26-35",B654&gt;=18,"18-25")</f>
        <v>18-25</v>
      </c>
      <c r="D654" s="4" t="s">
        <v>78</v>
      </c>
      <c r="E654" s="4" t="s">
        <v>72</v>
      </c>
      <c r="F654" s="4" t="s">
        <v>52</v>
      </c>
      <c r="G654" s="4" t="s">
        <v>80</v>
      </c>
      <c r="H654" s="4" t="s">
        <v>1369</v>
      </c>
      <c r="I654" s="4" t="s">
        <v>105</v>
      </c>
      <c r="J654" s="5">
        <v>355.31</v>
      </c>
      <c r="K654" s="3">
        <v>11</v>
      </c>
      <c r="L654" s="4" t="str">
        <f>IF(AND(J654&gt;350,K654&gt;6), "True","False")</f>
        <v>True</v>
      </c>
      <c r="M654" s="4" t="s">
        <v>56</v>
      </c>
      <c r="N654" s="3">
        <v>1</v>
      </c>
      <c r="O654" s="4" t="str" cm="1">
        <f t="array" ref="O654">_xlfn.IFS(P654&lt;=2,"Poor",P654=3,"Average",P654&gt;=4,"Good")</f>
        <v>Poor</v>
      </c>
      <c r="P654" s="3">
        <v>1</v>
      </c>
      <c r="Q654" s="2">
        <v>0</v>
      </c>
      <c r="R654" s="4" t="s">
        <v>72</v>
      </c>
      <c r="S654" s="4" t="s">
        <v>58</v>
      </c>
      <c r="T654" s="3">
        <v>1</v>
      </c>
      <c r="U654" s="4" t="str" cm="1">
        <f t="array" ref="U654">_xlfn.IFS(V654&lt;=4, "Dissatisfied",V654&lt;=7,"Neutral",V654&gt;=8,"Satisfied")</f>
        <v>Dissatisfied</v>
      </c>
      <c r="V654" s="3">
        <v>2</v>
      </c>
      <c r="W654" s="4" t="s">
        <v>85</v>
      </c>
      <c r="X654" s="4" t="s">
        <v>101</v>
      </c>
      <c r="Y654" s="4" t="s">
        <v>75</v>
      </c>
      <c r="Z654" s="1">
        <v>45523</v>
      </c>
      <c r="AA654" s="4" t="str" cm="1">
        <f t="array" ref="AA654">_xlfn.IFS(OR(AB654="December", AB654="February", AB654="January"), "Winter", OR(AB654="March", AB654="April", AB654="May"), "Spring", OR(AB654="June", AB654="July", AB654="August"), "Summer", TRUE, "Autumn")</f>
        <v>Summer</v>
      </c>
      <c r="AB654" s="7" t="str">
        <f>TEXT(Z654, "mmmm")</f>
        <v>August</v>
      </c>
      <c r="AC654" s="1" t="str">
        <f>TEXT(Z654, "dddd")</f>
        <v>Monday</v>
      </c>
      <c r="AD654" s="4" t="s">
        <v>76</v>
      </c>
      <c r="AE654" s="4" t="s">
        <v>62</v>
      </c>
      <c r="AF654" s="4" t="s">
        <v>92</v>
      </c>
      <c r="AG654" s="4" t="s">
        <v>93</v>
      </c>
      <c r="AH654" s="3">
        <v>12</v>
      </c>
    </row>
    <row r="655" spans="1:34">
      <c r="A655" s="4" t="s">
        <v>1402</v>
      </c>
      <c r="B655" s="3">
        <v>48</v>
      </c>
      <c r="C655" s="9" t="str" cm="1">
        <f t="array" ref="C655">_xlfn.IFS(B655&gt;65,"+65",B655&gt;54,"55-65",B655&gt;44,"45-54",B655&gt;35,"36-44",B655&gt;25,"26-35",B655&gt;=18,"18-25")</f>
        <v>45-54</v>
      </c>
      <c r="D655" s="4" t="s">
        <v>78</v>
      </c>
      <c r="E655" s="4" t="s">
        <v>51</v>
      </c>
      <c r="F655" s="4" t="s">
        <v>79</v>
      </c>
      <c r="G655" s="4" t="s">
        <v>68</v>
      </c>
      <c r="H655" s="4" t="s">
        <v>1403</v>
      </c>
      <c r="I655" s="4" t="s">
        <v>172</v>
      </c>
      <c r="J655" s="5">
        <v>161.38</v>
      </c>
      <c r="K655" s="3">
        <v>11</v>
      </c>
      <c r="L655" s="4" t="str">
        <f>IF(AND(J655&gt;350,K655&gt;6), "True","False")</f>
        <v>False</v>
      </c>
      <c r="M655" s="4" t="s">
        <v>83</v>
      </c>
      <c r="N655" s="3">
        <v>5</v>
      </c>
      <c r="O655" s="4" t="str" cm="1">
        <f t="array" ref="O655">_xlfn.IFS(P655&lt;=2,"Poor",P655=3,"Average",P655&gt;=4,"Good")</f>
        <v>Average</v>
      </c>
      <c r="P655" s="3">
        <v>3</v>
      </c>
      <c r="Q655" s="2">
        <v>0</v>
      </c>
      <c r="R655" s="4" t="s">
        <v>57</v>
      </c>
      <c r="S655" s="4" t="s">
        <v>73</v>
      </c>
      <c r="T655" s="3">
        <v>1</v>
      </c>
      <c r="U655" s="4" t="str" cm="1">
        <f t="array" ref="U655">_xlfn.IFS(V655&lt;=4, "Dissatisfied",V655&lt;=7,"Neutral",V655&gt;=8,"Satisfied")</f>
        <v>Satisfied</v>
      </c>
      <c r="V655" s="3">
        <v>10</v>
      </c>
      <c r="W655" s="4" t="s">
        <v>72</v>
      </c>
      <c r="X655" s="4" t="s">
        <v>74</v>
      </c>
      <c r="Y655" s="4" t="s">
        <v>75</v>
      </c>
      <c r="Z655" s="1">
        <v>45524</v>
      </c>
      <c r="AA655" s="4" t="str" cm="1">
        <f t="array" ref="AA655">_xlfn.IFS(OR(AB655="December", AB655="February", AB655="January"), "Winter", OR(AB655="March", AB655="April", AB655="May"), "Spring", OR(AB655="June", AB655="July", AB655="August"), "Summer", TRUE, "Autumn")</f>
        <v>Summer</v>
      </c>
      <c r="AB655" s="7" t="str">
        <f>TEXT(Z655, "mmmm")</f>
        <v>August</v>
      </c>
      <c r="AC655" s="1" t="str">
        <f>TEXT(Z655, "dddd")</f>
        <v>Tuesday</v>
      </c>
      <c r="AD655" s="4" t="s">
        <v>62</v>
      </c>
      <c r="AE655" s="4" t="s">
        <v>62</v>
      </c>
      <c r="AF655" s="4" t="s">
        <v>92</v>
      </c>
      <c r="AG655" s="4" t="s">
        <v>64</v>
      </c>
      <c r="AH655" s="3">
        <v>10</v>
      </c>
    </row>
    <row r="656" spans="1:34">
      <c r="A656" s="4" t="s">
        <v>1404</v>
      </c>
      <c r="B656" s="3">
        <v>45</v>
      </c>
      <c r="C656" s="9" t="str" cm="1">
        <f t="array" ref="C656">_xlfn.IFS(B656&gt;65,"+65",B656&gt;54,"55-65",B656&gt;44,"45-54",B656&gt;35,"36-44",B656&gt;25,"26-35",B656&gt;=18,"18-25")</f>
        <v>45-54</v>
      </c>
      <c r="D656" s="4" t="s">
        <v>66</v>
      </c>
      <c r="E656" s="4" t="s">
        <v>72</v>
      </c>
      <c r="F656" s="4" t="s">
        <v>67</v>
      </c>
      <c r="G656" s="4" t="s">
        <v>68</v>
      </c>
      <c r="H656" s="4" t="s">
        <v>1405</v>
      </c>
      <c r="I656" s="4" t="s">
        <v>151</v>
      </c>
      <c r="J656" s="5">
        <v>152.87</v>
      </c>
      <c r="K656" s="3">
        <v>3</v>
      </c>
      <c r="L656" s="4" t="str">
        <f>IF(AND(J656&gt;350,K656&gt;6), "True","False")</f>
        <v>False</v>
      </c>
      <c r="M656" s="4" t="s">
        <v>71</v>
      </c>
      <c r="N656" s="3">
        <v>1</v>
      </c>
      <c r="O656" s="4" t="str" cm="1">
        <f t="array" ref="O656">_xlfn.IFS(P656&lt;=2,"Poor",P656=3,"Average",P656&gt;=4,"Good")</f>
        <v>Good</v>
      </c>
      <c r="P656" s="3">
        <v>5</v>
      </c>
      <c r="Q656" s="2">
        <v>2</v>
      </c>
      <c r="R656" s="4" t="s">
        <v>72</v>
      </c>
      <c r="S656" s="4" t="s">
        <v>73</v>
      </c>
      <c r="T656" s="3">
        <v>1</v>
      </c>
      <c r="U656" s="4" t="str" cm="1">
        <f t="array" ref="U656">_xlfn.IFS(V656&lt;=4, "Dissatisfied",V656&lt;=7,"Neutral",V656&gt;=8,"Satisfied")</f>
        <v>Satisfied</v>
      </c>
      <c r="V656" s="3">
        <v>8</v>
      </c>
      <c r="W656" s="4" t="s">
        <v>57</v>
      </c>
      <c r="X656" s="4" t="s">
        <v>74</v>
      </c>
      <c r="Y656" s="4" t="s">
        <v>75</v>
      </c>
      <c r="Z656" s="1">
        <v>45524</v>
      </c>
      <c r="AA656" s="4" t="str" cm="1">
        <f t="array" ref="AA656">_xlfn.IFS(OR(AB656="December", AB656="February", AB656="January"), "Winter", OR(AB656="March", AB656="April", AB656="May"), "Spring", OR(AB656="June", AB656="July", AB656="August"), "Summer", TRUE, "Autumn")</f>
        <v>Summer</v>
      </c>
      <c r="AB656" s="7" t="str">
        <f>TEXT(Z656, "mmmm")</f>
        <v>August</v>
      </c>
      <c r="AC656" s="1" t="str">
        <f>TEXT(Z656, "dddd")</f>
        <v>Tuesday</v>
      </c>
      <c r="AD656" s="4" t="s">
        <v>76</v>
      </c>
      <c r="AE656" s="4" t="s">
        <v>76</v>
      </c>
      <c r="AF656" s="4" t="s">
        <v>92</v>
      </c>
      <c r="AG656" s="4" t="s">
        <v>93</v>
      </c>
      <c r="AH656" s="3">
        <v>11</v>
      </c>
    </row>
    <row r="657" spans="1:34">
      <c r="A657" s="4" t="s">
        <v>1406</v>
      </c>
      <c r="B657" s="3">
        <v>45</v>
      </c>
      <c r="C657" s="9" t="str" cm="1">
        <f t="array" ref="C657">_xlfn.IFS(B657&gt;65,"+65",B657&gt;54,"55-65",B657&gt;44,"45-54",B657&gt;35,"36-44",B657&gt;25,"26-35",B657&gt;=18,"18-25")</f>
        <v>45-54</v>
      </c>
      <c r="D657" s="4" t="s">
        <v>232</v>
      </c>
      <c r="E657" s="4" t="s">
        <v>51</v>
      </c>
      <c r="F657" s="4" t="s">
        <v>95</v>
      </c>
      <c r="G657" s="4" t="s">
        <v>80</v>
      </c>
      <c r="H657" s="4" t="s">
        <v>1407</v>
      </c>
      <c r="I657" s="4" t="s">
        <v>97</v>
      </c>
      <c r="J657" s="5">
        <v>457.18</v>
      </c>
      <c r="K657" s="3">
        <v>7</v>
      </c>
      <c r="L657" s="4" t="str">
        <f>IF(AND(J657&gt;350,K657&gt;6), "True","False")</f>
        <v>True</v>
      </c>
      <c r="M657" s="4" t="s">
        <v>71</v>
      </c>
      <c r="N657" s="3">
        <v>4</v>
      </c>
      <c r="O657" s="4" t="str" cm="1">
        <f t="array" ref="O657">_xlfn.IFS(P657&lt;=2,"Poor",P657=3,"Average",P657&gt;=4,"Good")</f>
        <v>Average</v>
      </c>
      <c r="P657" s="3">
        <v>3</v>
      </c>
      <c r="Q657" s="2">
        <v>2</v>
      </c>
      <c r="R657" s="4" t="s">
        <v>72</v>
      </c>
      <c r="S657" s="4" t="s">
        <v>73</v>
      </c>
      <c r="T657" s="3">
        <v>2</v>
      </c>
      <c r="U657" s="4" t="str" cm="1">
        <f t="array" ref="U657">_xlfn.IFS(V657&lt;=4, "Dissatisfied",V657&lt;=7,"Neutral",V657&gt;=8,"Satisfied")</f>
        <v>Neutral</v>
      </c>
      <c r="V657" s="3">
        <v>6</v>
      </c>
      <c r="W657" s="4" t="s">
        <v>85</v>
      </c>
      <c r="X657" s="4" t="s">
        <v>60</v>
      </c>
      <c r="Y657" s="4" t="s">
        <v>111</v>
      </c>
      <c r="Z657" s="1">
        <v>45524</v>
      </c>
      <c r="AA657" s="4" t="str" cm="1">
        <f t="array" ref="AA657">_xlfn.IFS(OR(AB657="December", AB657="February", AB657="January"), "Winter", OR(AB657="March", AB657="April", AB657="May"), "Spring", OR(AB657="June", AB657="July", AB657="August"), "Summer", TRUE, "Autumn")</f>
        <v>Summer</v>
      </c>
      <c r="AB657" s="7" t="str">
        <f>TEXT(Z657, "mmmm")</f>
        <v>August</v>
      </c>
      <c r="AC657" s="1" t="str">
        <f>TEXT(Z657, "dddd")</f>
        <v>Tuesday</v>
      </c>
      <c r="AD657" s="4" t="s">
        <v>62</v>
      </c>
      <c r="AE657" s="4" t="s">
        <v>62</v>
      </c>
      <c r="AF657" s="4" t="s">
        <v>102</v>
      </c>
      <c r="AG657" s="4" t="s">
        <v>93</v>
      </c>
      <c r="AH657" s="3">
        <v>10</v>
      </c>
    </row>
    <row r="658" spans="1:34">
      <c r="A658" s="4" t="s">
        <v>1408</v>
      </c>
      <c r="B658" s="3">
        <v>42</v>
      </c>
      <c r="C658" s="9" t="str" cm="1">
        <f t="array" ref="C658">_xlfn.IFS(B658&gt;65,"+65",B658&gt;54,"55-65",B658&gt;44,"45-54",B658&gt;35,"36-44",B658&gt;25,"26-35",B658&gt;=18,"18-25")</f>
        <v>36-44</v>
      </c>
      <c r="D658" s="4" t="s">
        <v>78</v>
      </c>
      <c r="E658" s="4" t="s">
        <v>51</v>
      </c>
      <c r="F658" s="4" t="s">
        <v>67</v>
      </c>
      <c r="G658" s="4" t="s">
        <v>80</v>
      </c>
      <c r="H658" s="4" t="s">
        <v>1409</v>
      </c>
      <c r="I658" s="4" t="s">
        <v>110</v>
      </c>
      <c r="J658" s="5">
        <v>264.3</v>
      </c>
      <c r="K658" s="3">
        <v>10</v>
      </c>
      <c r="L658" s="4" t="str">
        <f>IF(AND(J658&gt;350,K658&gt;6), "True","False")</f>
        <v>False</v>
      </c>
      <c r="M658" s="4" t="s">
        <v>71</v>
      </c>
      <c r="N658" s="3">
        <v>5</v>
      </c>
      <c r="O658" s="4" t="str" cm="1">
        <f t="array" ref="O658">_xlfn.IFS(P658&lt;=2,"Poor",P658=3,"Average",P658&gt;=4,"Good")</f>
        <v>Good</v>
      </c>
      <c r="P658" s="3">
        <v>4</v>
      </c>
      <c r="Q658" s="2">
        <v>1</v>
      </c>
      <c r="R658" s="4" t="s">
        <v>59</v>
      </c>
      <c r="S658" s="4" t="s">
        <v>58</v>
      </c>
      <c r="T658" s="3">
        <v>2</v>
      </c>
      <c r="U658" s="4" t="str" cm="1">
        <f t="array" ref="U658">_xlfn.IFS(V658&lt;=4, "Dissatisfied",V658&lt;=7,"Neutral",V658&gt;=8,"Satisfied")</f>
        <v>Dissatisfied</v>
      </c>
      <c r="V658" s="3">
        <v>2</v>
      </c>
      <c r="W658" s="4" t="s">
        <v>72</v>
      </c>
      <c r="X658" s="4" t="s">
        <v>60</v>
      </c>
      <c r="Y658" s="4" t="s">
        <v>86</v>
      </c>
      <c r="Z658" s="1">
        <v>45524</v>
      </c>
      <c r="AA658" s="4" t="str" cm="1">
        <f t="array" ref="AA658">_xlfn.IFS(OR(AB658="December", AB658="February", AB658="January"), "Winter", OR(AB658="March", AB658="April", AB658="May"), "Spring", OR(AB658="June", AB658="July", AB658="August"), "Summer", TRUE, "Autumn")</f>
        <v>Summer</v>
      </c>
      <c r="AB658" s="7" t="str">
        <f>TEXT(Z658, "mmmm")</f>
        <v>August</v>
      </c>
      <c r="AC658" s="1" t="str">
        <f>TEXT(Z658, "dddd")</f>
        <v>Tuesday</v>
      </c>
      <c r="AD658" s="4" t="s">
        <v>62</v>
      </c>
      <c r="AE658" s="4" t="s">
        <v>62</v>
      </c>
      <c r="AF658" s="4" t="s">
        <v>87</v>
      </c>
      <c r="AG658" s="4" t="s">
        <v>88</v>
      </c>
      <c r="AH658" s="3">
        <v>5</v>
      </c>
    </row>
    <row r="659" spans="1:34">
      <c r="A659" s="4" t="s">
        <v>1410</v>
      </c>
      <c r="B659" s="3">
        <v>18</v>
      </c>
      <c r="C659" s="9" t="str" cm="1">
        <f t="array" ref="C659">_xlfn.IFS(B659&gt;65,"+65",B659&gt;54,"55-65",B659&gt;44,"45-54",B659&gt;35,"36-44",B659&gt;25,"26-35",B659&gt;=18,"18-25")</f>
        <v>18-25</v>
      </c>
      <c r="D659" s="4" t="s">
        <v>160</v>
      </c>
      <c r="E659" s="4" t="s">
        <v>51</v>
      </c>
      <c r="F659" s="4" t="s">
        <v>52</v>
      </c>
      <c r="G659" s="4" t="s">
        <v>53</v>
      </c>
      <c r="H659" s="4" t="s">
        <v>1411</v>
      </c>
      <c r="I659" s="4" t="s">
        <v>118</v>
      </c>
      <c r="J659" s="5">
        <v>72.8</v>
      </c>
      <c r="K659" s="3">
        <v>11</v>
      </c>
      <c r="L659" s="4" t="str">
        <f>IF(AND(J659&gt;350,K659&gt;6), "True","False")</f>
        <v>False</v>
      </c>
      <c r="M659" s="4" t="s">
        <v>71</v>
      </c>
      <c r="N659" s="3">
        <v>2</v>
      </c>
      <c r="O659" s="4" t="str" cm="1">
        <f t="array" ref="O659">_xlfn.IFS(P659&lt;=2,"Poor",P659=3,"Average",P659&gt;=4,"Good")</f>
        <v>Good</v>
      </c>
      <c r="P659" s="3">
        <v>4</v>
      </c>
      <c r="Q659" s="2">
        <v>1</v>
      </c>
      <c r="R659" s="4" t="s">
        <v>72</v>
      </c>
      <c r="S659" s="4" t="s">
        <v>84</v>
      </c>
      <c r="T659" s="3">
        <v>2</v>
      </c>
      <c r="U659" s="4" t="str" cm="1">
        <f t="array" ref="U659">_xlfn.IFS(V659&lt;=4, "Dissatisfied",V659&lt;=7,"Neutral",V659&gt;=8,"Satisfied")</f>
        <v>Satisfied</v>
      </c>
      <c r="V659" s="3">
        <v>10</v>
      </c>
      <c r="W659" s="4" t="s">
        <v>72</v>
      </c>
      <c r="X659" s="4" t="s">
        <v>101</v>
      </c>
      <c r="Y659" s="4" t="s">
        <v>86</v>
      </c>
      <c r="Z659" s="1">
        <v>45524</v>
      </c>
      <c r="AA659" s="4" t="str" cm="1">
        <f t="array" ref="AA659">_xlfn.IFS(OR(AB659="December", AB659="February", AB659="January"), "Winter", OR(AB659="March", AB659="April", AB659="May"), "Spring", OR(AB659="June", AB659="July", AB659="August"), "Summer", TRUE, "Autumn")</f>
        <v>Summer</v>
      </c>
      <c r="AB659" s="7" t="str">
        <f>TEXT(Z659, "mmmm")</f>
        <v>August</v>
      </c>
      <c r="AC659" s="1" t="str">
        <f>TEXT(Z659, "dddd")</f>
        <v>Tuesday</v>
      </c>
      <c r="AD659" s="4" t="s">
        <v>62</v>
      </c>
      <c r="AE659" s="4" t="s">
        <v>76</v>
      </c>
      <c r="AF659" s="4" t="s">
        <v>63</v>
      </c>
      <c r="AG659" s="4" t="s">
        <v>93</v>
      </c>
      <c r="AH659" s="3">
        <v>3</v>
      </c>
    </row>
    <row r="660" spans="1:34">
      <c r="A660" s="4" t="s">
        <v>1412</v>
      </c>
      <c r="B660" s="3">
        <v>29</v>
      </c>
      <c r="C660" s="9" t="str" cm="1">
        <f t="array" ref="C660">_xlfn.IFS(B660&gt;65,"+65",B660&gt;54,"55-65",B660&gt;44,"45-54",B660&gt;35,"36-44",B660&gt;25,"26-35",B660&gt;=18,"18-25")</f>
        <v>26-35</v>
      </c>
      <c r="D660" s="4" t="s">
        <v>66</v>
      </c>
      <c r="E660" s="4" t="s">
        <v>72</v>
      </c>
      <c r="F660" s="4" t="s">
        <v>95</v>
      </c>
      <c r="G660" s="4" t="s">
        <v>68</v>
      </c>
      <c r="H660" s="4" t="s">
        <v>1413</v>
      </c>
      <c r="I660" s="4" t="s">
        <v>172</v>
      </c>
      <c r="J660" s="5">
        <v>206.79</v>
      </c>
      <c r="K660" s="3">
        <v>5</v>
      </c>
      <c r="L660" s="4" t="str">
        <f>IF(AND(J660&gt;350,K660&gt;6), "True","False")</f>
        <v>False</v>
      </c>
      <c r="M660" s="4" t="s">
        <v>71</v>
      </c>
      <c r="N660" s="3">
        <v>1</v>
      </c>
      <c r="O660" s="4" t="str" cm="1">
        <f t="array" ref="O660">_xlfn.IFS(P660&lt;=2,"Poor",P660=3,"Average",P660&gt;=4,"Good")</f>
        <v>Average</v>
      </c>
      <c r="P660" s="3">
        <v>3</v>
      </c>
      <c r="Q660" s="2">
        <v>2</v>
      </c>
      <c r="R660" s="4" t="s">
        <v>72</v>
      </c>
      <c r="S660" s="4" t="s">
        <v>73</v>
      </c>
      <c r="T660" s="3">
        <v>1</v>
      </c>
      <c r="U660" s="4" t="str" cm="1">
        <f t="array" ref="U660">_xlfn.IFS(V660&lt;=4, "Dissatisfied",V660&lt;=7,"Neutral",V660&gt;=8,"Satisfied")</f>
        <v>Dissatisfied</v>
      </c>
      <c r="V660" s="3">
        <v>2</v>
      </c>
      <c r="W660" s="4" t="s">
        <v>59</v>
      </c>
      <c r="X660" s="4" t="s">
        <v>74</v>
      </c>
      <c r="Y660" s="4" t="s">
        <v>119</v>
      </c>
      <c r="Z660" s="1">
        <v>45525</v>
      </c>
      <c r="AA660" s="4" t="str" cm="1">
        <f t="array" ref="AA660">_xlfn.IFS(OR(AB660="December", AB660="February", AB660="January"), "Winter", OR(AB660="March", AB660="April", AB660="May"), "Spring", OR(AB660="June", AB660="July", AB660="August"), "Summer", TRUE, "Autumn")</f>
        <v>Summer</v>
      </c>
      <c r="AB660" s="7" t="str">
        <f>TEXT(Z660, "mmmm")</f>
        <v>August</v>
      </c>
      <c r="AC660" s="1" t="str">
        <f>TEXT(Z660, "dddd")</f>
        <v>Wednesday</v>
      </c>
      <c r="AD660" s="4" t="s">
        <v>76</v>
      </c>
      <c r="AE660" s="4" t="s">
        <v>76</v>
      </c>
      <c r="AF660" s="4" t="s">
        <v>87</v>
      </c>
      <c r="AG660" s="4" t="s">
        <v>64</v>
      </c>
      <c r="AH660" s="3">
        <v>4</v>
      </c>
    </row>
    <row r="661" spans="1:34">
      <c r="A661" s="4" t="s">
        <v>1414</v>
      </c>
      <c r="B661" s="3">
        <v>27</v>
      </c>
      <c r="C661" s="9" t="str" cm="1">
        <f t="array" ref="C661">_xlfn.IFS(B661&gt;65,"+65",B661&gt;54,"55-65",B661&gt;44,"45-54",B661&gt;35,"36-44",B661&gt;25,"26-35",B661&gt;=18,"18-25")</f>
        <v>26-35</v>
      </c>
      <c r="D661" s="4" t="s">
        <v>66</v>
      </c>
      <c r="E661" s="4" t="s">
        <v>72</v>
      </c>
      <c r="F661" s="4" t="s">
        <v>95</v>
      </c>
      <c r="G661" s="4" t="s">
        <v>68</v>
      </c>
      <c r="H661" s="4" t="s">
        <v>1415</v>
      </c>
      <c r="I661" s="4" t="s">
        <v>110</v>
      </c>
      <c r="J661" s="5">
        <v>171.52</v>
      </c>
      <c r="K661" s="3">
        <v>3</v>
      </c>
      <c r="L661" s="4" t="str">
        <f>IF(AND(J661&gt;350,K661&gt;6), "True","False")</f>
        <v>False</v>
      </c>
      <c r="M661" s="4" t="s">
        <v>83</v>
      </c>
      <c r="N661" s="3">
        <v>5</v>
      </c>
      <c r="O661" s="4" t="str" cm="1">
        <f t="array" ref="O661">_xlfn.IFS(P661&lt;=2,"Poor",P661=3,"Average",P661&gt;=4,"Good")</f>
        <v>Good</v>
      </c>
      <c r="P661" s="3">
        <v>5</v>
      </c>
      <c r="Q661" s="2">
        <v>2</v>
      </c>
      <c r="R661" s="4" t="s">
        <v>85</v>
      </c>
      <c r="S661" s="4" t="s">
        <v>73</v>
      </c>
      <c r="T661" s="3">
        <v>1</v>
      </c>
      <c r="U661" s="4" t="str" cm="1">
        <f t="array" ref="U661">_xlfn.IFS(V661&lt;=4, "Dissatisfied",V661&lt;=7,"Neutral",V661&gt;=8,"Satisfied")</f>
        <v>Satisfied</v>
      </c>
      <c r="V661" s="3">
        <v>9</v>
      </c>
      <c r="W661" s="4" t="s">
        <v>85</v>
      </c>
      <c r="X661" s="4" t="s">
        <v>60</v>
      </c>
      <c r="Y661" s="4" t="s">
        <v>61</v>
      </c>
      <c r="Z661" s="1">
        <v>45525</v>
      </c>
      <c r="AA661" s="4" t="str" cm="1">
        <f t="array" ref="AA661">_xlfn.IFS(OR(AB661="December", AB661="February", AB661="January"), "Winter", OR(AB661="March", AB661="April", AB661="May"), "Spring", OR(AB661="June", AB661="July", AB661="August"), "Summer", TRUE, "Autumn")</f>
        <v>Summer</v>
      </c>
      <c r="AB661" s="7" t="str">
        <f>TEXT(Z661, "mmmm")</f>
        <v>August</v>
      </c>
      <c r="AC661" s="1" t="str">
        <f>TEXT(Z661, "dddd")</f>
        <v>Wednesday</v>
      </c>
      <c r="AD661" s="4" t="s">
        <v>62</v>
      </c>
      <c r="AE661" s="4" t="s">
        <v>62</v>
      </c>
      <c r="AF661" s="4" t="s">
        <v>87</v>
      </c>
      <c r="AG661" s="4" t="s">
        <v>64</v>
      </c>
      <c r="AH661" s="3">
        <v>12</v>
      </c>
    </row>
    <row r="662" spans="1:34">
      <c r="A662" s="4" t="s">
        <v>1416</v>
      </c>
      <c r="B662" s="3">
        <v>21</v>
      </c>
      <c r="C662" s="9" t="str" cm="1">
        <f t="array" ref="C662">_xlfn.IFS(B662&gt;65,"+65",B662&gt;54,"55-65",B662&gt;44,"45-54",B662&gt;35,"36-44",B662&gt;25,"26-35",B662&gt;=18,"18-25")</f>
        <v>18-25</v>
      </c>
      <c r="D662" s="4" t="s">
        <v>78</v>
      </c>
      <c r="E662" s="4" t="s">
        <v>72</v>
      </c>
      <c r="F662" s="4" t="s">
        <v>67</v>
      </c>
      <c r="G662" s="4" t="s">
        <v>80</v>
      </c>
      <c r="H662" s="4" t="s">
        <v>1417</v>
      </c>
      <c r="I662" s="4" t="s">
        <v>105</v>
      </c>
      <c r="J662" s="5">
        <v>182.54</v>
      </c>
      <c r="K662" s="3">
        <v>11</v>
      </c>
      <c r="L662" s="4" t="str">
        <f>IF(AND(J662&gt;350,K662&gt;6), "True","False")</f>
        <v>False</v>
      </c>
      <c r="M662" s="4" t="s">
        <v>83</v>
      </c>
      <c r="N662" s="3">
        <v>5</v>
      </c>
      <c r="O662" s="4" t="str" cm="1">
        <f t="array" ref="O662">_xlfn.IFS(P662&lt;=2,"Poor",P662=3,"Average",P662&gt;=4,"Good")</f>
        <v>Good</v>
      </c>
      <c r="P662" s="3">
        <v>5</v>
      </c>
      <c r="Q662" s="2">
        <v>1</v>
      </c>
      <c r="R662" s="4" t="s">
        <v>85</v>
      </c>
      <c r="S662" s="4" t="s">
        <v>84</v>
      </c>
      <c r="T662" s="3">
        <v>1</v>
      </c>
      <c r="U662" s="4" t="str" cm="1">
        <f t="array" ref="U662">_xlfn.IFS(V662&lt;=4, "Dissatisfied",V662&lt;=7,"Neutral",V662&gt;=8,"Satisfied")</f>
        <v>Dissatisfied</v>
      </c>
      <c r="V662" s="3">
        <v>1</v>
      </c>
      <c r="W662" s="4" t="s">
        <v>72</v>
      </c>
      <c r="X662" s="4" t="s">
        <v>74</v>
      </c>
      <c r="Y662" s="4" t="s">
        <v>61</v>
      </c>
      <c r="Z662" s="1">
        <v>45525</v>
      </c>
      <c r="AA662" s="4" t="str" cm="1">
        <f t="array" ref="AA662">_xlfn.IFS(OR(AB662="December", AB662="February", AB662="January"), "Winter", OR(AB662="March", AB662="April", AB662="May"), "Spring", OR(AB662="June", AB662="July", AB662="August"), "Summer", TRUE, "Autumn")</f>
        <v>Summer</v>
      </c>
      <c r="AB662" s="7" t="str">
        <f>TEXT(Z662, "mmmm")</f>
        <v>August</v>
      </c>
      <c r="AC662" s="1" t="str">
        <f>TEXT(Z662, "dddd")</f>
        <v>Wednesday</v>
      </c>
      <c r="AD662" s="4" t="s">
        <v>76</v>
      </c>
      <c r="AE662" s="4" t="s">
        <v>76</v>
      </c>
      <c r="AF662" s="4" t="s">
        <v>63</v>
      </c>
      <c r="AG662" s="4" t="s">
        <v>64</v>
      </c>
      <c r="AH662" s="3">
        <v>13</v>
      </c>
    </row>
    <row r="663" spans="1:34">
      <c r="A663" s="4" t="s">
        <v>1418</v>
      </c>
      <c r="B663" s="3">
        <v>49</v>
      </c>
      <c r="C663" s="9" t="str" cm="1">
        <f t="array" ref="C663">_xlfn.IFS(B663&gt;65,"+65",B663&gt;54,"55-65",B663&gt;44,"45-54",B663&gt;35,"36-44",B663&gt;25,"26-35",B663&gt;=18,"18-25")</f>
        <v>45-54</v>
      </c>
      <c r="D663" s="4" t="s">
        <v>78</v>
      </c>
      <c r="E663" s="4" t="s">
        <v>51</v>
      </c>
      <c r="F663" s="4" t="s">
        <v>67</v>
      </c>
      <c r="G663" s="4" t="s">
        <v>53</v>
      </c>
      <c r="H663" s="4" t="s">
        <v>1419</v>
      </c>
      <c r="I663" s="4" t="s">
        <v>133</v>
      </c>
      <c r="J663" s="5">
        <v>403.03</v>
      </c>
      <c r="K663" s="3">
        <v>12</v>
      </c>
      <c r="L663" s="4" t="str">
        <f>IF(AND(J663&gt;350,K663&gt;6), "True","False")</f>
        <v>True</v>
      </c>
      <c r="M663" s="4" t="s">
        <v>83</v>
      </c>
      <c r="N663" s="3">
        <v>1</v>
      </c>
      <c r="O663" s="4" t="str" cm="1">
        <f t="array" ref="O663">_xlfn.IFS(P663&lt;=2,"Poor",P663=3,"Average",P663&gt;=4,"Good")</f>
        <v>Good</v>
      </c>
      <c r="P663" s="3">
        <v>5</v>
      </c>
      <c r="Q663" s="2">
        <v>1</v>
      </c>
      <c r="R663" s="4" t="s">
        <v>85</v>
      </c>
      <c r="S663" s="4" t="s">
        <v>84</v>
      </c>
      <c r="T663" s="3">
        <v>0</v>
      </c>
      <c r="U663" s="4" t="str" cm="1">
        <f t="array" ref="U663">_xlfn.IFS(V663&lt;=4, "Dissatisfied",V663&lt;=7,"Neutral",V663&gt;=8,"Satisfied")</f>
        <v>Dissatisfied</v>
      </c>
      <c r="V663" s="3">
        <v>1</v>
      </c>
      <c r="W663" s="4" t="s">
        <v>72</v>
      </c>
      <c r="X663" s="4" t="s">
        <v>74</v>
      </c>
      <c r="Y663" s="4" t="s">
        <v>111</v>
      </c>
      <c r="Z663" s="1">
        <v>45526</v>
      </c>
      <c r="AA663" s="4" t="str" cm="1">
        <f t="array" ref="AA663">_xlfn.IFS(OR(AB663="December", AB663="February", AB663="January"), "Winter", OR(AB663="March", AB663="April", AB663="May"), "Spring", OR(AB663="June", AB663="July", AB663="August"), "Summer", TRUE, "Autumn")</f>
        <v>Summer</v>
      </c>
      <c r="AB663" s="7" t="str">
        <f>TEXT(Z663, "mmmm")</f>
        <v>August</v>
      </c>
      <c r="AC663" s="1" t="str">
        <f>TEXT(Z663, "dddd")</f>
        <v>Thursday</v>
      </c>
      <c r="AD663" s="4" t="s">
        <v>62</v>
      </c>
      <c r="AE663" s="4" t="s">
        <v>62</v>
      </c>
      <c r="AF663" s="4" t="s">
        <v>102</v>
      </c>
      <c r="AG663" s="4" t="s">
        <v>64</v>
      </c>
      <c r="AH663" s="3">
        <v>2</v>
      </c>
    </row>
    <row r="664" spans="1:34">
      <c r="A664" s="4" t="s">
        <v>1420</v>
      </c>
      <c r="B664" s="3">
        <v>34</v>
      </c>
      <c r="C664" s="9" t="str" cm="1">
        <f t="array" ref="C664">_xlfn.IFS(B664&gt;65,"+65",B664&gt;54,"55-65",B664&gt;44,"45-54",B664&gt;35,"36-44",B664&gt;25,"26-35",B664&gt;=18,"18-25")</f>
        <v>26-35</v>
      </c>
      <c r="D664" s="4" t="s">
        <v>66</v>
      </c>
      <c r="E664" s="4" t="s">
        <v>51</v>
      </c>
      <c r="F664" s="4" t="s">
        <v>52</v>
      </c>
      <c r="G664" s="4" t="s">
        <v>80</v>
      </c>
      <c r="H664" s="4" t="s">
        <v>1421</v>
      </c>
      <c r="I664" s="4" t="s">
        <v>122</v>
      </c>
      <c r="J664" s="5">
        <v>372.49</v>
      </c>
      <c r="K664" s="3">
        <v>12</v>
      </c>
      <c r="L664" s="4" t="str">
        <f>IF(AND(J664&gt;350,K664&gt;6), "True","False")</f>
        <v>True</v>
      </c>
      <c r="M664" s="4" t="s">
        <v>56</v>
      </c>
      <c r="N664" s="3">
        <v>4</v>
      </c>
      <c r="O664" s="4" t="str" cm="1">
        <f t="array" ref="O664">_xlfn.IFS(P664&lt;=2,"Poor",P664=3,"Average",P664&gt;=4,"Good")</f>
        <v>Average</v>
      </c>
      <c r="P664" s="3">
        <v>3</v>
      </c>
      <c r="Q664" s="2">
        <v>0</v>
      </c>
      <c r="R664" s="4" t="s">
        <v>72</v>
      </c>
      <c r="S664" s="4" t="s">
        <v>73</v>
      </c>
      <c r="T664" s="3">
        <v>0</v>
      </c>
      <c r="U664" s="4" t="str" cm="1">
        <f t="array" ref="U664">_xlfn.IFS(V664&lt;=4, "Dissatisfied",V664&lt;=7,"Neutral",V664&gt;=8,"Satisfied")</f>
        <v>Neutral</v>
      </c>
      <c r="V664" s="3">
        <v>5</v>
      </c>
      <c r="W664" s="4" t="s">
        <v>85</v>
      </c>
      <c r="X664" s="4" t="s">
        <v>101</v>
      </c>
      <c r="Y664" s="4" t="s">
        <v>75</v>
      </c>
      <c r="Z664" s="1">
        <v>45526</v>
      </c>
      <c r="AA664" s="4" t="str" cm="1">
        <f t="array" ref="AA664">_xlfn.IFS(OR(AB664="December", AB664="February", AB664="January"), "Winter", OR(AB664="March", AB664="April", AB664="May"), "Spring", OR(AB664="June", AB664="July", AB664="August"), "Summer", TRUE, "Autumn")</f>
        <v>Summer</v>
      </c>
      <c r="AB664" s="7" t="str">
        <f>TEXT(Z664, "mmmm")</f>
        <v>August</v>
      </c>
      <c r="AC664" s="1" t="str">
        <f>TEXT(Z664, "dddd")</f>
        <v>Thursday</v>
      </c>
      <c r="AD664" s="4" t="s">
        <v>62</v>
      </c>
      <c r="AE664" s="4" t="s">
        <v>76</v>
      </c>
      <c r="AF664" s="4" t="s">
        <v>87</v>
      </c>
      <c r="AG664" s="4" t="s">
        <v>88</v>
      </c>
      <c r="AH664" s="3">
        <v>7</v>
      </c>
    </row>
    <row r="665" spans="1:34">
      <c r="A665" s="4" t="s">
        <v>1422</v>
      </c>
      <c r="B665" s="3">
        <v>29</v>
      </c>
      <c r="C665" s="9" t="str" cm="1">
        <f t="array" ref="C665">_xlfn.IFS(B665&gt;65,"+65",B665&gt;54,"55-65",B665&gt;44,"45-54",B665&gt;35,"36-44",B665&gt;25,"26-35",B665&gt;=18,"18-25")</f>
        <v>26-35</v>
      </c>
      <c r="D665" s="4" t="s">
        <v>78</v>
      </c>
      <c r="E665" s="4" t="s">
        <v>72</v>
      </c>
      <c r="F665" s="4" t="s">
        <v>52</v>
      </c>
      <c r="G665" s="4" t="s">
        <v>53</v>
      </c>
      <c r="H665" s="4" t="s">
        <v>1423</v>
      </c>
      <c r="I665" s="4" t="s">
        <v>146</v>
      </c>
      <c r="J665" s="5">
        <v>279.33999999999997</v>
      </c>
      <c r="K665" s="3">
        <v>5</v>
      </c>
      <c r="L665" s="4" t="str">
        <f>IF(AND(J665&gt;350,K665&gt;6), "True","False")</f>
        <v>False</v>
      </c>
      <c r="M665" s="4" t="s">
        <v>83</v>
      </c>
      <c r="N665" s="3">
        <v>3</v>
      </c>
      <c r="O665" s="4" t="str" cm="1">
        <f t="array" ref="O665">_xlfn.IFS(P665&lt;=2,"Poor",P665=3,"Average",P665&gt;=4,"Good")</f>
        <v>Poor</v>
      </c>
      <c r="P665" s="3">
        <v>1</v>
      </c>
      <c r="Q665" s="2">
        <v>0</v>
      </c>
      <c r="R665" s="4" t="s">
        <v>85</v>
      </c>
      <c r="S665" s="4" t="s">
        <v>73</v>
      </c>
      <c r="T665" s="3">
        <v>2</v>
      </c>
      <c r="U665" s="4" t="str" cm="1">
        <f t="array" ref="U665">_xlfn.IFS(V665&lt;=4, "Dissatisfied",V665&lt;=7,"Neutral",V665&gt;=8,"Satisfied")</f>
        <v>Neutral</v>
      </c>
      <c r="V665" s="3">
        <v>6</v>
      </c>
      <c r="W665" s="4" t="s">
        <v>59</v>
      </c>
      <c r="X665" s="4" t="s">
        <v>74</v>
      </c>
      <c r="Y665" s="4" t="s">
        <v>86</v>
      </c>
      <c r="Z665" s="1">
        <v>45526</v>
      </c>
      <c r="AA665" s="4" t="str" cm="1">
        <f t="array" ref="AA665">_xlfn.IFS(OR(AB665="December", AB665="February", AB665="January"), "Winter", OR(AB665="March", AB665="April", AB665="May"), "Spring", OR(AB665="June", AB665="July", AB665="August"), "Summer", TRUE, "Autumn")</f>
        <v>Summer</v>
      </c>
      <c r="AB665" s="7" t="str">
        <f>TEXT(Z665, "mmmm")</f>
        <v>August</v>
      </c>
      <c r="AC665" s="1" t="str">
        <f>TEXT(Z665, "dddd")</f>
        <v>Thursday</v>
      </c>
      <c r="AD665" s="4" t="s">
        <v>76</v>
      </c>
      <c r="AE665" s="4" t="s">
        <v>62</v>
      </c>
      <c r="AF665" s="4" t="s">
        <v>102</v>
      </c>
      <c r="AG665" s="4" t="s">
        <v>88</v>
      </c>
      <c r="AH665" s="3">
        <v>11</v>
      </c>
    </row>
    <row r="666" spans="1:34">
      <c r="A666" s="4" t="s">
        <v>1424</v>
      </c>
      <c r="B666" s="3">
        <v>49</v>
      </c>
      <c r="C666" s="9" t="str" cm="1">
        <f t="array" ref="C666">_xlfn.IFS(B666&gt;65,"+65",B666&gt;54,"55-65",B666&gt;44,"45-54",B666&gt;35,"36-44",B666&gt;25,"26-35",B666&gt;=18,"18-25")</f>
        <v>45-54</v>
      </c>
      <c r="D666" s="4" t="s">
        <v>66</v>
      </c>
      <c r="E666" s="4" t="s">
        <v>51</v>
      </c>
      <c r="F666" s="4" t="s">
        <v>79</v>
      </c>
      <c r="G666" s="4" t="s">
        <v>68</v>
      </c>
      <c r="H666" s="4" t="s">
        <v>1425</v>
      </c>
      <c r="I666" s="4" t="s">
        <v>275</v>
      </c>
      <c r="J666" s="5">
        <v>192.51</v>
      </c>
      <c r="K666" s="3">
        <v>9</v>
      </c>
      <c r="L666" s="4" t="str">
        <f>IF(AND(J666&gt;350,K666&gt;6), "True","False")</f>
        <v>False</v>
      </c>
      <c r="M666" s="4" t="s">
        <v>83</v>
      </c>
      <c r="N666" s="3">
        <v>2</v>
      </c>
      <c r="O666" s="4" t="str" cm="1">
        <f t="array" ref="O666">_xlfn.IFS(P666&lt;=2,"Poor",P666=3,"Average",P666&gt;=4,"Good")</f>
        <v>Good</v>
      </c>
      <c r="P666" s="3">
        <v>5</v>
      </c>
      <c r="Q666" s="2">
        <v>2</v>
      </c>
      <c r="R666" s="4" t="s">
        <v>85</v>
      </c>
      <c r="S666" s="4" t="s">
        <v>73</v>
      </c>
      <c r="T666" s="3">
        <v>0</v>
      </c>
      <c r="U666" s="4" t="str" cm="1">
        <f t="array" ref="U666">_xlfn.IFS(V666&lt;=4, "Dissatisfied",V666&lt;=7,"Neutral",V666&gt;=8,"Satisfied")</f>
        <v>Dissatisfied</v>
      </c>
      <c r="V666" s="3">
        <v>2</v>
      </c>
      <c r="W666" s="4" t="s">
        <v>85</v>
      </c>
      <c r="X666" s="4" t="s">
        <v>60</v>
      </c>
      <c r="Y666" s="4" t="s">
        <v>119</v>
      </c>
      <c r="Z666" s="1">
        <v>45527</v>
      </c>
      <c r="AA666" s="4" t="str" cm="1">
        <f t="array" ref="AA666">_xlfn.IFS(OR(AB666="December", AB666="February", AB666="January"), "Winter", OR(AB666="March", AB666="April", AB666="May"), "Spring", OR(AB666="June", AB666="July", AB666="August"), "Summer", TRUE, "Autumn")</f>
        <v>Summer</v>
      </c>
      <c r="AB666" s="7" t="str">
        <f>TEXT(Z666, "mmmm")</f>
        <v>August</v>
      </c>
      <c r="AC666" s="1" t="str">
        <f>TEXT(Z666, "dddd")</f>
        <v>Friday</v>
      </c>
      <c r="AD666" s="4" t="s">
        <v>62</v>
      </c>
      <c r="AE666" s="4" t="s">
        <v>76</v>
      </c>
      <c r="AF666" s="4" t="s">
        <v>63</v>
      </c>
      <c r="AG666" s="4" t="s">
        <v>64</v>
      </c>
      <c r="AH666" s="3">
        <v>9</v>
      </c>
    </row>
    <row r="667" spans="1:34">
      <c r="A667" s="4" t="s">
        <v>1426</v>
      </c>
      <c r="B667" s="3">
        <v>49</v>
      </c>
      <c r="C667" s="9" t="str" cm="1">
        <f t="array" ref="C667">_xlfn.IFS(B667&gt;65,"+65",B667&gt;54,"55-65",B667&gt;44,"45-54",B667&gt;35,"36-44",B667&gt;25,"26-35",B667&gt;=18,"18-25")</f>
        <v>45-54</v>
      </c>
      <c r="D667" s="4" t="s">
        <v>78</v>
      </c>
      <c r="E667" s="4" t="s">
        <v>72</v>
      </c>
      <c r="F667" s="4" t="s">
        <v>95</v>
      </c>
      <c r="G667" s="4" t="s">
        <v>68</v>
      </c>
      <c r="H667" s="4" t="s">
        <v>1427</v>
      </c>
      <c r="I667" s="4" t="s">
        <v>105</v>
      </c>
      <c r="J667" s="5">
        <v>371.12</v>
      </c>
      <c r="K667" s="3">
        <v>8</v>
      </c>
      <c r="L667" s="4" t="str">
        <f>IF(AND(J667&gt;350,K667&gt;6), "True","False")</f>
        <v>True</v>
      </c>
      <c r="M667" s="4" t="s">
        <v>56</v>
      </c>
      <c r="N667" s="3">
        <v>5</v>
      </c>
      <c r="O667" s="4" t="str" cm="1">
        <f t="array" ref="O667">_xlfn.IFS(P667&lt;=2,"Poor",P667=3,"Average",P667&gt;=4,"Good")</f>
        <v>Poor</v>
      </c>
      <c r="P667" s="3">
        <v>1</v>
      </c>
      <c r="Q667" s="2">
        <v>2</v>
      </c>
      <c r="R667" s="4" t="s">
        <v>72</v>
      </c>
      <c r="S667" s="4" t="s">
        <v>84</v>
      </c>
      <c r="T667" s="3">
        <v>1</v>
      </c>
      <c r="U667" s="4" t="str" cm="1">
        <f t="array" ref="U667">_xlfn.IFS(V667&lt;=4, "Dissatisfied",V667&lt;=7,"Neutral",V667&gt;=8,"Satisfied")</f>
        <v>Neutral</v>
      </c>
      <c r="V667" s="3">
        <v>7</v>
      </c>
      <c r="W667" s="4" t="s">
        <v>59</v>
      </c>
      <c r="X667" s="4" t="s">
        <v>60</v>
      </c>
      <c r="Y667" s="4" t="s">
        <v>86</v>
      </c>
      <c r="Z667" s="1">
        <v>45527</v>
      </c>
      <c r="AA667" s="4" t="str" cm="1">
        <f t="array" ref="AA667">_xlfn.IFS(OR(AB667="December", AB667="February", AB667="January"), "Winter", OR(AB667="March", AB667="April", AB667="May"), "Spring", OR(AB667="June", AB667="July", AB667="August"), "Summer", TRUE, "Autumn")</f>
        <v>Summer</v>
      </c>
      <c r="AB667" s="7" t="str">
        <f>TEXT(Z667, "mmmm")</f>
        <v>August</v>
      </c>
      <c r="AC667" s="1" t="str">
        <f>TEXT(Z667, "dddd")</f>
        <v>Friday</v>
      </c>
      <c r="AD667" s="4" t="s">
        <v>76</v>
      </c>
      <c r="AE667" s="4" t="s">
        <v>62</v>
      </c>
      <c r="AF667" s="4" t="s">
        <v>102</v>
      </c>
      <c r="AG667" s="4" t="s">
        <v>88</v>
      </c>
      <c r="AH667" s="3">
        <v>8</v>
      </c>
    </row>
    <row r="668" spans="1:34">
      <c r="A668" s="4" t="s">
        <v>1428</v>
      </c>
      <c r="B668" s="3">
        <v>44</v>
      </c>
      <c r="C668" s="9" t="str" cm="1">
        <f t="array" ref="C668">_xlfn.IFS(B668&gt;65,"+65",B668&gt;54,"55-65",B668&gt;44,"45-54",B668&gt;35,"36-44",B668&gt;25,"26-35",B668&gt;=18,"18-25")</f>
        <v>36-44</v>
      </c>
      <c r="D668" s="4" t="s">
        <v>78</v>
      </c>
      <c r="E668" s="4" t="s">
        <v>51</v>
      </c>
      <c r="F668" s="4" t="s">
        <v>67</v>
      </c>
      <c r="G668" s="4" t="s">
        <v>68</v>
      </c>
      <c r="H668" s="4" t="s">
        <v>1429</v>
      </c>
      <c r="I668" s="4" t="s">
        <v>97</v>
      </c>
      <c r="J668" s="5">
        <v>114.93</v>
      </c>
      <c r="K668" s="3">
        <v>3</v>
      </c>
      <c r="L668" s="4" t="str">
        <f>IF(AND(J668&gt;350,K668&gt;6), "True","False")</f>
        <v>False</v>
      </c>
      <c r="M668" s="4" t="s">
        <v>71</v>
      </c>
      <c r="N668" s="3">
        <v>4</v>
      </c>
      <c r="O668" s="4" t="str" cm="1">
        <f t="array" ref="O668">_xlfn.IFS(P668&lt;=2,"Poor",P668=3,"Average",P668&gt;=4,"Good")</f>
        <v>Average</v>
      </c>
      <c r="P668" s="3">
        <v>3</v>
      </c>
      <c r="Q668" s="2">
        <v>1</v>
      </c>
      <c r="R668" s="4" t="s">
        <v>72</v>
      </c>
      <c r="S668" s="4" t="s">
        <v>84</v>
      </c>
      <c r="T668" s="3">
        <v>0</v>
      </c>
      <c r="U668" s="4" t="str" cm="1">
        <f t="array" ref="U668">_xlfn.IFS(V668&lt;=4, "Dissatisfied",V668&lt;=7,"Neutral",V668&gt;=8,"Satisfied")</f>
        <v>Dissatisfied</v>
      </c>
      <c r="V668" s="3">
        <v>4</v>
      </c>
      <c r="W668" s="4" t="s">
        <v>57</v>
      </c>
      <c r="X668" s="4" t="s">
        <v>101</v>
      </c>
      <c r="Y668" s="4" t="s">
        <v>111</v>
      </c>
      <c r="Z668" s="1">
        <v>45527</v>
      </c>
      <c r="AA668" s="4" t="str" cm="1">
        <f t="array" ref="AA668">_xlfn.IFS(OR(AB668="December", AB668="February", AB668="January"), "Winter", OR(AB668="March", AB668="April", AB668="May"), "Spring", OR(AB668="June", AB668="July", AB668="August"), "Summer", TRUE, "Autumn")</f>
        <v>Summer</v>
      </c>
      <c r="AB668" s="7" t="str">
        <f>TEXT(Z668, "mmmm")</f>
        <v>August</v>
      </c>
      <c r="AC668" s="1" t="str">
        <f>TEXT(Z668, "dddd")</f>
        <v>Friday</v>
      </c>
      <c r="AD668" s="4" t="s">
        <v>62</v>
      </c>
      <c r="AE668" s="4" t="s">
        <v>62</v>
      </c>
      <c r="AF668" s="4" t="s">
        <v>92</v>
      </c>
      <c r="AG668" s="4" t="s">
        <v>64</v>
      </c>
      <c r="AH668" s="3">
        <v>4</v>
      </c>
    </row>
    <row r="669" spans="1:34">
      <c r="A669" s="4" t="s">
        <v>1430</v>
      </c>
      <c r="B669" s="3">
        <v>24</v>
      </c>
      <c r="C669" s="9" t="str" cm="1">
        <f t="array" ref="C669">_xlfn.IFS(B669&gt;65,"+65",B669&gt;54,"55-65",B669&gt;44,"45-54",B669&gt;35,"36-44",B669&gt;25,"26-35",B669&gt;=18,"18-25")</f>
        <v>18-25</v>
      </c>
      <c r="D669" s="4" t="s">
        <v>66</v>
      </c>
      <c r="E669" s="4" t="s">
        <v>72</v>
      </c>
      <c r="F669" s="4" t="s">
        <v>67</v>
      </c>
      <c r="G669" s="4" t="s">
        <v>68</v>
      </c>
      <c r="H669" s="4" t="s">
        <v>1431</v>
      </c>
      <c r="I669" s="4" t="s">
        <v>82</v>
      </c>
      <c r="J669" s="5">
        <v>251.63</v>
      </c>
      <c r="K669" s="3">
        <v>9</v>
      </c>
      <c r="L669" s="4" t="str">
        <f>IF(AND(J669&gt;350,K669&gt;6), "True","False")</f>
        <v>False</v>
      </c>
      <c r="M669" s="4" t="s">
        <v>56</v>
      </c>
      <c r="N669" s="3">
        <v>3</v>
      </c>
      <c r="O669" s="4" t="str" cm="1">
        <f t="array" ref="O669">_xlfn.IFS(P669&lt;=2,"Poor",P669=3,"Average",P669&gt;=4,"Good")</f>
        <v>Poor</v>
      </c>
      <c r="P669" s="3">
        <v>1</v>
      </c>
      <c r="Q669" s="2">
        <v>0</v>
      </c>
      <c r="R669" s="4" t="s">
        <v>59</v>
      </c>
      <c r="S669" s="4" t="s">
        <v>58</v>
      </c>
      <c r="T669" s="3">
        <v>0</v>
      </c>
      <c r="U669" s="4" t="str" cm="1">
        <f t="array" ref="U669">_xlfn.IFS(V669&lt;=4, "Dissatisfied",V669&lt;=7,"Neutral",V669&gt;=8,"Satisfied")</f>
        <v>Dissatisfied</v>
      </c>
      <c r="V669" s="3">
        <v>2</v>
      </c>
      <c r="W669" s="4" t="s">
        <v>72</v>
      </c>
      <c r="X669" s="4" t="s">
        <v>101</v>
      </c>
      <c r="Y669" s="4" t="s">
        <v>119</v>
      </c>
      <c r="Z669" s="1">
        <v>45527</v>
      </c>
      <c r="AA669" s="4" t="str" cm="1">
        <f t="array" ref="AA669">_xlfn.IFS(OR(AB669="December", AB669="February", AB669="January"), "Winter", OR(AB669="March", AB669="April", AB669="May"), "Spring", OR(AB669="June", AB669="July", AB669="August"), "Summer", TRUE, "Autumn")</f>
        <v>Summer</v>
      </c>
      <c r="AB669" s="7" t="str">
        <f>TEXT(Z669, "mmmm")</f>
        <v>August</v>
      </c>
      <c r="AC669" s="1" t="str">
        <f>TEXT(Z669, "dddd")</f>
        <v>Friday</v>
      </c>
      <c r="AD669" s="4" t="s">
        <v>62</v>
      </c>
      <c r="AE669" s="4" t="s">
        <v>62</v>
      </c>
      <c r="AF669" s="4" t="s">
        <v>63</v>
      </c>
      <c r="AG669" s="4" t="s">
        <v>93</v>
      </c>
      <c r="AH669" s="3">
        <v>10</v>
      </c>
    </row>
    <row r="670" spans="1:34">
      <c r="A670" s="4" t="s">
        <v>1432</v>
      </c>
      <c r="B670" s="3">
        <v>21</v>
      </c>
      <c r="C670" s="9" t="str" cm="1">
        <f t="array" ref="C670">_xlfn.IFS(B670&gt;65,"+65",B670&gt;54,"55-65",B670&gt;44,"45-54",B670&gt;35,"36-44",B670&gt;25,"26-35",B670&gt;=18,"18-25")</f>
        <v>18-25</v>
      </c>
      <c r="D670" s="4" t="s">
        <v>66</v>
      </c>
      <c r="E670" s="4" t="s">
        <v>51</v>
      </c>
      <c r="F670" s="4" t="s">
        <v>79</v>
      </c>
      <c r="G670" s="4" t="s">
        <v>53</v>
      </c>
      <c r="H670" s="4" t="s">
        <v>1433</v>
      </c>
      <c r="I670" s="4" t="s">
        <v>82</v>
      </c>
      <c r="J670" s="5">
        <v>301.01</v>
      </c>
      <c r="K670" s="3">
        <v>9</v>
      </c>
      <c r="L670" s="4" t="str">
        <f>IF(AND(J670&gt;350,K670&gt;6), "True","False")</f>
        <v>False</v>
      </c>
      <c r="M670" s="4" t="s">
        <v>83</v>
      </c>
      <c r="N670" s="3">
        <v>2</v>
      </c>
      <c r="O670" s="4" t="str" cm="1">
        <f t="array" ref="O670">_xlfn.IFS(P670&lt;=2,"Poor",P670=3,"Average",P670&gt;=4,"Good")</f>
        <v>Poor</v>
      </c>
      <c r="P670" s="3">
        <v>1</v>
      </c>
      <c r="Q670" s="2">
        <v>2</v>
      </c>
      <c r="R670" s="4" t="s">
        <v>72</v>
      </c>
      <c r="S670" s="4" t="s">
        <v>58</v>
      </c>
      <c r="T670" s="3">
        <v>2</v>
      </c>
      <c r="U670" s="4" t="str" cm="1">
        <f t="array" ref="U670">_xlfn.IFS(V670&lt;=4, "Dissatisfied",V670&lt;=7,"Neutral",V670&gt;=8,"Satisfied")</f>
        <v>Satisfied</v>
      </c>
      <c r="V670" s="3">
        <v>8</v>
      </c>
      <c r="W670" s="4" t="s">
        <v>85</v>
      </c>
      <c r="X670" s="4" t="s">
        <v>60</v>
      </c>
      <c r="Y670" s="4" t="s">
        <v>111</v>
      </c>
      <c r="Z670" s="1">
        <v>45527</v>
      </c>
      <c r="AA670" s="4" t="str" cm="1">
        <f t="array" ref="AA670">_xlfn.IFS(OR(AB670="December", AB670="February", AB670="January"), "Winter", OR(AB670="March", AB670="April", AB670="May"), "Spring", OR(AB670="June", AB670="July", AB670="August"), "Summer", TRUE, "Autumn")</f>
        <v>Summer</v>
      </c>
      <c r="AB670" s="7" t="str">
        <f>TEXT(Z670, "mmmm")</f>
        <v>August</v>
      </c>
      <c r="AC670" s="1" t="str">
        <f>TEXT(Z670, "dddd")</f>
        <v>Friday</v>
      </c>
      <c r="AD670" s="4" t="s">
        <v>76</v>
      </c>
      <c r="AE670" s="4" t="s">
        <v>62</v>
      </c>
      <c r="AF670" s="4" t="s">
        <v>63</v>
      </c>
      <c r="AG670" s="4" t="s">
        <v>93</v>
      </c>
      <c r="AH670" s="3">
        <v>13</v>
      </c>
    </row>
    <row r="671" spans="1:34">
      <c r="A671" s="4" t="s">
        <v>1434</v>
      </c>
      <c r="B671" s="3">
        <v>26</v>
      </c>
      <c r="C671" s="9" t="str" cm="1">
        <f t="array" ref="C671">_xlfn.IFS(B671&gt;65,"+65",B671&gt;54,"55-65",B671&gt;44,"45-54",B671&gt;35,"36-44",B671&gt;25,"26-35",B671&gt;=18,"18-25")</f>
        <v>26-35</v>
      </c>
      <c r="D671" s="4" t="s">
        <v>78</v>
      </c>
      <c r="E671" s="4" t="s">
        <v>72</v>
      </c>
      <c r="F671" s="4" t="s">
        <v>79</v>
      </c>
      <c r="G671" s="4" t="s">
        <v>53</v>
      </c>
      <c r="H671" s="4" t="s">
        <v>1435</v>
      </c>
      <c r="I671" s="4" t="s">
        <v>100</v>
      </c>
      <c r="J671" s="5">
        <v>338.6</v>
      </c>
      <c r="K671" s="3">
        <v>10</v>
      </c>
      <c r="L671" s="4" t="str">
        <f>IF(AND(J671&gt;350,K671&gt;6), "True","False")</f>
        <v>False</v>
      </c>
      <c r="M671" s="4" t="s">
        <v>71</v>
      </c>
      <c r="N671" s="3">
        <v>1</v>
      </c>
      <c r="O671" s="4" t="str" cm="1">
        <f t="array" ref="O671">_xlfn.IFS(P671&lt;=2,"Poor",P671=3,"Average",P671&gt;=4,"Good")</f>
        <v>Average</v>
      </c>
      <c r="P671" s="3">
        <v>3</v>
      </c>
      <c r="Q671" s="2">
        <v>2</v>
      </c>
      <c r="R671" s="4" t="s">
        <v>85</v>
      </c>
      <c r="S671" s="4" t="s">
        <v>84</v>
      </c>
      <c r="T671" s="3">
        <v>1</v>
      </c>
      <c r="U671" s="4" t="str" cm="1">
        <f t="array" ref="U671">_xlfn.IFS(V671&lt;=4, "Dissatisfied",V671&lt;=7,"Neutral",V671&gt;=8,"Satisfied")</f>
        <v>Dissatisfied</v>
      </c>
      <c r="V671" s="3">
        <v>3</v>
      </c>
      <c r="W671" s="4" t="s">
        <v>85</v>
      </c>
      <c r="X671" s="4" t="s">
        <v>101</v>
      </c>
      <c r="Y671" s="4" t="s">
        <v>111</v>
      </c>
      <c r="Z671" s="1">
        <v>45528</v>
      </c>
      <c r="AA671" s="4" t="str" cm="1">
        <f t="array" ref="AA671">_xlfn.IFS(OR(AB671="December", AB671="February", AB671="January"), "Winter", OR(AB671="March", AB671="April", AB671="May"), "Spring", OR(AB671="June", AB671="July", AB671="August"), "Summer", TRUE, "Autumn")</f>
        <v>Summer</v>
      </c>
      <c r="AB671" s="7" t="str">
        <f>TEXT(Z671, "mmmm")</f>
        <v>August</v>
      </c>
      <c r="AC671" s="1" t="str">
        <f>TEXT(Z671, "dddd")</f>
        <v>Saturday</v>
      </c>
      <c r="AD671" s="4" t="s">
        <v>76</v>
      </c>
      <c r="AE671" s="4" t="s">
        <v>76</v>
      </c>
      <c r="AF671" s="4" t="s">
        <v>87</v>
      </c>
      <c r="AG671" s="4" t="s">
        <v>88</v>
      </c>
      <c r="AH671" s="3">
        <v>9</v>
      </c>
    </row>
    <row r="672" spans="1:34">
      <c r="A672" s="4" t="s">
        <v>1436</v>
      </c>
      <c r="B672" s="3">
        <v>24</v>
      </c>
      <c r="C672" s="9" t="str" cm="1">
        <f t="array" ref="C672">_xlfn.IFS(B672&gt;65,"+65",B672&gt;54,"55-65",B672&gt;44,"45-54",B672&gt;35,"36-44",B672&gt;25,"26-35",B672&gt;=18,"18-25")</f>
        <v>18-25</v>
      </c>
      <c r="D672" s="4" t="s">
        <v>78</v>
      </c>
      <c r="E672" s="4" t="s">
        <v>51</v>
      </c>
      <c r="F672" s="4" t="s">
        <v>79</v>
      </c>
      <c r="G672" s="4" t="s">
        <v>80</v>
      </c>
      <c r="H672" s="4" t="s">
        <v>1437</v>
      </c>
      <c r="I672" s="4" t="s">
        <v>91</v>
      </c>
      <c r="J672" s="5">
        <v>423.92</v>
      </c>
      <c r="K672" s="3">
        <v>8</v>
      </c>
      <c r="L672" s="4" t="str">
        <f>IF(AND(J672&gt;350,K672&gt;6), "True","False")</f>
        <v>True</v>
      </c>
      <c r="M672" s="4" t="s">
        <v>83</v>
      </c>
      <c r="N672" s="3">
        <v>3</v>
      </c>
      <c r="O672" s="4" t="str" cm="1">
        <f t="array" ref="O672">_xlfn.IFS(P672&lt;=2,"Poor",P672=3,"Average",P672&gt;=4,"Good")</f>
        <v>Poor</v>
      </c>
      <c r="P672" s="3">
        <v>1</v>
      </c>
      <c r="Q672" s="2">
        <v>2</v>
      </c>
      <c r="R672" s="4" t="s">
        <v>59</v>
      </c>
      <c r="S672" s="4" t="s">
        <v>84</v>
      </c>
      <c r="T672" s="3">
        <v>0</v>
      </c>
      <c r="U672" s="4" t="str" cm="1">
        <f t="array" ref="U672">_xlfn.IFS(V672&lt;=4, "Dissatisfied",V672&lt;=7,"Neutral",V672&gt;=8,"Satisfied")</f>
        <v>Satisfied</v>
      </c>
      <c r="V672" s="3">
        <v>9</v>
      </c>
      <c r="W672" s="4" t="s">
        <v>72</v>
      </c>
      <c r="X672" s="4" t="s">
        <v>74</v>
      </c>
      <c r="Y672" s="4" t="s">
        <v>119</v>
      </c>
      <c r="Z672" s="1">
        <v>45528</v>
      </c>
      <c r="AA672" s="4" t="str" cm="1">
        <f t="array" ref="AA672">_xlfn.IFS(OR(AB672="December", AB672="February", AB672="January"), "Winter", OR(AB672="March", AB672="April", AB672="May"), "Spring", OR(AB672="June", AB672="July", AB672="August"), "Summer", TRUE, "Autumn")</f>
        <v>Summer</v>
      </c>
      <c r="AB672" s="7" t="str">
        <f>TEXT(Z672, "mmmm")</f>
        <v>August</v>
      </c>
      <c r="AC672" s="1" t="str">
        <f>TEXT(Z672, "dddd")</f>
        <v>Saturday</v>
      </c>
      <c r="AD672" s="4" t="s">
        <v>76</v>
      </c>
      <c r="AE672" s="4" t="s">
        <v>62</v>
      </c>
      <c r="AF672" s="4" t="s">
        <v>63</v>
      </c>
      <c r="AG672" s="4" t="s">
        <v>64</v>
      </c>
      <c r="AH672" s="3">
        <v>8</v>
      </c>
    </row>
    <row r="673" spans="1:34">
      <c r="A673" s="4" t="s">
        <v>1438</v>
      </c>
      <c r="B673" s="3">
        <v>38</v>
      </c>
      <c r="C673" s="9" t="str" cm="1">
        <f t="array" ref="C673">_xlfn.IFS(B673&gt;65,"+65",B673&gt;54,"55-65",B673&gt;44,"45-54",B673&gt;35,"36-44",B673&gt;25,"26-35",B673&gt;=18,"18-25")</f>
        <v>36-44</v>
      </c>
      <c r="D673" s="4" t="s">
        <v>66</v>
      </c>
      <c r="E673" s="4" t="s">
        <v>51</v>
      </c>
      <c r="F673" s="4" t="s">
        <v>95</v>
      </c>
      <c r="G673" s="4" t="s">
        <v>53</v>
      </c>
      <c r="H673" s="4" t="s">
        <v>1439</v>
      </c>
      <c r="I673" s="4" t="s">
        <v>55</v>
      </c>
      <c r="J673" s="5">
        <v>244.6</v>
      </c>
      <c r="K673" s="3">
        <v>12</v>
      </c>
      <c r="L673" s="4" t="str">
        <f>IF(AND(J673&gt;350,K673&gt;6), "True","False")</f>
        <v>False</v>
      </c>
      <c r="M673" s="4" t="s">
        <v>56</v>
      </c>
      <c r="N673" s="3">
        <v>4</v>
      </c>
      <c r="O673" s="4" t="str" cm="1">
        <f t="array" ref="O673">_xlfn.IFS(P673&lt;=2,"Poor",P673=3,"Average",P673&gt;=4,"Good")</f>
        <v>Good</v>
      </c>
      <c r="P673" s="3">
        <v>4</v>
      </c>
      <c r="Q673" s="2">
        <v>2</v>
      </c>
      <c r="R673" s="4" t="s">
        <v>85</v>
      </c>
      <c r="S673" s="4" t="s">
        <v>84</v>
      </c>
      <c r="T673" s="3">
        <v>0</v>
      </c>
      <c r="U673" s="4" t="str" cm="1">
        <f t="array" ref="U673">_xlfn.IFS(V673&lt;=4, "Dissatisfied",V673&lt;=7,"Neutral",V673&gt;=8,"Satisfied")</f>
        <v>Neutral</v>
      </c>
      <c r="V673" s="3">
        <v>6</v>
      </c>
      <c r="W673" s="4" t="s">
        <v>57</v>
      </c>
      <c r="X673" s="4" t="s">
        <v>74</v>
      </c>
      <c r="Y673" s="4" t="s">
        <v>111</v>
      </c>
      <c r="Z673" s="1">
        <v>45529</v>
      </c>
      <c r="AA673" s="4" t="str" cm="1">
        <f t="array" ref="AA673">_xlfn.IFS(OR(AB673="December", AB673="February", AB673="January"), "Winter", OR(AB673="March", AB673="April", AB673="May"), "Spring", OR(AB673="June", AB673="July", AB673="August"), "Summer", TRUE, "Autumn")</f>
        <v>Summer</v>
      </c>
      <c r="AB673" s="7" t="str">
        <f>TEXT(Z673, "mmmm")</f>
        <v>August</v>
      </c>
      <c r="AC673" s="1" t="str">
        <f>TEXT(Z673, "dddd")</f>
        <v>Sunday</v>
      </c>
      <c r="AD673" s="4" t="s">
        <v>76</v>
      </c>
      <c r="AE673" s="4" t="s">
        <v>76</v>
      </c>
      <c r="AF673" s="4" t="s">
        <v>102</v>
      </c>
      <c r="AG673" s="4" t="s">
        <v>64</v>
      </c>
      <c r="AH673" s="3">
        <v>3</v>
      </c>
    </row>
    <row r="674" spans="1:34">
      <c r="A674" s="4" t="s">
        <v>1440</v>
      </c>
      <c r="B674" s="3">
        <v>25</v>
      </c>
      <c r="C674" s="9" t="str" cm="1">
        <f t="array" ref="C674">_xlfn.IFS(B674&gt;65,"+65",B674&gt;54,"55-65",B674&gt;44,"45-54",B674&gt;35,"36-44",B674&gt;25,"26-35",B674&gt;=18,"18-25")</f>
        <v>18-25</v>
      </c>
      <c r="D674" s="4" t="s">
        <v>78</v>
      </c>
      <c r="E674" s="4" t="s">
        <v>72</v>
      </c>
      <c r="F674" s="4" t="s">
        <v>67</v>
      </c>
      <c r="G674" s="4" t="s">
        <v>53</v>
      </c>
      <c r="H674" s="4" t="s">
        <v>1441</v>
      </c>
      <c r="I674" s="4" t="s">
        <v>194</v>
      </c>
      <c r="J674" s="5">
        <v>51.22</v>
      </c>
      <c r="K674" s="3">
        <v>6</v>
      </c>
      <c r="L674" s="4" t="str">
        <f>IF(AND(J674&gt;350,K674&gt;6), "True","False")</f>
        <v>False</v>
      </c>
      <c r="M674" s="4" t="s">
        <v>56</v>
      </c>
      <c r="N674" s="3">
        <v>2</v>
      </c>
      <c r="O674" s="4" t="str" cm="1">
        <f t="array" ref="O674">_xlfn.IFS(P674&lt;=2,"Poor",P674=3,"Average",P674&gt;=4,"Good")</f>
        <v>Poor</v>
      </c>
      <c r="P674" s="3">
        <v>1</v>
      </c>
      <c r="Q674" s="2">
        <v>0</v>
      </c>
      <c r="R674" s="4" t="s">
        <v>57</v>
      </c>
      <c r="S674" s="4" t="s">
        <v>73</v>
      </c>
      <c r="T674" s="3">
        <v>1</v>
      </c>
      <c r="U674" s="4" t="str" cm="1">
        <f t="array" ref="U674">_xlfn.IFS(V674&lt;=4, "Dissatisfied",V674&lt;=7,"Neutral",V674&gt;=8,"Satisfied")</f>
        <v>Neutral</v>
      </c>
      <c r="V674" s="3">
        <v>5</v>
      </c>
      <c r="W674" s="4" t="s">
        <v>85</v>
      </c>
      <c r="X674" s="4" t="s">
        <v>74</v>
      </c>
      <c r="Y674" s="4" t="s">
        <v>61</v>
      </c>
      <c r="Z674" s="1">
        <v>45529</v>
      </c>
      <c r="AA674" s="4" t="str" cm="1">
        <f t="array" ref="AA674">_xlfn.IFS(OR(AB674="December", AB674="February", AB674="January"), "Winter", OR(AB674="March", AB674="April", AB674="May"), "Spring", OR(AB674="June", AB674="July", AB674="August"), "Summer", TRUE, "Autumn")</f>
        <v>Summer</v>
      </c>
      <c r="AB674" s="7" t="str">
        <f>TEXT(Z674, "mmmm")</f>
        <v>August</v>
      </c>
      <c r="AC674" s="1" t="str">
        <f>TEXT(Z674, "dddd")</f>
        <v>Sunday</v>
      </c>
      <c r="AD674" s="4" t="s">
        <v>62</v>
      </c>
      <c r="AE674" s="4" t="s">
        <v>62</v>
      </c>
      <c r="AF674" s="4" t="s">
        <v>87</v>
      </c>
      <c r="AG674" s="4" t="s">
        <v>64</v>
      </c>
      <c r="AH674" s="3">
        <v>5</v>
      </c>
    </row>
    <row r="675" spans="1:34">
      <c r="A675" s="4" t="s">
        <v>1442</v>
      </c>
      <c r="B675" s="3">
        <v>41</v>
      </c>
      <c r="C675" s="9" t="str" cm="1">
        <f t="array" ref="C675">_xlfn.IFS(B675&gt;65,"+65",B675&gt;54,"55-65",B675&gt;44,"45-54",B675&gt;35,"36-44",B675&gt;25,"26-35",B675&gt;=18,"18-25")</f>
        <v>36-44</v>
      </c>
      <c r="D675" s="4" t="s">
        <v>78</v>
      </c>
      <c r="E675" s="4" t="s">
        <v>51</v>
      </c>
      <c r="F675" s="4" t="s">
        <v>79</v>
      </c>
      <c r="G675" s="4" t="s">
        <v>68</v>
      </c>
      <c r="H675" s="4" t="s">
        <v>1443</v>
      </c>
      <c r="I675" s="4" t="s">
        <v>194</v>
      </c>
      <c r="J675" s="5">
        <v>339.63</v>
      </c>
      <c r="K675" s="3">
        <v>2</v>
      </c>
      <c r="L675" s="4" t="str">
        <f>IF(AND(J675&gt;350,K675&gt;6), "True","False")</f>
        <v>False</v>
      </c>
      <c r="M675" s="4" t="s">
        <v>71</v>
      </c>
      <c r="N675" s="3">
        <v>3</v>
      </c>
      <c r="O675" s="4" t="str" cm="1">
        <f t="array" ref="O675">_xlfn.IFS(P675&lt;=2,"Poor",P675=3,"Average",P675&gt;=4,"Good")</f>
        <v>Average</v>
      </c>
      <c r="P675" s="3">
        <v>3</v>
      </c>
      <c r="Q675" s="2">
        <v>2</v>
      </c>
      <c r="R675" s="4" t="s">
        <v>85</v>
      </c>
      <c r="S675" s="4" t="s">
        <v>73</v>
      </c>
      <c r="T675" s="3">
        <v>2</v>
      </c>
      <c r="U675" s="4" t="str" cm="1">
        <f t="array" ref="U675">_xlfn.IFS(V675&lt;=4, "Dissatisfied",V675&lt;=7,"Neutral",V675&gt;=8,"Satisfied")</f>
        <v>Dissatisfied</v>
      </c>
      <c r="V675" s="3">
        <v>1</v>
      </c>
      <c r="W675" s="4" t="s">
        <v>59</v>
      </c>
      <c r="X675" s="4" t="s">
        <v>74</v>
      </c>
      <c r="Y675" s="4" t="s">
        <v>86</v>
      </c>
      <c r="Z675" s="1">
        <v>45530</v>
      </c>
      <c r="AA675" s="4" t="str" cm="1">
        <f t="array" ref="AA675">_xlfn.IFS(OR(AB675="December", AB675="February", AB675="January"), "Winter", OR(AB675="March", AB675="April", AB675="May"), "Spring", OR(AB675="June", AB675="July", AB675="August"), "Summer", TRUE, "Autumn")</f>
        <v>Summer</v>
      </c>
      <c r="AB675" s="7" t="str">
        <f>TEXT(Z675, "mmmm")</f>
        <v>August</v>
      </c>
      <c r="AC675" s="1" t="str">
        <f>TEXT(Z675, "dddd")</f>
        <v>Monday</v>
      </c>
      <c r="AD675" s="4" t="s">
        <v>62</v>
      </c>
      <c r="AE675" s="4" t="s">
        <v>76</v>
      </c>
      <c r="AF675" s="4" t="s">
        <v>92</v>
      </c>
      <c r="AG675" s="4" t="s">
        <v>88</v>
      </c>
      <c r="AH675" s="3">
        <v>6</v>
      </c>
    </row>
    <row r="676" spans="1:34">
      <c r="A676" s="4" t="s">
        <v>1444</v>
      </c>
      <c r="B676" s="3">
        <v>33</v>
      </c>
      <c r="C676" s="9" t="str" cm="1">
        <f t="array" ref="C676">_xlfn.IFS(B676&gt;65,"+65",B676&gt;54,"55-65",B676&gt;44,"45-54",B676&gt;35,"36-44",B676&gt;25,"26-35",B676&gt;=18,"18-25")</f>
        <v>26-35</v>
      </c>
      <c r="D676" s="4" t="s">
        <v>78</v>
      </c>
      <c r="E676" s="4" t="s">
        <v>51</v>
      </c>
      <c r="F676" s="4" t="s">
        <v>79</v>
      </c>
      <c r="G676" s="4" t="s">
        <v>80</v>
      </c>
      <c r="H676" s="4" t="s">
        <v>1445</v>
      </c>
      <c r="I676" s="4" t="s">
        <v>172</v>
      </c>
      <c r="J676" s="5">
        <v>377.77</v>
      </c>
      <c r="K676" s="3">
        <v>9</v>
      </c>
      <c r="L676" s="4" t="str">
        <f>IF(AND(J676&gt;350,K676&gt;6), "True","False")</f>
        <v>True</v>
      </c>
      <c r="M676" s="4" t="s">
        <v>83</v>
      </c>
      <c r="N676" s="3">
        <v>4</v>
      </c>
      <c r="O676" s="4" t="str" cm="1">
        <f t="array" ref="O676">_xlfn.IFS(P676&lt;=2,"Poor",P676=3,"Average",P676&gt;=4,"Good")</f>
        <v>Poor</v>
      </c>
      <c r="P676" s="3">
        <v>2</v>
      </c>
      <c r="Q676" s="2">
        <v>1</v>
      </c>
      <c r="R676" s="4" t="s">
        <v>85</v>
      </c>
      <c r="S676" s="4" t="s">
        <v>58</v>
      </c>
      <c r="T676" s="3">
        <v>1</v>
      </c>
      <c r="U676" s="4" t="str" cm="1">
        <f t="array" ref="U676">_xlfn.IFS(V676&lt;=4, "Dissatisfied",V676&lt;=7,"Neutral",V676&gt;=8,"Satisfied")</f>
        <v>Neutral</v>
      </c>
      <c r="V676" s="3">
        <v>5</v>
      </c>
      <c r="W676" s="4" t="s">
        <v>85</v>
      </c>
      <c r="X676" s="4" t="s">
        <v>74</v>
      </c>
      <c r="Y676" s="4" t="s">
        <v>119</v>
      </c>
      <c r="Z676" s="1">
        <v>45530</v>
      </c>
      <c r="AA676" s="4" t="str" cm="1">
        <f t="array" ref="AA676">_xlfn.IFS(OR(AB676="December", AB676="February", AB676="January"), "Winter", OR(AB676="March", AB676="April", AB676="May"), "Spring", OR(AB676="June", AB676="July", AB676="August"), "Summer", TRUE, "Autumn")</f>
        <v>Summer</v>
      </c>
      <c r="AB676" s="7" t="str">
        <f>TEXT(Z676, "mmmm")</f>
        <v>August</v>
      </c>
      <c r="AC676" s="1" t="str">
        <f>TEXT(Z676, "dddd")</f>
        <v>Monday</v>
      </c>
      <c r="AD676" s="4" t="s">
        <v>62</v>
      </c>
      <c r="AE676" s="4" t="s">
        <v>62</v>
      </c>
      <c r="AF676" s="4" t="s">
        <v>92</v>
      </c>
      <c r="AG676" s="4" t="s">
        <v>64</v>
      </c>
      <c r="AH676" s="3">
        <v>3</v>
      </c>
    </row>
    <row r="677" spans="1:34">
      <c r="A677" s="4" t="s">
        <v>1446</v>
      </c>
      <c r="B677" s="3">
        <v>19</v>
      </c>
      <c r="C677" s="9" t="str" cm="1">
        <f t="array" ref="C677">_xlfn.IFS(B677&gt;65,"+65",B677&gt;54,"55-65",B677&gt;44,"45-54",B677&gt;35,"36-44",B677&gt;25,"26-35",B677&gt;=18,"18-25")</f>
        <v>18-25</v>
      </c>
      <c r="D677" s="4" t="s">
        <v>66</v>
      </c>
      <c r="E677" s="4" t="s">
        <v>72</v>
      </c>
      <c r="F677" s="4" t="s">
        <v>52</v>
      </c>
      <c r="G677" s="4" t="s">
        <v>53</v>
      </c>
      <c r="H677" s="4" t="s">
        <v>1447</v>
      </c>
      <c r="I677" s="4" t="s">
        <v>133</v>
      </c>
      <c r="J677" s="5">
        <v>366.16</v>
      </c>
      <c r="K677" s="3">
        <v>12</v>
      </c>
      <c r="L677" s="4" t="str">
        <f>IF(AND(J677&gt;350,K677&gt;6), "True","False")</f>
        <v>True</v>
      </c>
      <c r="M677" s="4" t="s">
        <v>83</v>
      </c>
      <c r="N677" s="3">
        <v>4</v>
      </c>
      <c r="O677" s="4" t="str" cm="1">
        <f t="array" ref="O677">_xlfn.IFS(P677&lt;=2,"Poor",P677=3,"Average",P677&gt;=4,"Good")</f>
        <v>Good</v>
      </c>
      <c r="P677" s="3">
        <v>4</v>
      </c>
      <c r="Q677" s="2">
        <v>2</v>
      </c>
      <c r="R677" s="4" t="s">
        <v>85</v>
      </c>
      <c r="S677" s="4" t="s">
        <v>84</v>
      </c>
      <c r="T677" s="3">
        <v>1</v>
      </c>
      <c r="U677" s="4" t="str" cm="1">
        <f t="array" ref="U677">_xlfn.IFS(V677&lt;=4, "Dissatisfied",V677&lt;=7,"Neutral",V677&gt;=8,"Satisfied")</f>
        <v>Neutral</v>
      </c>
      <c r="V677" s="3">
        <v>5</v>
      </c>
      <c r="W677" s="4" t="s">
        <v>59</v>
      </c>
      <c r="X677" s="4" t="s">
        <v>101</v>
      </c>
      <c r="Y677" s="4" t="s">
        <v>119</v>
      </c>
      <c r="Z677" s="1">
        <v>45530</v>
      </c>
      <c r="AA677" s="4" t="str" cm="1">
        <f t="array" ref="AA677">_xlfn.IFS(OR(AB677="December", AB677="February", AB677="January"), "Winter", OR(AB677="March", AB677="April", AB677="May"), "Spring", OR(AB677="June", AB677="July", AB677="August"), "Summer", TRUE, "Autumn")</f>
        <v>Summer</v>
      </c>
      <c r="AB677" s="7" t="str">
        <f>TEXT(Z677, "mmmm")</f>
        <v>August</v>
      </c>
      <c r="AC677" s="1" t="str">
        <f>TEXT(Z677, "dddd")</f>
        <v>Monday</v>
      </c>
      <c r="AD677" s="4" t="s">
        <v>76</v>
      </c>
      <c r="AE677" s="4" t="s">
        <v>76</v>
      </c>
      <c r="AF677" s="4" t="s">
        <v>63</v>
      </c>
      <c r="AG677" s="4" t="s">
        <v>88</v>
      </c>
      <c r="AH677" s="3">
        <v>4</v>
      </c>
    </row>
    <row r="678" spans="1:34">
      <c r="A678" s="4" t="s">
        <v>1448</v>
      </c>
      <c r="B678" s="3">
        <v>45</v>
      </c>
      <c r="C678" s="9" t="str" cm="1">
        <f t="array" ref="C678">_xlfn.IFS(B678&gt;65,"+65",B678&gt;54,"55-65",B678&gt;44,"45-54",B678&gt;35,"36-44",B678&gt;25,"26-35",B678&gt;=18,"18-25")</f>
        <v>45-54</v>
      </c>
      <c r="D678" s="4" t="s">
        <v>78</v>
      </c>
      <c r="E678" s="4" t="s">
        <v>72</v>
      </c>
      <c r="F678" s="4" t="s">
        <v>67</v>
      </c>
      <c r="G678" s="4" t="s">
        <v>68</v>
      </c>
      <c r="H678" s="4" t="s">
        <v>1449</v>
      </c>
      <c r="I678" s="4" t="s">
        <v>151</v>
      </c>
      <c r="J678" s="5">
        <v>112.69</v>
      </c>
      <c r="K678" s="3">
        <v>10</v>
      </c>
      <c r="L678" s="4" t="str">
        <f>IF(AND(J678&gt;350,K678&gt;6), "True","False")</f>
        <v>False</v>
      </c>
      <c r="M678" s="4" t="s">
        <v>71</v>
      </c>
      <c r="N678" s="3">
        <v>1</v>
      </c>
      <c r="O678" s="4" t="str" cm="1">
        <f t="array" ref="O678">_xlfn.IFS(P678&lt;=2,"Poor",P678=3,"Average",P678&gt;=4,"Good")</f>
        <v>Good</v>
      </c>
      <c r="P678" s="3">
        <v>4</v>
      </c>
      <c r="Q678" s="2">
        <v>0</v>
      </c>
      <c r="R678" s="4" t="s">
        <v>72</v>
      </c>
      <c r="S678" s="4" t="s">
        <v>58</v>
      </c>
      <c r="T678" s="3">
        <v>0</v>
      </c>
      <c r="U678" s="4" t="str" cm="1">
        <f t="array" ref="U678">_xlfn.IFS(V678&lt;=4, "Dissatisfied",V678&lt;=7,"Neutral",V678&gt;=8,"Satisfied")</f>
        <v>Neutral</v>
      </c>
      <c r="V678" s="3">
        <v>7</v>
      </c>
      <c r="W678" s="4" t="s">
        <v>85</v>
      </c>
      <c r="X678" s="4" t="s">
        <v>60</v>
      </c>
      <c r="Y678" s="4" t="s">
        <v>75</v>
      </c>
      <c r="Z678" s="1">
        <v>45531</v>
      </c>
      <c r="AA678" s="4" t="str" cm="1">
        <f t="array" ref="AA678">_xlfn.IFS(OR(AB678="December", AB678="February", AB678="January"), "Winter", OR(AB678="March", AB678="April", AB678="May"), "Spring", OR(AB678="June", AB678="July", AB678="August"), "Summer", TRUE, "Autumn")</f>
        <v>Summer</v>
      </c>
      <c r="AB678" s="7" t="str">
        <f>TEXT(Z678, "mmmm")</f>
        <v>August</v>
      </c>
      <c r="AC678" s="1" t="str">
        <f>TEXT(Z678, "dddd")</f>
        <v>Tuesday</v>
      </c>
      <c r="AD678" s="4" t="s">
        <v>76</v>
      </c>
      <c r="AE678" s="4" t="s">
        <v>62</v>
      </c>
      <c r="AF678" s="4" t="s">
        <v>63</v>
      </c>
      <c r="AG678" s="4" t="s">
        <v>64</v>
      </c>
      <c r="AH678" s="3">
        <v>1</v>
      </c>
    </row>
    <row r="679" spans="1:34">
      <c r="A679" s="4" t="s">
        <v>1450</v>
      </c>
      <c r="B679" s="3">
        <v>41</v>
      </c>
      <c r="C679" s="9" t="str" cm="1">
        <f t="array" ref="C679">_xlfn.IFS(B679&gt;65,"+65",B679&gt;54,"55-65",B679&gt;44,"45-54",B679&gt;35,"36-44",B679&gt;25,"26-35",B679&gt;=18,"18-25")</f>
        <v>36-44</v>
      </c>
      <c r="D679" s="4" t="s">
        <v>66</v>
      </c>
      <c r="E679" s="4" t="s">
        <v>51</v>
      </c>
      <c r="F679" s="4" t="s">
        <v>67</v>
      </c>
      <c r="G679" s="4" t="s">
        <v>53</v>
      </c>
      <c r="H679" s="4" t="s">
        <v>1451</v>
      </c>
      <c r="I679" s="4" t="s">
        <v>156</v>
      </c>
      <c r="J679" s="5">
        <v>371.19</v>
      </c>
      <c r="K679" s="3">
        <v>10</v>
      </c>
      <c r="L679" s="4" t="str">
        <f>IF(AND(J679&gt;350,K679&gt;6), "True","False")</f>
        <v>True</v>
      </c>
      <c r="M679" s="4" t="s">
        <v>83</v>
      </c>
      <c r="N679" s="3">
        <v>1</v>
      </c>
      <c r="O679" s="4" t="str" cm="1">
        <f t="array" ref="O679">_xlfn.IFS(P679&lt;=2,"Poor",P679=3,"Average",P679&gt;=4,"Good")</f>
        <v>Poor</v>
      </c>
      <c r="P679" s="3">
        <v>2</v>
      </c>
      <c r="Q679" s="2">
        <v>2</v>
      </c>
      <c r="R679" s="4" t="s">
        <v>72</v>
      </c>
      <c r="S679" s="4" t="s">
        <v>84</v>
      </c>
      <c r="T679" s="3">
        <v>1</v>
      </c>
      <c r="U679" s="4" t="str" cm="1">
        <f t="array" ref="U679">_xlfn.IFS(V679&lt;=4, "Dissatisfied",V679&lt;=7,"Neutral",V679&gt;=8,"Satisfied")</f>
        <v>Satisfied</v>
      </c>
      <c r="V679" s="3">
        <v>8</v>
      </c>
      <c r="W679" s="4" t="s">
        <v>85</v>
      </c>
      <c r="X679" s="4" t="s">
        <v>101</v>
      </c>
      <c r="Y679" s="4" t="s">
        <v>119</v>
      </c>
      <c r="Z679" s="1">
        <v>45531</v>
      </c>
      <c r="AA679" s="4" t="str" cm="1">
        <f t="array" ref="AA679">_xlfn.IFS(OR(AB679="December", AB679="February", AB679="January"), "Winter", OR(AB679="March", AB679="April", AB679="May"), "Spring", OR(AB679="June", AB679="July", AB679="August"), "Summer", TRUE, "Autumn")</f>
        <v>Summer</v>
      </c>
      <c r="AB679" s="7" t="str">
        <f>TEXT(Z679, "mmmm")</f>
        <v>August</v>
      </c>
      <c r="AC679" s="1" t="str">
        <f>TEXT(Z679, "dddd")</f>
        <v>Tuesday</v>
      </c>
      <c r="AD679" s="4" t="s">
        <v>76</v>
      </c>
      <c r="AE679" s="4" t="s">
        <v>76</v>
      </c>
      <c r="AF679" s="4" t="s">
        <v>87</v>
      </c>
      <c r="AG679" s="4" t="s">
        <v>93</v>
      </c>
      <c r="AH679" s="3">
        <v>1</v>
      </c>
    </row>
    <row r="680" spans="1:34">
      <c r="A680" s="4" t="s">
        <v>1452</v>
      </c>
      <c r="B680" s="3">
        <v>41</v>
      </c>
      <c r="C680" s="9" t="str" cm="1">
        <f t="array" ref="C680">_xlfn.IFS(B680&gt;65,"+65",B680&gt;54,"55-65",B680&gt;44,"45-54",B680&gt;35,"36-44",B680&gt;25,"26-35",B680&gt;=18,"18-25")</f>
        <v>36-44</v>
      </c>
      <c r="D680" s="4" t="s">
        <v>78</v>
      </c>
      <c r="E680" s="4" t="s">
        <v>51</v>
      </c>
      <c r="F680" s="4" t="s">
        <v>79</v>
      </c>
      <c r="G680" s="4" t="s">
        <v>80</v>
      </c>
      <c r="H680" s="4" t="s">
        <v>1453</v>
      </c>
      <c r="I680" s="4" t="s">
        <v>97</v>
      </c>
      <c r="J680" s="5">
        <v>491.18</v>
      </c>
      <c r="K680" s="3">
        <v>3</v>
      </c>
      <c r="L680" s="4" t="str">
        <f>IF(AND(J680&gt;350,K680&gt;6), "True","False")</f>
        <v>False</v>
      </c>
      <c r="M680" s="4" t="s">
        <v>83</v>
      </c>
      <c r="N680" s="3">
        <v>4</v>
      </c>
      <c r="O680" s="4" t="str" cm="1">
        <f t="array" ref="O680">_xlfn.IFS(P680&lt;=2,"Poor",P680=3,"Average",P680&gt;=4,"Good")</f>
        <v>Good</v>
      </c>
      <c r="P680" s="3">
        <v>4</v>
      </c>
      <c r="Q680" s="2">
        <v>1</v>
      </c>
      <c r="R680" s="4" t="s">
        <v>72</v>
      </c>
      <c r="S680" s="4" t="s">
        <v>73</v>
      </c>
      <c r="T680" s="3">
        <v>0</v>
      </c>
      <c r="U680" s="4" t="str" cm="1">
        <f t="array" ref="U680">_xlfn.IFS(V680&lt;=4, "Dissatisfied",V680&lt;=7,"Neutral",V680&gt;=8,"Satisfied")</f>
        <v>Neutral</v>
      </c>
      <c r="V680" s="3">
        <v>6</v>
      </c>
      <c r="W680" s="4" t="s">
        <v>57</v>
      </c>
      <c r="X680" s="4" t="s">
        <v>60</v>
      </c>
      <c r="Y680" s="4" t="s">
        <v>61</v>
      </c>
      <c r="Z680" s="1">
        <v>45531</v>
      </c>
      <c r="AA680" s="4" t="str" cm="1">
        <f t="array" ref="AA680">_xlfn.IFS(OR(AB680="December", AB680="February", AB680="January"), "Winter", OR(AB680="March", AB680="April", AB680="May"), "Spring", OR(AB680="June", AB680="July", AB680="August"), "Summer", TRUE, "Autumn")</f>
        <v>Summer</v>
      </c>
      <c r="AB680" s="7" t="str">
        <f>TEXT(Z680, "mmmm")</f>
        <v>August</v>
      </c>
      <c r="AC680" s="1" t="str">
        <f>TEXT(Z680, "dddd")</f>
        <v>Tuesday</v>
      </c>
      <c r="AD680" s="4" t="s">
        <v>76</v>
      </c>
      <c r="AE680" s="4" t="s">
        <v>76</v>
      </c>
      <c r="AF680" s="4" t="s">
        <v>92</v>
      </c>
      <c r="AG680" s="4" t="s">
        <v>88</v>
      </c>
      <c r="AH680" s="3">
        <v>14</v>
      </c>
    </row>
    <row r="681" spans="1:34">
      <c r="A681" s="4" t="s">
        <v>1454</v>
      </c>
      <c r="B681" s="3">
        <v>32</v>
      </c>
      <c r="C681" s="9" t="str" cm="1">
        <f t="array" ref="C681">_xlfn.IFS(B681&gt;65,"+65",B681&gt;54,"55-65",B681&gt;44,"45-54",B681&gt;35,"36-44",B681&gt;25,"26-35",B681&gt;=18,"18-25")</f>
        <v>26-35</v>
      </c>
      <c r="D681" s="4" t="s">
        <v>66</v>
      </c>
      <c r="E681" s="4" t="s">
        <v>51</v>
      </c>
      <c r="F681" s="4" t="s">
        <v>52</v>
      </c>
      <c r="G681" s="4" t="s">
        <v>80</v>
      </c>
      <c r="H681" s="4" t="s">
        <v>1455</v>
      </c>
      <c r="I681" s="4" t="s">
        <v>110</v>
      </c>
      <c r="J681" s="5">
        <v>483.66</v>
      </c>
      <c r="K681" s="3">
        <v>3</v>
      </c>
      <c r="L681" s="4" t="str">
        <f>IF(AND(J681&gt;350,K681&gt;6), "True","False")</f>
        <v>False</v>
      </c>
      <c r="M681" s="4" t="s">
        <v>56</v>
      </c>
      <c r="N681" s="3">
        <v>1</v>
      </c>
      <c r="O681" s="4" t="str" cm="1">
        <f t="array" ref="O681">_xlfn.IFS(P681&lt;=2,"Poor",P681=3,"Average",P681&gt;=4,"Good")</f>
        <v>Good</v>
      </c>
      <c r="P681" s="3">
        <v>4</v>
      </c>
      <c r="Q681" s="2">
        <v>1</v>
      </c>
      <c r="R681" s="4" t="s">
        <v>85</v>
      </c>
      <c r="S681" s="4" t="s">
        <v>58</v>
      </c>
      <c r="T681" s="3">
        <v>2</v>
      </c>
      <c r="U681" s="4" t="str" cm="1">
        <f t="array" ref="U681">_xlfn.IFS(V681&lt;=4, "Dissatisfied",V681&lt;=7,"Neutral",V681&gt;=8,"Satisfied")</f>
        <v>Dissatisfied</v>
      </c>
      <c r="V681" s="3">
        <v>1</v>
      </c>
      <c r="W681" s="4" t="s">
        <v>85</v>
      </c>
      <c r="X681" s="4" t="s">
        <v>101</v>
      </c>
      <c r="Y681" s="4" t="s">
        <v>111</v>
      </c>
      <c r="Z681" s="1">
        <v>45531</v>
      </c>
      <c r="AA681" s="4" t="str" cm="1">
        <f t="array" ref="AA681">_xlfn.IFS(OR(AB681="December", AB681="February", AB681="January"), "Winter", OR(AB681="March", AB681="April", AB681="May"), "Spring", OR(AB681="June", AB681="July", AB681="August"), "Summer", TRUE, "Autumn")</f>
        <v>Summer</v>
      </c>
      <c r="AB681" s="7" t="str">
        <f>TEXT(Z681, "mmmm")</f>
        <v>August</v>
      </c>
      <c r="AC681" s="1" t="str">
        <f>TEXT(Z681, "dddd")</f>
        <v>Tuesday</v>
      </c>
      <c r="AD681" s="4" t="s">
        <v>76</v>
      </c>
      <c r="AE681" s="4" t="s">
        <v>76</v>
      </c>
      <c r="AF681" s="4" t="s">
        <v>92</v>
      </c>
      <c r="AG681" s="4" t="s">
        <v>64</v>
      </c>
      <c r="AH681" s="3">
        <v>9</v>
      </c>
    </row>
    <row r="682" spans="1:34">
      <c r="A682" s="4" t="s">
        <v>1456</v>
      </c>
      <c r="B682" s="3">
        <v>21</v>
      </c>
      <c r="C682" s="9" t="str" cm="1">
        <f t="array" ref="C682">_xlfn.IFS(B682&gt;65,"+65",B682&gt;54,"55-65",B682&gt;44,"45-54",B682&gt;35,"36-44",B682&gt;25,"26-35",B682&gt;=18,"18-25")</f>
        <v>18-25</v>
      </c>
      <c r="D682" s="4" t="s">
        <v>78</v>
      </c>
      <c r="E682" s="4" t="s">
        <v>72</v>
      </c>
      <c r="F682" s="4" t="s">
        <v>79</v>
      </c>
      <c r="G682" s="4" t="s">
        <v>80</v>
      </c>
      <c r="H682" s="4" t="s">
        <v>1457</v>
      </c>
      <c r="I682" s="4" t="s">
        <v>156</v>
      </c>
      <c r="J682" s="5">
        <v>212.63</v>
      </c>
      <c r="K682" s="3">
        <v>8</v>
      </c>
      <c r="L682" s="4" t="str">
        <f>IF(AND(J682&gt;350,K682&gt;6), "True","False")</f>
        <v>False</v>
      </c>
      <c r="M682" s="4" t="s">
        <v>56</v>
      </c>
      <c r="N682" s="3">
        <v>4</v>
      </c>
      <c r="O682" s="4" t="str" cm="1">
        <f t="array" ref="O682">_xlfn.IFS(P682&lt;=2,"Poor",P682=3,"Average",P682&gt;=4,"Good")</f>
        <v>Poor</v>
      </c>
      <c r="P682" s="3">
        <v>2</v>
      </c>
      <c r="Q682" s="2">
        <v>1</v>
      </c>
      <c r="R682" s="4" t="s">
        <v>59</v>
      </c>
      <c r="S682" s="4" t="s">
        <v>73</v>
      </c>
      <c r="T682" s="3">
        <v>0</v>
      </c>
      <c r="U682" s="4" t="str" cm="1">
        <f t="array" ref="U682">_xlfn.IFS(V682&lt;=4, "Dissatisfied",V682&lt;=7,"Neutral",V682&gt;=8,"Satisfied")</f>
        <v>Dissatisfied</v>
      </c>
      <c r="V682" s="3">
        <v>4</v>
      </c>
      <c r="W682" s="4" t="s">
        <v>72</v>
      </c>
      <c r="X682" s="4" t="s">
        <v>101</v>
      </c>
      <c r="Y682" s="4" t="s">
        <v>75</v>
      </c>
      <c r="Z682" s="1">
        <v>45531</v>
      </c>
      <c r="AA682" s="4" t="str" cm="1">
        <f t="array" ref="AA682">_xlfn.IFS(OR(AB682="December", AB682="February", AB682="January"), "Winter", OR(AB682="March", AB682="April", AB682="May"), "Spring", OR(AB682="June", AB682="July", AB682="August"), "Summer", TRUE, "Autumn")</f>
        <v>Summer</v>
      </c>
      <c r="AB682" s="7" t="str">
        <f>TEXT(Z682, "mmmm")</f>
        <v>August</v>
      </c>
      <c r="AC682" s="1" t="str">
        <f>TEXT(Z682, "dddd")</f>
        <v>Tuesday</v>
      </c>
      <c r="AD682" s="4" t="s">
        <v>76</v>
      </c>
      <c r="AE682" s="4" t="s">
        <v>62</v>
      </c>
      <c r="AF682" s="4" t="s">
        <v>63</v>
      </c>
      <c r="AG682" s="4" t="s">
        <v>88</v>
      </c>
      <c r="AH682" s="3">
        <v>6</v>
      </c>
    </row>
    <row r="683" spans="1:34">
      <c r="A683" s="4" t="s">
        <v>1458</v>
      </c>
      <c r="B683" s="3">
        <v>33</v>
      </c>
      <c r="C683" s="9" t="str" cm="1">
        <f t="array" ref="C683">_xlfn.IFS(B683&gt;65,"+65",B683&gt;54,"55-65",B683&gt;44,"45-54",B683&gt;35,"36-44",B683&gt;25,"26-35",B683&gt;=18,"18-25")</f>
        <v>26-35</v>
      </c>
      <c r="D683" s="4" t="s">
        <v>66</v>
      </c>
      <c r="E683" s="4" t="s">
        <v>51</v>
      </c>
      <c r="F683" s="4" t="s">
        <v>95</v>
      </c>
      <c r="G683" s="4" t="s">
        <v>53</v>
      </c>
      <c r="H683" s="4" t="s">
        <v>1459</v>
      </c>
      <c r="I683" s="4" t="s">
        <v>172</v>
      </c>
      <c r="J683" s="5">
        <v>332.79</v>
      </c>
      <c r="K683" s="3">
        <v>11</v>
      </c>
      <c r="L683" s="4" t="str">
        <f>IF(AND(J683&gt;350,K683&gt;6), "True","False")</f>
        <v>False</v>
      </c>
      <c r="M683" s="4" t="s">
        <v>56</v>
      </c>
      <c r="N683" s="3">
        <v>3</v>
      </c>
      <c r="O683" s="4" t="str" cm="1">
        <f t="array" ref="O683">_xlfn.IFS(P683&lt;=2,"Poor",P683=3,"Average",P683&gt;=4,"Good")</f>
        <v>Good</v>
      </c>
      <c r="P683" s="3">
        <v>5</v>
      </c>
      <c r="Q683" s="2">
        <v>2</v>
      </c>
      <c r="R683" s="4" t="s">
        <v>57</v>
      </c>
      <c r="S683" s="4" t="s">
        <v>58</v>
      </c>
      <c r="T683" s="3">
        <v>2</v>
      </c>
      <c r="U683" s="4" t="str" cm="1">
        <f t="array" ref="U683">_xlfn.IFS(V683&lt;=4, "Dissatisfied",V683&lt;=7,"Neutral",V683&gt;=8,"Satisfied")</f>
        <v>Dissatisfied</v>
      </c>
      <c r="V683" s="3">
        <v>1</v>
      </c>
      <c r="W683" s="4" t="s">
        <v>72</v>
      </c>
      <c r="X683" s="4" t="s">
        <v>74</v>
      </c>
      <c r="Y683" s="4" t="s">
        <v>86</v>
      </c>
      <c r="Z683" s="1">
        <v>45533</v>
      </c>
      <c r="AA683" s="4" t="str" cm="1">
        <f t="array" ref="AA683">_xlfn.IFS(OR(AB683="December", AB683="February", AB683="January"), "Winter", OR(AB683="March", AB683="April", AB683="May"), "Spring", OR(AB683="June", AB683="July", AB683="August"), "Summer", TRUE, "Autumn")</f>
        <v>Summer</v>
      </c>
      <c r="AB683" s="7" t="str">
        <f>TEXT(Z683, "mmmm")</f>
        <v>August</v>
      </c>
      <c r="AC683" s="1" t="str">
        <f>TEXT(Z683, "dddd")</f>
        <v>Thursday</v>
      </c>
      <c r="AD683" s="4" t="s">
        <v>76</v>
      </c>
      <c r="AE683" s="4" t="s">
        <v>76</v>
      </c>
      <c r="AF683" s="4" t="s">
        <v>102</v>
      </c>
      <c r="AG683" s="4" t="s">
        <v>88</v>
      </c>
      <c r="AH683" s="3">
        <v>4</v>
      </c>
    </row>
    <row r="684" spans="1:34">
      <c r="A684" s="4" t="s">
        <v>1460</v>
      </c>
      <c r="B684" s="3">
        <v>32</v>
      </c>
      <c r="C684" s="9" t="str" cm="1">
        <f t="array" ref="C684">_xlfn.IFS(B684&gt;65,"+65",B684&gt;54,"55-65",B684&gt;44,"45-54",B684&gt;35,"36-44",B684&gt;25,"26-35",B684&gt;=18,"18-25")</f>
        <v>26-35</v>
      </c>
      <c r="D684" s="4" t="s">
        <v>78</v>
      </c>
      <c r="E684" s="4" t="s">
        <v>51</v>
      </c>
      <c r="F684" s="4" t="s">
        <v>79</v>
      </c>
      <c r="G684" s="4" t="s">
        <v>53</v>
      </c>
      <c r="H684" s="4" t="s">
        <v>126</v>
      </c>
      <c r="I684" s="4" t="s">
        <v>169</v>
      </c>
      <c r="J684" s="5">
        <v>249.24</v>
      </c>
      <c r="K684" s="3">
        <v>8</v>
      </c>
      <c r="L684" s="4" t="str">
        <f>IF(AND(J684&gt;350,K684&gt;6), "True","False")</f>
        <v>False</v>
      </c>
      <c r="M684" s="4" t="s">
        <v>71</v>
      </c>
      <c r="N684" s="3">
        <v>4</v>
      </c>
      <c r="O684" s="4" t="str" cm="1">
        <f t="array" ref="O684">_xlfn.IFS(P684&lt;=2,"Poor",P684=3,"Average",P684&gt;=4,"Good")</f>
        <v>Average</v>
      </c>
      <c r="P684" s="3">
        <v>3</v>
      </c>
      <c r="Q684" s="2">
        <v>1</v>
      </c>
      <c r="R684" s="4" t="s">
        <v>85</v>
      </c>
      <c r="S684" s="4" t="s">
        <v>84</v>
      </c>
      <c r="T684" s="3">
        <v>2</v>
      </c>
      <c r="U684" s="4" t="str" cm="1">
        <f t="array" ref="U684">_xlfn.IFS(V684&lt;=4, "Dissatisfied",V684&lt;=7,"Neutral",V684&gt;=8,"Satisfied")</f>
        <v>Dissatisfied</v>
      </c>
      <c r="V684" s="3">
        <v>3</v>
      </c>
      <c r="W684" s="4" t="s">
        <v>72</v>
      </c>
      <c r="X684" s="4" t="s">
        <v>60</v>
      </c>
      <c r="Y684" s="4" t="s">
        <v>61</v>
      </c>
      <c r="Z684" s="1">
        <v>45533</v>
      </c>
      <c r="AA684" s="4" t="str" cm="1">
        <f t="array" ref="AA684">_xlfn.IFS(OR(AB684="December", AB684="February", AB684="January"), "Winter", OR(AB684="March", AB684="April", AB684="May"), "Spring", OR(AB684="June", AB684="July", AB684="August"), "Summer", TRUE, "Autumn")</f>
        <v>Summer</v>
      </c>
      <c r="AB684" s="7" t="str">
        <f>TEXT(Z684, "mmmm")</f>
        <v>August</v>
      </c>
      <c r="AC684" s="1" t="str">
        <f>TEXT(Z684, "dddd")</f>
        <v>Thursday</v>
      </c>
      <c r="AD684" s="4" t="s">
        <v>76</v>
      </c>
      <c r="AE684" s="4" t="s">
        <v>62</v>
      </c>
      <c r="AF684" s="4" t="s">
        <v>63</v>
      </c>
      <c r="AG684" s="4" t="s">
        <v>64</v>
      </c>
      <c r="AH684" s="3">
        <v>7</v>
      </c>
    </row>
    <row r="685" spans="1:34">
      <c r="A685" s="4" t="s">
        <v>1461</v>
      </c>
      <c r="B685" s="3">
        <v>26</v>
      </c>
      <c r="C685" s="9" t="str" cm="1">
        <f t="array" ref="C685">_xlfn.IFS(B685&gt;65,"+65",B685&gt;54,"55-65",B685&gt;44,"45-54",B685&gt;35,"36-44",B685&gt;25,"26-35",B685&gt;=18,"18-25")</f>
        <v>26-35</v>
      </c>
      <c r="D685" s="4" t="s">
        <v>78</v>
      </c>
      <c r="E685" s="4" t="s">
        <v>51</v>
      </c>
      <c r="F685" s="4" t="s">
        <v>79</v>
      </c>
      <c r="G685" s="4" t="s">
        <v>53</v>
      </c>
      <c r="H685" s="4" t="s">
        <v>568</v>
      </c>
      <c r="I685" s="4" t="s">
        <v>194</v>
      </c>
      <c r="J685" s="5">
        <v>228.47</v>
      </c>
      <c r="K685" s="3">
        <v>9</v>
      </c>
      <c r="L685" s="4" t="str">
        <f>IF(AND(J685&gt;350,K685&gt;6), "True","False")</f>
        <v>False</v>
      </c>
      <c r="M685" s="4" t="s">
        <v>56</v>
      </c>
      <c r="N685" s="3">
        <v>3</v>
      </c>
      <c r="O685" s="4" t="str" cm="1">
        <f t="array" ref="O685">_xlfn.IFS(P685&lt;=2,"Poor",P685=3,"Average",P685&gt;=4,"Good")</f>
        <v>Average</v>
      </c>
      <c r="P685" s="3">
        <v>3</v>
      </c>
      <c r="Q685" s="2">
        <v>1</v>
      </c>
      <c r="R685" s="4" t="s">
        <v>57</v>
      </c>
      <c r="S685" s="4" t="s">
        <v>73</v>
      </c>
      <c r="T685" s="3">
        <v>1</v>
      </c>
      <c r="U685" s="4" t="str" cm="1">
        <f t="array" ref="U685">_xlfn.IFS(V685&lt;=4, "Dissatisfied",V685&lt;=7,"Neutral",V685&gt;=8,"Satisfied")</f>
        <v>Neutral</v>
      </c>
      <c r="V685" s="3">
        <v>7</v>
      </c>
      <c r="W685" s="4" t="s">
        <v>57</v>
      </c>
      <c r="X685" s="4" t="s">
        <v>101</v>
      </c>
      <c r="Y685" s="4" t="s">
        <v>119</v>
      </c>
      <c r="Z685" s="1">
        <v>45533</v>
      </c>
      <c r="AA685" s="4" t="str" cm="1">
        <f t="array" ref="AA685">_xlfn.IFS(OR(AB685="December", AB685="February", AB685="January"), "Winter", OR(AB685="March", AB685="April", AB685="May"), "Spring", OR(AB685="June", AB685="July", AB685="August"), "Summer", TRUE, "Autumn")</f>
        <v>Summer</v>
      </c>
      <c r="AB685" s="7" t="str">
        <f>TEXT(Z685, "mmmm")</f>
        <v>August</v>
      </c>
      <c r="AC685" s="1" t="str">
        <f>TEXT(Z685, "dddd")</f>
        <v>Thursday</v>
      </c>
      <c r="AD685" s="4" t="s">
        <v>76</v>
      </c>
      <c r="AE685" s="4" t="s">
        <v>62</v>
      </c>
      <c r="AF685" s="4" t="s">
        <v>92</v>
      </c>
      <c r="AG685" s="4" t="s">
        <v>93</v>
      </c>
      <c r="AH685" s="3">
        <v>12</v>
      </c>
    </row>
    <row r="686" spans="1:34">
      <c r="A686" s="4" t="s">
        <v>1462</v>
      </c>
      <c r="B686" s="3">
        <v>34</v>
      </c>
      <c r="C686" s="9" t="str" cm="1">
        <f t="array" ref="C686">_xlfn.IFS(B686&gt;65,"+65",B686&gt;54,"55-65",B686&gt;44,"45-54",B686&gt;35,"36-44",B686&gt;25,"26-35",B686&gt;=18,"18-25")</f>
        <v>26-35</v>
      </c>
      <c r="D686" s="4" t="s">
        <v>66</v>
      </c>
      <c r="E686" s="4" t="s">
        <v>72</v>
      </c>
      <c r="F686" s="4" t="s">
        <v>67</v>
      </c>
      <c r="G686" s="4" t="s">
        <v>68</v>
      </c>
      <c r="H686" s="4" t="s">
        <v>1463</v>
      </c>
      <c r="I686" s="4" t="s">
        <v>156</v>
      </c>
      <c r="J686" s="5">
        <v>360.91</v>
      </c>
      <c r="K686" s="3">
        <v>4</v>
      </c>
      <c r="L686" s="4" t="str">
        <f>IF(AND(J686&gt;350,K686&gt;6), "True","False")</f>
        <v>False</v>
      </c>
      <c r="M686" s="4" t="s">
        <v>83</v>
      </c>
      <c r="N686" s="3">
        <v>3</v>
      </c>
      <c r="O686" s="4" t="str" cm="1">
        <f t="array" ref="O686">_xlfn.IFS(P686&lt;=2,"Poor",P686=3,"Average",P686&gt;=4,"Good")</f>
        <v>Good</v>
      </c>
      <c r="P686" s="3">
        <v>5</v>
      </c>
      <c r="Q686" s="2">
        <v>1</v>
      </c>
      <c r="R686" s="4" t="s">
        <v>72</v>
      </c>
      <c r="S686" s="4" t="s">
        <v>84</v>
      </c>
      <c r="T686" s="3">
        <v>0</v>
      </c>
      <c r="U686" s="4" t="str" cm="1">
        <f t="array" ref="U686">_xlfn.IFS(V686&lt;=4, "Dissatisfied",V686&lt;=7,"Neutral",V686&gt;=8,"Satisfied")</f>
        <v>Satisfied</v>
      </c>
      <c r="V686" s="3">
        <v>8</v>
      </c>
      <c r="W686" s="4" t="s">
        <v>72</v>
      </c>
      <c r="X686" s="4" t="s">
        <v>101</v>
      </c>
      <c r="Y686" s="4" t="s">
        <v>119</v>
      </c>
      <c r="Z686" s="1">
        <v>45534</v>
      </c>
      <c r="AA686" s="4" t="str" cm="1">
        <f t="array" ref="AA686">_xlfn.IFS(OR(AB686="December", AB686="February", AB686="January"), "Winter", OR(AB686="March", AB686="April", AB686="May"), "Spring", OR(AB686="June", AB686="July", AB686="August"), "Summer", TRUE, "Autumn")</f>
        <v>Summer</v>
      </c>
      <c r="AB686" s="7" t="str">
        <f>TEXT(Z686, "mmmm")</f>
        <v>August</v>
      </c>
      <c r="AC686" s="1" t="str">
        <f>TEXT(Z686, "dddd")</f>
        <v>Friday</v>
      </c>
      <c r="AD686" s="4" t="s">
        <v>62</v>
      </c>
      <c r="AE686" s="4" t="s">
        <v>62</v>
      </c>
      <c r="AF686" s="4" t="s">
        <v>87</v>
      </c>
      <c r="AG686" s="4" t="s">
        <v>88</v>
      </c>
      <c r="AH686" s="3">
        <v>4</v>
      </c>
    </row>
    <row r="687" spans="1:34">
      <c r="A687" s="4" t="s">
        <v>1464</v>
      </c>
      <c r="B687" s="3">
        <v>25</v>
      </c>
      <c r="C687" s="9" t="str" cm="1">
        <f t="array" ref="C687">_xlfn.IFS(B687&gt;65,"+65",B687&gt;54,"55-65",B687&gt;44,"45-54",B687&gt;35,"36-44",B687&gt;25,"26-35",B687&gt;=18,"18-25")</f>
        <v>18-25</v>
      </c>
      <c r="D687" s="4" t="s">
        <v>78</v>
      </c>
      <c r="E687" s="4" t="s">
        <v>51</v>
      </c>
      <c r="F687" s="4" t="s">
        <v>52</v>
      </c>
      <c r="G687" s="4" t="s">
        <v>80</v>
      </c>
      <c r="H687" s="4" t="s">
        <v>1465</v>
      </c>
      <c r="I687" s="4" t="s">
        <v>105</v>
      </c>
      <c r="J687" s="5">
        <v>365.1</v>
      </c>
      <c r="K687" s="3">
        <v>3</v>
      </c>
      <c r="L687" s="4" t="str">
        <f>IF(AND(J687&gt;350,K687&gt;6), "True","False")</f>
        <v>False</v>
      </c>
      <c r="M687" s="4" t="s">
        <v>71</v>
      </c>
      <c r="N687" s="3">
        <v>2</v>
      </c>
      <c r="O687" s="4" t="str" cm="1">
        <f t="array" ref="O687">_xlfn.IFS(P687&lt;=2,"Poor",P687=3,"Average",P687&gt;=4,"Good")</f>
        <v>Average</v>
      </c>
      <c r="P687" s="3">
        <v>3</v>
      </c>
      <c r="Q687" s="2">
        <v>0</v>
      </c>
      <c r="R687" s="4" t="s">
        <v>57</v>
      </c>
      <c r="S687" s="4" t="s">
        <v>58</v>
      </c>
      <c r="T687" s="3">
        <v>1</v>
      </c>
      <c r="U687" s="4" t="str" cm="1">
        <f t="array" ref="U687">_xlfn.IFS(V687&lt;=4, "Dissatisfied",V687&lt;=7,"Neutral",V687&gt;=8,"Satisfied")</f>
        <v>Dissatisfied</v>
      </c>
      <c r="V687" s="3">
        <v>3</v>
      </c>
      <c r="W687" s="4" t="s">
        <v>72</v>
      </c>
      <c r="X687" s="4" t="s">
        <v>101</v>
      </c>
      <c r="Y687" s="4" t="s">
        <v>75</v>
      </c>
      <c r="Z687" s="1">
        <v>45534</v>
      </c>
      <c r="AA687" s="4" t="str" cm="1">
        <f t="array" ref="AA687">_xlfn.IFS(OR(AB687="December", AB687="February", AB687="January"), "Winter", OR(AB687="March", AB687="April", AB687="May"), "Spring", OR(AB687="June", AB687="July", AB687="August"), "Summer", TRUE, "Autumn")</f>
        <v>Summer</v>
      </c>
      <c r="AB687" s="7" t="str">
        <f>TEXT(Z687, "mmmm")</f>
        <v>August</v>
      </c>
      <c r="AC687" s="1" t="str">
        <f>TEXT(Z687, "dddd")</f>
        <v>Friday</v>
      </c>
      <c r="AD687" s="4" t="s">
        <v>76</v>
      </c>
      <c r="AE687" s="4" t="s">
        <v>62</v>
      </c>
      <c r="AF687" s="4" t="s">
        <v>102</v>
      </c>
      <c r="AG687" s="4" t="s">
        <v>88</v>
      </c>
      <c r="AH687" s="3">
        <v>1</v>
      </c>
    </row>
    <row r="688" spans="1:34">
      <c r="A688" s="4" t="s">
        <v>1466</v>
      </c>
      <c r="B688" s="3">
        <v>22</v>
      </c>
      <c r="C688" s="9" t="str" cm="1">
        <f t="array" ref="C688">_xlfn.IFS(B688&gt;65,"+65",B688&gt;54,"55-65",B688&gt;44,"45-54",B688&gt;35,"36-44",B688&gt;25,"26-35",B688&gt;=18,"18-25")</f>
        <v>18-25</v>
      </c>
      <c r="D688" s="4" t="s">
        <v>232</v>
      </c>
      <c r="E688" s="4" t="s">
        <v>72</v>
      </c>
      <c r="F688" s="4" t="s">
        <v>79</v>
      </c>
      <c r="G688" s="4" t="s">
        <v>80</v>
      </c>
      <c r="H688" s="4" t="s">
        <v>1467</v>
      </c>
      <c r="I688" s="4" t="s">
        <v>151</v>
      </c>
      <c r="J688" s="5">
        <v>435.37</v>
      </c>
      <c r="K688" s="3">
        <v>11</v>
      </c>
      <c r="L688" s="4" t="str">
        <f>IF(AND(J688&gt;350,K688&gt;6), "True","False")</f>
        <v>True</v>
      </c>
      <c r="M688" s="4" t="s">
        <v>56</v>
      </c>
      <c r="N688" s="3">
        <v>4</v>
      </c>
      <c r="O688" s="4" t="str" cm="1">
        <f t="array" ref="O688">_xlfn.IFS(P688&lt;=2,"Poor",P688=3,"Average",P688&gt;=4,"Good")</f>
        <v>Poor</v>
      </c>
      <c r="P688" s="3">
        <v>2</v>
      </c>
      <c r="Q688" s="2">
        <v>1</v>
      </c>
      <c r="R688" s="4" t="s">
        <v>59</v>
      </c>
      <c r="S688" s="4" t="s">
        <v>73</v>
      </c>
      <c r="T688" s="3">
        <v>0</v>
      </c>
      <c r="U688" s="4" t="str" cm="1">
        <f t="array" ref="U688">_xlfn.IFS(V688&lt;=4, "Dissatisfied",V688&lt;=7,"Neutral",V688&gt;=8,"Satisfied")</f>
        <v>Dissatisfied</v>
      </c>
      <c r="V688" s="3">
        <v>3</v>
      </c>
      <c r="W688" s="4" t="s">
        <v>72</v>
      </c>
      <c r="X688" s="4" t="s">
        <v>74</v>
      </c>
      <c r="Y688" s="4" t="s">
        <v>119</v>
      </c>
      <c r="Z688" s="1">
        <v>45534</v>
      </c>
      <c r="AA688" s="4" t="str" cm="1">
        <f t="array" ref="AA688">_xlfn.IFS(OR(AB688="December", AB688="February", AB688="January"), "Winter", OR(AB688="March", AB688="April", AB688="May"), "Spring", OR(AB688="June", AB688="July", AB688="August"), "Summer", TRUE, "Autumn")</f>
        <v>Summer</v>
      </c>
      <c r="AB688" s="7" t="str">
        <f>TEXT(Z688, "mmmm")</f>
        <v>August</v>
      </c>
      <c r="AC688" s="1" t="str">
        <f>TEXT(Z688, "dddd")</f>
        <v>Friday</v>
      </c>
      <c r="AD688" s="4" t="s">
        <v>62</v>
      </c>
      <c r="AE688" s="4" t="s">
        <v>62</v>
      </c>
      <c r="AF688" s="4" t="s">
        <v>87</v>
      </c>
      <c r="AG688" s="4" t="s">
        <v>64</v>
      </c>
      <c r="AH688" s="3">
        <v>4</v>
      </c>
    </row>
    <row r="689" spans="1:34">
      <c r="A689" s="4" t="s">
        <v>1468</v>
      </c>
      <c r="B689" s="3">
        <v>19</v>
      </c>
      <c r="C689" s="9" t="str" cm="1">
        <f t="array" ref="C689">_xlfn.IFS(B689&gt;65,"+65",B689&gt;54,"55-65",B689&gt;44,"45-54",B689&gt;35,"36-44",B689&gt;25,"26-35",B689&gt;=18,"18-25")</f>
        <v>18-25</v>
      </c>
      <c r="D689" s="4" t="s">
        <v>456</v>
      </c>
      <c r="E689" s="4" t="s">
        <v>72</v>
      </c>
      <c r="F689" s="4" t="s">
        <v>52</v>
      </c>
      <c r="G689" s="4" t="s">
        <v>68</v>
      </c>
      <c r="H689" s="4" t="s">
        <v>1469</v>
      </c>
      <c r="I689" s="4" t="s">
        <v>223</v>
      </c>
      <c r="J689" s="5">
        <v>363.84</v>
      </c>
      <c r="K689" s="3">
        <v>11</v>
      </c>
      <c r="L689" s="4" t="str">
        <f>IF(AND(J689&gt;350,K689&gt;6), "True","False")</f>
        <v>True</v>
      </c>
      <c r="M689" s="4" t="s">
        <v>56</v>
      </c>
      <c r="N689" s="3">
        <v>3</v>
      </c>
      <c r="O689" s="4" t="str" cm="1">
        <f t="array" ref="O689">_xlfn.IFS(P689&lt;=2,"Poor",P689=3,"Average",P689&gt;=4,"Good")</f>
        <v>Poor</v>
      </c>
      <c r="P689" s="3">
        <v>2</v>
      </c>
      <c r="Q689" s="2">
        <v>1</v>
      </c>
      <c r="R689" s="4" t="s">
        <v>59</v>
      </c>
      <c r="S689" s="4" t="s">
        <v>58</v>
      </c>
      <c r="T689" s="3">
        <v>0</v>
      </c>
      <c r="U689" s="4" t="str" cm="1">
        <f t="array" ref="U689">_xlfn.IFS(V689&lt;=4, "Dissatisfied",V689&lt;=7,"Neutral",V689&gt;=8,"Satisfied")</f>
        <v>Dissatisfied</v>
      </c>
      <c r="V689" s="3">
        <v>3</v>
      </c>
      <c r="W689" s="4" t="s">
        <v>85</v>
      </c>
      <c r="X689" s="4" t="s">
        <v>101</v>
      </c>
      <c r="Y689" s="4" t="s">
        <v>61</v>
      </c>
      <c r="Z689" s="1">
        <v>45534</v>
      </c>
      <c r="AA689" s="4" t="str" cm="1">
        <f t="array" ref="AA689">_xlfn.IFS(OR(AB689="December", AB689="February", AB689="January"), "Winter", OR(AB689="March", AB689="April", AB689="May"), "Spring", OR(AB689="June", AB689="July", AB689="August"), "Summer", TRUE, "Autumn")</f>
        <v>Summer</v>
      </c>
      <c r="AB689" s="7" t="str">
        <f>TEXT(Z689, "mmmm")</f>
        <v>August</v>
      </c>
      <c r="AC689" s="1" t="str">
        <f>TEXT(Z689, "dddd")</f>
        <v>Friday</v>
      </c>
      <c r="AD689" s="4" t="s">
        <v>62</v>
      </c>
      <c r="AE689" s="4" t="s">
        <v>76</v>
      </c>
      <c r="AF689" s="4" t="s">
        <v>92</v>
      </c>
      <c r="AG689" s="4" t="s">
        <v>93</v>
      </c>
      <c r="AH689" s="3">
        <v>5</v>
      </c>
    </row>
    <row r="690" spans="1:34">
      <c r="A690" s="4" t="s">
        <v>1470</v>
      </c>
      <c r="B690" s="3">
        <v>18</v>
      </c>
      <c r="C690" s="9" t="str" cm="1">
        <f t="array" ref="C690">_xlfn.IFS(B690&gt;65,"+65",B690&gt;54,"55-65",B690&gt;44,"45-54",B690&gt;35,"36-44",B690&gt;25,"26-35",B690&gt;=18,"18-25")</f>
        <v>18-25</v>
      </c>
      <c r="D690" s="4" t="s">
        <v>66</v>
      </c>
      <c r="E690" s="4" t="s">
        <v>51</v>
      </c>
      <c r="F690" s="4" t="s">
        <v>52</v>
      </c>
      <c r="G690" s="4" t="s">
        <v>53</v>
      </c>
      <c r="H690" s="4" t="s">
        <v>1471</v>
      </c>
      <c r="I690" s="4" t="s">
        <v>156</v>
      </c>
      <c r="J690" s="5">
        <v>378.71</v>
      </c>
      <c r="K690" s="3">
        <v>5</v>
      </c>
      <c r="L690" s="4" t="str">
        <f>IF(AND(J690&gt;350,K690&gt;6), "True","False")</f>
        <v>False</v>
      </c>
      <c r="M690" s="4" t="s">
        <v>56</v>
      </c>
      <c r="N690" s="3">
        <v>4</v>
      </c>
      <c r="O690" s="4" t="str" cm="1">
        <f t="array" ref="O690">_xlfn.IFS(P690&lt;=2,"Poor",P690=3,"Average",P690&gt;=4,"Good")</f>
        <v>Poor</v>
      </c>
      <c r="P690" s="3">
        <v>1</v>
      </c>
      <c r="Q690" s="2">
        <v>2</v>
      </c>
      <c r="R690" s="4" t="s">
        <v>85</v>
      </c>
      <c r="S690" s="4" t="s">
        <v>84</v>
      </c>
      <c r="T690" s="3">
        <v>2</v>
      </c>
      <c r="U690" s="4" t="str" cm="1">
        <f t="array" ref="U690">_xlfn.IFS(V690&lt;=4, "Dissatisfied",V690&lt;=7,"Neutral",V690&gt;=8,"Satisfied")</f>
        <v>Neutral</v>
      </c>
      <c r="V690" s="3">
        <v>5</v>
      </c>
      <c r="W690" s="4" t="s">
        <v>57</v>
      </c>
      <c r="X690" s="4" t="s">
        <v>101</v>
      </c>
      <c r="Y690" s="4" t="s">
        <v>111</v>
      </c>
      <c r="Z690" s="1">
        <v>45534</v>
      </c>
      <c r="AA690" s="4" t="str" cm="1">
        <f t="array" ref="AA690">_xlfn.IFS(OR(AB690="December", AB690="February", AB690="January"), "Winter", OR(AB690="March", AB690="April", AB690="May"), "Spring", OR(AB690="June", AB690="July", AB690="August"), "Summer", TRUE, "Autumn")</f>
        <v>Summer</v>
      </c>
      <c r="AB690" s="7" t="str">
        <f>TEXT(Z690, "mmmm")</f>
        <v>August</v>
      </c>
      <c r="AC690" s="1" t="str">
        <f>TEXT(Z690, "dddd")</f>
        <v>Friday</v>
      </c>
      <c r="AD690" s="4" t="s">
        <v>62</v>
      </c>
      <c r="AE690" s="4" t="s">
        <v>62</v>
      </c>
      <c r="AF690" s="4" t="s">
        <v>87</v>
      </c>
      <c r="AG690" s="4" t="s">
        <v>93</v>
      </c>
      <c r="AH690" s="3">
        <v>14</v>
      </c>
    </row>
    <row r="691" spans="1:34">
      <c r="A691" s="4" t="s">
        <v>1472</v>
      </c>
      <c r="B691" s="3">
        <v>41</v>
      </c>
      <c r="C691" s="9" t="str" cm="1">
        <f t="array" ref="C691">_xlfn.IFS(B691&gt;65,"+65",B691&gt;54,"55-65",B691&gt;44,"45-54",B691&gt;35,"36-44",B691&gt;25,"26-35",B691&gt;=18,"18-25")</f>
        <v>36-44</v>
      </c>
      <c r="D691" s="4" t="s">
        <v>78</v>
      </c>
      <c r="E691" s="4" t="s">
        <v>72</v>
      </c>
      <c r="F691" s="4" t="s">
        <v>95</v>
      </c>
      <c r="G691" s="4" t="s">
        <v>80</v>
      </c>
      <c r="H691" s="4" t="s">
        <v>1473</v>
      </c>
      <c r="I691" s="4" t="s">
        <v>133</v>
      </c>
      <c r="J691" s="5">
        <v>441.15</v>
      </c>
      <c r="K691" s="3">
        <v>7</v>
      </c>
      <c r="L691" s="4" t="str">
        <f>IF(AND(J691&gt;350,K691&gt;6), "True","False")</f>
        <v>True</v>
      </c>
      <c r="M691" s="4" t="s">
        <v>56</v>
      </c>
      <c r="N691" s="3">
        <v>3</v>
      </c>
      <c r="O691" s="4" t="str" cm="1">
        <f t="array" ref="O691">_xlfn.IFS(P691&lt;=2,"Poor",P691=3,"Average",P691&gt;=4,"Good")</f>
        <v>Poor</v>
      </c>
      <c r="P691" s="3">
        <v>1</v>
      </c>
      <c r="Q691" s="2">
        <v>1</v>
      </c>
      <c r="R691" s="4" t="s">
        <v>59</v>
      </c>
      <c r="S691" s="4" t="s">
        <v>84</v>
      </c>
      <c r="T691" s="3">
        <v>1</v>
      </c>
      <c r="U691" s="4" t="str" cm="1">
        <f t="array" ref="U691">_xlfn.IFS(V691&lt;=4, "Dissatisfied",V691&lt;=7,"Neutral",V691&gt;=8,"Satisfied")</f>
        <v>Dissatisfied</v>
      </c>
      <c r="V691" s="3">
        <v>1</v>
      </c>
      <c r="W691" s="4" t="s">
        <v>57</v>
      </c>
      <c r="X691" s="4" t="s">
        <v>60</v>
      </c>
      <c r="Y691" s="4" t="s">
        <v>75</v>
      </c>
      <c r="Z691" s="1">
        <v>45535</v>
      </c>
      <c r="AA691" s="4" t="str" cm="1">
        <f t="array" ref="AA691">_xlfn.IFS(OR(AB691="December", AB691="February", AB691="January"), "Winter", OR(AB691="March", AB691="April", AB691="May"), "Spring", OR(AB691="June", AB691="July", AB691="August"), "Summer", TRUE, "Autumn")</f>
        <v>Summer</v>
      </c>
      <c r="AB691" s="7" t="str">
        <f>TEXT(Z691, "mmmm")</f>
        <v>August</v>
      </c>
      <c r="AC691" s="1" t="str">
        <f>TEXT(Z691, "dddd")</f>
        <v>Saturday</v>
      </c>
      <c r="AD691" s="4" t="s">
        <v>76</v>
      </c>
      <c r="AE691" s="4" t="s">
        <v>76</v>
      </c>
      <c r="AF691" s="4" t="s">
        <v>63</v>
      </c>
      <c r="AG691" s="4" t="s">
        <v>88</v>
      </c>
      <c r="AH691" s="3">
        <v>8</v>
      </c>
    </row>
    <row r="692" spans="1:34">
      <c r="A692" s="4" t="s">
        <v>1474</v>
      </c>
      <c r="B692" s="3">
        <v>27</v>
      </c>
      <c r="C692" s="9" t="str" cm="1">
        <f t="array" ref="C692">_xlfn.IFS(B692&gt;65,"+65",B692&gt;54,"55-65",B692&gt;44,"45-54",B692&gt;35,"36-44",B692&gt;25,"26-35",B692&gt;=18,"18-25")</f>
        <v>26-35</v>
      </c>
      <c r="D692" s="4" t="s">
        <v>78</v>
      </c>
      <c r="E692" s="4" t="s">
        <v>72</v>
      </c>
      <c r="F692" s="4" t="s">
        <v>67</v>
      </c>
      <c r="G692" s="4" t="s">
        <v>68</v>
      </c>
      <c r="H692" s="4" t="s">
        <v>1475</v>
      </c>
      <c r="I692" s="4" t="s">
        <v>91</v>
      </c>
      <c r="J692" s="5">
        <v>225.12</v>
      </c>
      <c r="K692" s="3">
        <v>11</v>
      </c>
      <c r="L692" s="4" t="str">
        <f>IF(AND(J692&gt;350,K692&gt;6), "True","False")</f>
        <v>False</v>
      </c>
      <c r="M692" s="4" t="s">
        <v>71</v>
      </c>
      <c r="N692" s="3">
        <v>3</v>
      </c>
      <c r="O692" s="4" t="str" cm="1">
        <f t="array" ref="O692">_xlfn.IFS(P692&lt;=2,"Poor",P692=3,"Average",P692&gt;=4,"Good")</f>
        <v>Poor</v>
      </c>
      <c r="P692" s="3">
        <v>2</v>
      </c>
      <c r="Q692" s="2">
        <v>1</v>
      </c>
      <c r="R692" s="4" t="s">
        <v>85</v>
      </c>
      <c r="S692" s="4" t="s">
        <v>84</v>
      </c>
      <c r="T692" s="3">
        <v>0</v>
      </c>
      <c r="U692" s="4" t="str" cm="1">
        <f t="array" ref="U692">_xlfn.IFS(V692&lt;=4, "Dissatisfied",V692&lt;=7,"Neutral",V692&gt;=8,"Satisfied")</f>
        <v>Dissatisfied</v>
      </c>
      <c r="V692" s="3">
        <v>1</v>
      </c>
      <c r="W692" s="4" t="s">
        <v>57</v>
      </c>
      <c r="X692" s="4" t="s">
        <v>101</v>
      </c>
      <c r="Y692" s="4" t="s">
        <v>61</v>
      </c>
      <c r="Z692" s="1">
        <v>45535</v>
      </c>
      <c r="AA692" s="4" t="str" cm="1">
        <f t="array" ref="AA692">_xlfn.IFS(OR(AB692="December", AB692="February", AB692="January"), "Winter", OR(AB692="March", AB692="April", AB692="May"), "Spring", OR(AB692="June", AB692="July", AB692="August"), "Summer", TRUE, "Autumn")</f>
        <v>Summer</v>
      </c>
      <c r="AB692" s="7" t="str">
        <f>TEXT(Z692, "mmmm")</f>
        <v>August</v>
      </c>
      <c r="AC692" s="1" t="str">
        <f>TEXT(Z692, "dddd")</f>
        <v>Saturday</v>
      </c>
      <c r="AD692" s="4" t="s">
        <v>62</v>
      </c>
      <c r="AE692" s="4" t="s">
        <v>76</v>
      </c>
      <c r="AF692" s="4" t="s">
        <v>87</v>
      </c>
      <c r="AG692" s="4" t="s">
        <v>93</v>
      </c>
      <c r="AH692" s="3">
        <v>6</v>
      </c>
    </row>
    <row r="693" spans="1:34">
      <c r="A693" s="4" t="s">
        <v>1476</v>
      </c>
      <c r="B693" s="3">
        <v>25</v>
      </c>
      <c r="C693" s="9" t="str" cm="1">
        <f t="array" ref="C693">_xlfn.IFS(B693&gt;65,"+65",B693&gt;54,"55-65",B693&gt;44,"45-54",B693&gt;35,"36-44",B693&gt;25,"26-35",B693&gt;=18,"18-25")</f>
        <v>18-25</v>
      </c>
      <c r="D693" s="4" t="s">
        <v>66</v>
      </c>
      <c r="E693" s="4" t="s">
        <v>51</v>
      </c>
      <c r="F693" s="4" t="s">
        <v>52</v>
      </c>
      <c r="G693" s="4" t="s">
        <v>80</v>
      </c>
      <c r="H693" s="4" t="s">
        <v>1477</v>
      </c>
      <c r="I693" s="4" t="s">
        <v>97</v>
      </c>
      <c r="J693" s="5">
        <v>85.57</v>
      </c>
      <c r="K693" s="3">
        <v>12</v>
      </c>
      <c r="L693" s="4" t="str">
        <f>IF(AND(J693&gt;350,K693&gt;6), "True","False")</f>
        <v>False</v>
      </c>
      <c r="M693" s="4" t="s">
        <v>71</v>
      </c>
      <c r="N693" s="3">
        <v>2</v>
      </c>
      <c r="O693" s="4" t="str" cm="1">
        <f t="array" ref="O693">_xlfn.IFS(P693&lt;=2,"Poor",P693=3,"Average",P693&gt;=4,"Good")</f>
        <v>Poor</v>
      </c>
      <c r="P693" s="3">
        <v>1</v>
      </c>
      <c r="Q693" s="2">
        <v>1</v>
      </c>
      <c r="R693" s="4" t="s">
        <v>59</v>
      </c>
      <c r="S693" s="4" t="s">
        <v>73</v>
      </c>
      <c r="T693" s="3">
        <v>2</v>
      </c>
      <c r="U693" s="4" t="str" cm="1">
        <f t="array" ref="U693">_xlfn.IFS(V693&lt;=4, "Dissatisfied",V693&lt;=7,"Neutral",V693&gt;=8,"Satisfied")</f>
        <v>Dissatisfied</v>
      </c>
      <c r="V693" s="3">
        <v>4</v>
      </c>
      <c r="W693" s="4" t="s">
        <v>85</v>
      </c>
      <c r="X693" s="4" t="s">
        <v>74</v>
      </c>
      <c r="Y693" s="4" t="s">
        <v>75</v>
      </c>
      <c r="Z693" s="1">
        <v>45535</v>
      </c>
      <c r="AA693" s="4" t="str" cm="1">
        <f t="array" ref="AA693">_xlfn.IFS(OR(AB693="December", AB693="February", AB693="January"), "Winter", OR(AB693="March", AB693="April", AB693="May"), "Spring", OR(AB693="June", AB693="July", AB693="August"), "Summer", TRUE, "Autumn")</f>
        <v>Summer</v>
      </c>
      <c r="AB693" s="7" t="str">
        <f>TEXT(Z693, "mmmm")</f>
        <v>August</v>
      </c>
      <c r="AC693" s="1" t="str">
        <f>TEXT(Z693, "dddd")</f>
        <v>Saturday</v>
      </c>
      <c r="AD693" s="4" t="s">
        <v>62</v>
      </c>
      <c r="AE693" s="4" t="s">
        <v>62</v>
      </c>
      <c r="AF693" s="4" t="s">
        <v>87</v>
      </c>
      <c r="AG693" s="4" t="s">
        <v>88</v>
      </c>
      <c r="AH693" s="3">
        <v>9</v>
      </c>
    </row>
    <row r="694" spans="1:34">
      <c r="A694" s="4" t="s">
        <v>1478</v>
      </c>
      <c r="B694" s="3">
        <v>24</v>
      </c>
      <c r="C694" s="9" t="str" cm="1">
        <f t="array" ref="C694">_xlfn.IFS(B694&gt;65,"+65",B694&gt;54,"55-65",B694&gt;44,"45-54",B694&gt;35,"36-44",B694&gt;25,"26-35",B694&gt;=18,"18-25")</f>
        <v>18-25</v>
      </c>
      <c r="D694" s="4" t="s">
        <v>66</v>
      </c>
      <c r="E694" s="4" t="s">
        <v>72</v>
      </c>
      <c r="F694" s="4" t="s">
        <v>79</v>
      </c>
      <c r="G694" s="4" t="s">
        <v>68</v>
      </c>
      <c r="H694" s="4" t="s">
        <v>1479</v>
      </c>
      <c r="I694" s="4" t="s">
        <v>70</v>
      </c>
      <c r="J694" s="5">
        <v>404.57</v>
      </c>
      <c r="K694" s="3">
        <v>5</v>
      </c>
      <c r="L694" s="4" t="str">
        <f>IF(AND(J694&gt;350,K694&gt;6), "True","False")</f>
        <v>False</v>
      </c>
      <c r="M694" s="4" t="s">
        <v>83</v>
      </c>
      <c r="N694" s="3">
        <v>4</v>
      </c>
      <c r="O694" s="4" t="str" cm="1">
        <f t="array" ref="O694">_xlfn.IFS(P694&lt;=2,"Poor",P694=3,"Average",P694&gt;=4,"Good")</f>
        <v>Average</v>
      </c>
      <c r="P694" s="3">
        <v>3</v>
      </c>
      <c r="Q694" s="2">
        <v>0</v>
      </c>
      <c r="R694" s="4" t="s">
        <v>85</v>
      </c>
      <c r="S694" s="4" t="s">
        <v>58</v>
      </c>
      <c r="T694" s="3">
        <v>2</v>
      </c>
      <c r="U694" s="4" t="str" cm="1">
        <f t="array" ref="U694">_xlfn.IFS(V694&lt;=4, "Dissatisfied",V694&lt;=7,"Neutral",V694&gt;=8,"Satisfied")</f>
        <v>Neutral</v>
      </c>
      <c r="V694" s="3">
        <v>7</v>
      </c>
      <c r="W694" s="4" t="s">
        <v>57</v>
      </c>
      <c r="X694" s="4" t="s">
        <v>60</v>
      </c>
      <c r="Y694" s="4" t="s">
        <v>75</v>
      </c>
      <c r="Z694" s="1">
        <v>45535</v>
      </c>
      <c r="AA694" s="4" t="str" cm="1">
        <f t="array" ref="AA694">_xlfn.IFS(OR(AB694="December", AB694="February", AB694="January"), "Winter", OR(AB694="March", AB694="April", AB694="May"), "Spring", OR(AB694="June", AB694="July", AB694="August"), "Summer", TRUE, "Autumn")</f>
        <v>Summer</v>
      </c>
      <c r="AB694" s="7" t="str">
        <f>TEXT(Z694, "mmmm")</f>
        <v>August</v>
      </c>
      <c r="AC694" s="1" t="str">
        <f>TEXT(Z694, "dddd")</f>
        <v>Saturday</v>
      </c>
      <c r="AD694" s="4" t="s">
        <v>76</v>
      </c>
      <c r="AE694" s="4" t="s">
        <v>62</v>
      </c>
      <c r="AF694" s="4" t="s">
        <v>63</v>
      </c>
      <c r="AG694" s="4" t="s">
        <v>93</v>
      </c>
      <c r="AH694" s="3">
        <v>14</v>
      </c>
    </row>
    <row r="695" spans="1:34">
      <c r="A695" s="4" t="s">
        <v>1480</v>
      </c>
      <c r="B695" s="3">
        <v>50</v>
      </c>
      <c r="C695" s="9" t="str" cm="1">
        <f t="array" ref="C695">_xlfn.IFS(B695&gt;65,"+65",B695&gt;54,"55-65",B695&gt;44,"45-54",B695&gt;35,"36-44",B695&gt;25,"26-35",B695&gt;=18,"18-25")</f>
        <v>45-54</v>
      </c>
      <c r="D695" s="4" t="s">
        <v>78</v>
      </c>
      <c r="E695" s="4" t="s">
        <v>51</v>
      </c>
      <c r="F695" s="4" t="s">
        <v>95</v>
      </c>
      <c r="G695" s="4" t="s">
        <v>68</v>
      </c>
      <c r="H695" s="4" t="s">
        <v>1481</v>
      </c>
      <c r="I695" s="4" t="s">
        <v>55</v>
      </c>
      <c r="J695" s="5">
        <v>260.14</v>
      </c>
      <c r="K695" s="3">
        <v>5</v>
      </c>
      <c r="L695" s="4" t="str">
        <f>IF(AND(J695&gt;350,K695&gt;6), "True","False")</f>
        <v>False</v>
      </c>
      <c r="M695" s="4" t="s">
        <v>56</v>
      </c>
      <c r="N695" s="3">
        <v>3</v>
      </c>
      <c r="O695" s="4" t="str" cm="1">
        <f t="array" ref="O695">_xlfn.IFS(P695&lt;=2,"Poor",P695=3,"Average",P695&gt;=4,"Good")</f>
        <v>Poor</v>
      </c>
      <c r="P695" s="3">
        <v>2</v>
      </c>
      <c r="Q695" s="2">
        <v>1</v>
      </c>
      <c r="R695" s="4" t="s">
        <v>57</v>
      </c>
      <c r="S695" s="4" t="s">
        <v>84</v>
      </c>
      <c r="T695" s="3">
        <v>1</v>
      </c>
      <c r="U695" s="4" t="str" cm="1">
        <f t="array" ref="U695">_xlfn.IFS(V695&lt;=4, "Dissatisfied",V695&lt;=7,"Neutral",V695&gt;=8,"Satisfied")</f>
        <v>Neutral</v>
      </c>
      <c r="V695" s="3">
        <v>7</v>
      </c>
      <c r="W695" s="4" t="s">
        <v>59</v>
      </c>
      <c r="X695" s="4" t="s">
        <v>60</v>
      </c>
      <c r="Y695" s="4" t="s">
        <v>111</v>
      </c>
      <c r="Z695" s="1">
        <v>45536</v>
      </c>
      <c r="AA695" s="4" t="str" cm="1">
        <f t="array" ref="AA695">_xlfn.IFS(OR(AB695="December", AB695="February", AB695="January"), "Winter", OR(AB695="March", AB695="April", AB695="May"), "Spring", OR(AB695="June", AB695="July", AB695="August"), "Summer", TRUE, "Autumn")</f>
        <v>Autumn</v>
      </c>
      <c r="AB695" s="7" t="str">
        <f>TEXT(Z695, "mmmm")</f>
        <v>September</v>
      </c>
      <c r="AC695" s="1" t="str">
        <f>TEXT(Z695, "dddd")</f>
        <v>Sunday</v>
      </c>
      <c r="AD695" s="4" t="s">
        <v>62</v>
      </c>
      <c r="AE695" s="4" t="s">
        <v>62</v>
      </c>
      <c r="AF695" s="4" t="s">
        <v>63</v>
      </c>
      <c r="AG695" s="4" t="s">
        <v>64</v>
      </c>
      <c r="AH695" s="3">
        <v>7</v>
      </c>
    </row>
    <row r="696" spans="1:34">
      <c r="A696" s="4" t="s">
        <v>1482</v>
      </c>
      <c r="B696" s="3">
        <v>34</v>
      </c>
      <c r="C696" s="9" t="str" cm="1">
        <f t="array" ref="C696">_xlfn.IFS(B696&gt;65,"+65",B696&gt;54,"55-65",B696&gt;44,"45-54",B696&gt;35,"36-44",B696&gt;25,"26-35",B696&gt;=18,"18-25")</f>
        <v>26-35</v>
      </c>
      <c r="D696" s="4" t="s">
        <v>66</v>
      </c>
      <c r="E696" s="4" t="s">
        <v>51</v>
      </c>
      <c r="F696" s="4" t="s">
        <v>52</v>
      </c>
      <c r="G696" s="4" t="s">
        <v>53</v>
      </c>
      <c r="H696" s="4" t="s">
        <v>1483</v>
      </c>
      <c r="I696" s="4" t="s">
        <v>146</v>
      </c>
      <c r="J696" s="5">
        <v>338.2</v>
      </c>
      <c r="K696" s="3">
        <v>7</v>
      </c>
      <c r="L696" s="4" t="str">
        <f>IF(AND(J696&gt;350,K696&gt;6), "True","False")</f>
        <v>False</v>
      </c>
      <c r="M696" s="4" t="s">
        <v>56</v>
      </c>
      <c r="N696" s="3">
        <v>3</v>
      </c>
      <c r="O696" s="4" t="str" cm="1">
        <f t="array" ref="O696">_xlfn.IFS(P696&lt;=2,"Poor",P696=3,"Average",P696&gt;=4,"Good")</f>
        <v>Good</v>
      </c>
      <c r="P696" s="3">
        <v>5</v>
      </c>
      <c r="Q696" s="2">
        <v>0</v>
      </c>
      <c r="R696" s="4" t="s">
        <v>57</v>
      </c>
      <c r="S696" s="4" t="s">
        <v>58</v>
      </c>
      <c r="T696" s="3">
        <v>1</v>
      </c>
      <c r="U696" s="4" t="str" cm="1">
        <f t="array" ref="U696">_xlfn.IFS(V696&lt;=4, "Dissatisfied",V696&lt;=7,"Neutral",V696&gt;=8,"Satisfied")</f>
        <v>Satisfied</v>
      </c>
      <c r="V696" s="3">
        <v>9</v>
      </c>
      <c r="W696" s="4" t="s">
        <v>85</v>
      </c>
      <c r="X696" s="4" t="s">
        <v>74</v>
      </c>
      <c r="Y696" s="4" t="s">
        <v>111</v>
      </c>
      <c r="Z696" s="1">
        <v>45536</v>
      </c>
      <c r="AA696" s="4" t="str" cm="1">
        <f t="array" ref="AA696">_xlfn.IFS(OR(AB696="December", AB696="February", AB696="January"), "Winter", OR(AB696="March", AB696="April", AB696="May"), "Spring", OR(AB696="June", AB696="July", AB696="August"), "Summer", TRUE, "Autumn")</f>
        <v>Autumn</v>
      </c>
      <c r="AB696" s="7" t="str">
        <f>TEXT(Z696, "mmmm")</f>
        <v>September</v>
      </c>
      <c r="AC696" s="1" t="str">
        <f>TEXT(Z696, "dddd")</f>
        <v>Sunday</v>
      </c>
      <c r="AD696" s="4" t="s">
        <v>62</v>
      </c>
      <c r="AE696" s="4" t="s">
        <v>76</v>
      </c>
      <c r="AF696" s="4" t="s">
        <v>102</v>
      </c>
      <c r="AG696" s="4" t="s">
        <v>64</v>
      </c>
      <c r="AH696" s="3">
        <v>7</v>
      </c>
    </row>
    <row r="697" spans="1:34">
      <c r="A697" s="4" t="s">
        <v>1484</v>
      </c>
      <c r="B697" s="3">
        <v>29</v>
      </c>
      <c r="C697" s="9" t="str" cm="1">
        <f t="array" ref="C697">_xlfn.IFS(B697&gt;65,"+65",B697&gt;54,"55-65",B697&gt;44,"45-54",B697&gt;35,"36-44",B697&gt;25,"26-35",B697&gt;=18,"18-25")</f>
        <v>26-35</v>
      </c>
      <c r="D697" s="4" t="s">
        <v>78</v>
      </c>
      <c r="E697" s="4" t="s">
        <v>72</v>
      </c>
      <c r="F697" s="4" t="s">
        <v>52</v>
      </c>
      <c r="G697" s="4" t="s">
        <v>68</v>
      </c>
      <c r="H697" s="4" t="s">
        <v>1485</v>
      </c>
      <c r="I697" s="4" t="s">
        <v>82</v>
      </c>
      <c r="J697" s="5">
        <v>181.87</v>
      </c>
      <c r="K697" s="3">
        <v>12</v>
      </c>
      <c r="L697" s="4" t="str">
        <f>IF(AND(J697&gt;350,K697&gt;6), "True","False")</f>
        <v>False</v>
      </c>
      <c r="M697" s="4" t="s">
        <v>83</v>
      </c>
      <c r="N697" s="3">
        <v>4</v>
      </c>
      <c r="O697" s="4" t="str" cm="1">
        <f t="array" ref="O697">_xlfn.IFS(P697&lt;=2,"Poor",P697=3,"Average",P697&gt;=4,"Good")</f>
        <v>Poor</v>
      </c>
      <c r="P697" s="3">
        <v>1</v>
      </c>
      <c r="Q697" s="2">
        <v>1</v>
      </c>
      <c r="R697" s="4" t="s">
        <v>85</v>
      </c>
      <c r="S697" s="4" t="s">
        <v>58</v>
      </c>
      <c r="T697" s="3">
        <v>2</v>
      </c>
      <c r="U697" s="4" t="str" cm="1">
        <f t="array" ref="U697">_xlfn.IFS(V697&lt;=4, "Dissatisfied",V697&lt;=7,"Neutral",V697&gt;=8,"Satisfied")</f>
        <v>Dissatisfied</v>
      </c>
      <c r="V697" s="3">
        <v>4</v>
      </c>
      <c r="W697" s="4" t="s">
        <v>72</v>
      </c>
      <c r="X697" s="4" t="s">
        <v>101</v>
      </c>
      <c r="Y697" s="4" t="s">
        <v>75</v>
      </c>
      <c r="Z697" s="1">
        <v>45536</v>
      </c>
      <c r="AA697" s="4" t="str" cm="1">
        <f t="array" ref="AA697">_xlfn.IFS(OR(AB697="December", AB697="February", AB697="January"), "Winter", OR(AB697="March", AB697="April", AB697="May"), "Spring", OR(AB697="June", AB697="July", AB697="August"), "Summer", TRUE, "Autumn")</f>
        <v>Autumn</v>
      </c>
      <c r="AB697" s="7" t="str">
        <f>TEXT(Z697, "mmmm")</f>
        <v>September</v>
      </c>
      <c r="AC697" s="1" t="str">
        <f>TEXT(Z697, "dddd")</f>
        <v>Sunday</v>
      </c>
      <c r="AD697" s="4" t="s">
        <v>76</v>
      </c>
      <c r="AE697" s="4" t="s">
        <v>62</v>
      </c>
      <c r="AF697" s="4" t="s">
        <v>102</v>
      </c>
      <c r="AG697" s="4" t="s">
        <v>88</v>
      </c>
      <c r="AH697" s="3">
        <v>11</v>
      </c>
    </row>
    <row r="698" spans="1:34">
      <c r="A698" s="4" t="s">
        <v>1486</v>
      </c>
      <c r="B698" s="3">
        <v>42</v>
      </c>
      <c r="C698" s="9" t="str" cm="1">
        <f t="array" ref="C698">_xlfn.IFS(B698&gt;65,"+65",B698&gt;54,"55-65",B698&gt;44,"45-54",B698&gt;35,"36-44",B698&gt;25,"26-35",B698&gt;=18,"18-25")</f>
        <v>36-44</v>
      </c>
      <c r="D698" s="4" t="s">
        <v>66</v>
      </c>
      <c r="E698" s="4" t="s">
        <v>51</v>
      </c>
      <c r="F698" s="4" t="s">
        <v>67</v>
      </c>
      <c r="G698" s="4" t="s">
        <v>68</v>
      </c>
      <c r="H698" s="4" t="s">
        <v>1487</v>
      </c>
      <c r="I698" s="4" t="s">
        <v>100</v>
      </c>
      <c r="J698" s="5">
        <v>410.29</v>
      </c>
      <c r="K698" s="3">
        <v>10</v>
      </c>
      <c r="L698" s="4" t="str">
        <f>IF(AND(J698&gt;350,K698&gt;6), "True","False")</f>
        <v>True</v>
      </c>
      <c r="M698" s="4" t="s">
        <v>56</v>
      </c>
      <c r="N698" s="3">
        <v>2</v>
      </c>
      <c r="O698" s="4" t="str" cm="1">
        <f t="array" ref="O698">_xlfn.IFS(P698&lt;=2,"Poor",P698=3,"Average",P698&gt;=4,"Good")</f>
        <v>Good</v>
      </c>
      <c r="P698" s="3">
        <v>4</v>
      </c>
      <c r="Q698" s="2">
        <v>1</v>
      </c>
      <c r="R698" s="4" t="s">
        <v>59</v>
      </c>
      <c r="S698" s="4" t="s">
        <v>58</v>
      </c>
      <c r="T698" s="3">
        <v>2</v>
      </c>
      <c r="U698" s="4" t="str" cm="1">
        <f t="array" ref="U698">_xlfn.IFS(V698&lt;=4, "Dissatisfied",V698&lt;=7,"Neutral",V698&gt;=8,"Satisfied")</f>
        <v>Dissatisfied</v>
      </c>
      <c r="V698" s="3">
        <v>4</v>
      </c>
      <c r="W698" s="4" t="s">
        <v>72</v>
      </c>
      <c r="X698" s="4" t="s">
        <v>60</v>
      </c>
      <c r="Y698" s="4" t="s">
        <v>119</v>
      </c>
      <c r="Z698" s="1">
        <v>45537</v>
      </c>
      <c r="AA698" s="4" t="str" cm="1">
        <f t="array" ref="AA698">_xlfn.IFS(OR(AB698="December", AB698="February", AB698="January"), "Winter", OR(AB698="March", AB698="April", AB698="May"), "Spring", OR(AB698="June", AB698="July", AB698="August"), "Summer", TRUE, "Autumn")</f>
        <v>Autumn</v>
      </c>
      <c r="AB698" s="7" t="str">
        <f>TEXT(Z698, "mmmm")</f>
        <v>September</v>
      </c>
      <c r="AC698" s="1" t="str">
        <f>TEXT(Z698, "dddd")</f>
        <v>Monday</v>
      </c>
      <c r="AD698" s="4" t="s">
        <v>62</v>
      </c>
      <c r="AE698" s="4" t="s">
        <v>76</v>
      </c>
      <c r="AF698" s="4" t="s">
        <v>87</v>
      </c>
      <c r="AG698" s="4" t="s">
        <v>93</v>
      </c>
      <c r="AH698" s="3">
        <v>1</v>
      </c>
    </row>
    <row r="699" spans="1:34">
      <c r="A699" s="4" t="s">
        <v>1488</v>
      </c>
      <c r="B699" s="3">
        <v>31</v>
      </c>
      <c r="C699" s="9" t="str" cm="1">
        <f t="array" ref="C699">_xlfn.IFS(B699&gt;65,"+65",B699&gt;54,"55-65",B699&gt;44,"45-54",B699&gt;35,"36-44",B699&gt;25,"26-35",B699&gt;=18,"18-25")</f>
        <v>26-35</v>
      </c>
      <c r="D699" s="4" t="s">
        <v>66</v>
      </c>
      <c r="E699" s="4" t="s">
        <v>72</v>
      </c>
      <c r="F699" s="4" t="s">
        <v>79</v>
      </c>
      <c r="G699" s="4" t="s">
        <v>68</v>
      </c>
      <c r="H699" s="4" t="s">
        <v>1489</v>
      </c>
      <c r="I699" s="4" t="s">
        <v>151</v>
      </c>
      <c r="J699" s="5">
        <v>86.63</v>
      </c>
      <c r="K699" s="3">
        <v>10</v>
      </c>
      <c r="L699" s="4" t="str">
        <f>IF(AND(J699&gt;350,K699&gt;6), "True","False")</f>
        <v>False</v>
      </c>
      <c r="M699" s="4" t="s">
        <v>83</v>
      </c>
      <c r="N699" s="3">
        <v>3</v>
      </c>
      <c r="O699" s="4" t="str" cm="1">
        <f t="array" ref="O699">_xlfn.IFS(P699&lt;=2,"Poor",P699=3,"Average",P699&gt;=4,"Good")</f>
        <v>Poor</v>
      </c>
      <c r="P699" s="3">
        <v>1</v>
      </c>
      <c r="Q699" s="2">
        <v>2</v>
      </c>
      <c r="R699" s="4" t="s">
        <v>85</v>
      </c>
      <c r="S699" s="4" t="s">
        <v>84</v>
      </c>
      <c r="T699" s="3">
        <v>2</v>
      </c>
      <c r="U699" s="4" t="str" cm="1">
        <f t="array" ref="U699">_xlfn.IFS(V699&lt;=4, "Dissatisfied",V699&lt;=7,"Neutral",V699&gt;=8,"Satisfied")</f>
        <v>Dissatisfied</v>
      </c>
      <c r="V699" s="3">
        <v>2</v>
      </c>
      <c r="W699" s="4" t="s">
        <v>59</v>
      </c>
      <c r="X699" s="4" t="s">
        <v>74</v>
      </c>
      <c r="Y699" s="4" t="s">
        <v>61</v>
      </c>
      <c r="Z699" s="1">
        <v>45537</v>
      </c>
      <c r="AA699" s="4" t="str" cm="1">
        <f t="array" ref="AA699">_xlfn.IFS(OR(AB699="December", AB699="February", AB699="January"), "Winter", OR(AB699="March", AB699="April", AB699="May"), "Spring", OR(AB699="June", AB699="July", AB699="August"), "Summer", TRUE, "Autumn")</f>
        <v>Autumn</v>
      </c>
      <c r="AB699" s="7" t="str">
        <f>TEXT(Z699, "mmmm")</f>
        <v>September</v>
      </c>
      <c r="AC699" s="1" t="str">
        <f>TEXT(Z699, "dddd")</f>
        <v>Monday</v>
      </c>
      <c r="AD699" s="4" t="s">
        <v>62</v>
      </c>
      <c r="AE699" s="4" t="s">
        <v>76</v>
      </c>
      <c r="AF699" s="4" t="s">
        <v>102</v>
      </c>
      <c r="AG699" s="4" t="s">
        <v>93</v>
      </c>
      <c r="AH699" s="3">
        <v>3</v>
      </c>
    </row>
    <row r="700" spans="1:34">
      <c r="A700" s="4" t="s">
        <v>1490</v>
      </c>
      <c r="B700" s="3">
        <v>41</v>
      </c>
      <c r="C700" s="9" t="str" cm="1">
        <f t="array" ref="C700">_xlfn.IFS(B700&gt;65,"+65",B700&gt;54,"55-65",B700&gt;44,"45-54",B700&gt;35,"36-44",B700&gt;25,"26-35",B700&gt;=18,"18-25")</f>
        <v>36-44</v>
      </c>
      <c r="D700" s="4" t="s">
        <v>66</v>
      </c>
      <c r="E700" s="4" t="s">
        <v>72</v>
      </c>
      <c r="F700" s="4" t="s">
        <v>67</v>
      </c>
      <c r="G700" s="4" t="s">
        <v>80</v>
      </c>
      <c r="H700" s="4" t="s">
        <v>1491</v>
      </c>
      <c r="I700" s="4" t="s">
        <v>110</v>
      </c>
      <c r="J700" s="5">
        <v>79.3</v>
      </c>
      <c r="K700" s="3">
        <v>10</v>
      </c>
      <c r="L700" s="4" t="str">
        <f>IF(AND(J700&gt;350,K700&gt;6), "True","False")</f>
        <v>False</v>
      </c>
      <c r="M700" s="4" t="s">
        <v>56</v>
      </c>
      <c r="N700" s="3">
        <v>3</v>
      </c>
      <c r="O700" s="4" t="str" cm="1">
        <f t="array" ref="O700">_xlfn.IFS(P700&lt;=2,"Poor",P700=3,"Average",P700&gt;=4,"Good")</f>
        <v>Poor</v>
      </c>
      <c r="P700" s="3">
        <v>2</v>
      </c>
      <c r="Q700" s="2">
        <v>1</v>
      </c>
      <c r="R700" s="4" t="s">
        <v>59</v>
      </c>
      <c r="S700" s="4" t="s">
        <v>84</v>
      </c>
      <c r="T700" s="3">
        <v>2</v>
      </c>
      <c r="U700" s="4" t="str" cm="1">
        <f t="array" ref="U700">_xlfn.IFS(V700&lt;=4, "Dissatisfied",V700&lt;=7,"Neutral",V700&gt;=8,"Satisfied")</f>
        <v>Dissatisfied</v>
      </c>
      <c r="V700" s="3">
        <v>4</v>
      </c>
      <c r="W700" s="4" t="s">
        <v>72</v>
      </c>
      <c r="X700" s="4" t="s">
        <v>60</v>
      </c>
      <c r="Y700" s="4" t="s">
        <v>75</v>
      </c>
      <c r="Z700" s="1">
        <v>45538</v>
      </c>
      <c r="AA700" s="4" t="str" cm="1">
        <f t="array" ref="AA700">_xlfn.IFS(OR(AB700="December", AB700="February", AB700="January"), "Winter", OR(AB700="March", AB700="April", AB700="May"), "Spring", OR(AB700="June", AB700="July", AB700="August"), "Summer", TRUE, "Autumn")</f>
        <v>Autumn</v>
      </c>
      <c r="AB700" s="7" t="str">
        <f>TEXT(Z700, "mmmm")</f>
        <v>September</v>
      </c>
      <c r="AC700" s="1" t="str">
        <f>TEXT(Z700, "dddd")</f>
        <v>Tuesday</v>
      </c>
      <c r="AD700" s="4" t="s">
        <v>76</v>
      </c>
      <c r="AE700" s="4" t="s">
        <v>76</v>
      </c>
      <c r="AF700" s="4" t="s">
        <v>87</v>
      </c>
      <c r="AG700" s="4" t="s">
        <v>88</v>
      </c>
      <c r="AH700" s="3">
        <v>2</v>
      </c>
    </row>
    <row r="701" spans="1:34">
      <c r="A701" s="4" t="s">
        <v>1492</v>
      </c>
      <c r="B701" s="3">
        <v>36</v>
      </c>
      <c r="C701" s="9" t="str" cm="1">
        <f t="array" ref="C701">_xlfn.IFS(B701&gt;65,"+65",B701&gt;54,"55-65",B701&gt;44,"45-54",B701&gt;35,"36-44",B701&gt;25,"26-35",B701&gt;=18,"18-25")</f>
        <v>36-44</v>
      </c>
      <c r="D701" s="4" t="s">
        <v>66</v>
      </c>
      <c r="E701" s="4" t="s">
        <v>72</v>
      </c>
      <c r="F701" s="4" t="s">
        <v>79</v>
      </c>
      <c r="G701" s="4" t="s">
        <v>80</v>
      </c>
      <c r="H701" s="4" t="s">
        <v>1493</v>
      </c>
      <c r="I701" s="4" t="s">
        <v>105</v>
      </c>
      <c r="J701" s="5">
        <v>358.11</v>
      </c>
      <c r="K701" s="3">
        <v>11</v>
      </c>
      <c r="L701" s="4" t="str">
        <f>IF(AND(J701&gt;350,K701&gt;6), "True","False")</f>
        <v>True</v>
      </c>
      <c r="M701" s="4" t="s">
        <v>83</v>
      </c>
      <c r="N701" s="3">
        <v>5</v>
      </c>
      <c r="O701" s="4" t="str" cm="1">
        <f t="array" ref="O701">_xlfn.IFS(P701&lt;=2,"Poor",P701=3,"Average",P701&gt;=4,"Good")</f>
        <v>Poor</v>
      </c>
      <c r="P701" s="3">
        <v>1</v>
      </c>
      <c r="Q701" s="2">
        <v>0</v>
      </c>
      <c r="R701" s="4" t="s">
        <v>72</v>
      </c>
      <c r="S701" s="4" t="s">
        <v>73</v>
      </c>
      <c r="T701" s="3">
        <v>0</v>
      </c>
      <c r="U701" s="4" t="str" cm="1">
        <f t="array" ref="U701">_xlfn.IFS(V701&lt;=4, "Dissatisfied",V701&lt;=7,"Neutral",V701&gt;=8,"Satisfied")</f>
        <v>Dissatisfied</v>
      </c>
      <c r="V701" s="3">
        <v>3</v>
      </c>
      <c r="W701" s="4" t="s">
        <v>72</v>
      </c>
      <c r="X701" s="4" t="s">
        <v>101</v>
      </c>
      <c r="Y701" s="4" t="s">
        <v>119</v>
      </c>
      <c r="Z701" s="1">
        <v>45538</v>
      </c>
      <c r="AA701" s="4" t="str" cm="1">
        <f t="array" ref="AA701">_xlfn.IFS(OR(AB701="December", AB701="February", AB701="January"), "Winter", OR(AB701="March", AB701="April", AB701="May"), "Spring", OR(AB701="June", AB701="July", AB701="August"), "Summer", TRUE, "Autumn")</f>
        <v>Autumn</v>
      </c>
      <c r="AB701" s="7" t="str">
        <f>TEXT(Z701, "mmmm")</f>
        <v>September</v>
      </c>
      <c r="AC701" s="1" t="str">
        <f>TEXT(Z701, "dddd")</f>
        <v>Tuesday</v>
      </c>
      <c r="AD701" s="4" t="s">
        <v>76</v>
      </c>
      <c r="AE701" s="4" t="s">
        <v>76</v>
      </c>
      <c r="AF701" s="4" t="s">
        <v>63</v>
      </c>
      <c r="AG701" s="4" t="s">
        <v>64</v>
      </c>
      <c r="AH701" s="3">
        <v>11</v>
      </c>
    </row>
    <row r="702" spans="1:34">
      <c r="A702" s="4" t="s">
        <v>1494</v>
      </c>
      <c r="B702" s="3">
        <v>27</v>
      </c>
      <c r="C702" s="9" t="str" cm="1">
        <f t="array" ref="C702">_xlfn.IFS(B702&gt;65,"+65",B702&gt;54,"55-65",B702&gt;44,"45-54",B702&gt;35,"36-44",B702&gt;25,"26-35",B702&gt;=18,"18-25")</f>
        <v>26-35</v>
      </c>
      <c r="D702" s="4" t="s">
        <v>78</v>
      </c>
      <c r="E702" s="4" t="s">
        <v>72</v>
      </c>
      <c r="F702" s="4" t="s">
        <v>67</v>
      </c>
      <c r="G702" s="4" t="s">
        <v>53</v>
      </c>
      <c r="H702" s="4" t="s">
        <v>1495</v>
      </c>
      <c r="I702" s="4" t="s">
        <v>100</v>
      </c>
      <c r="J702" s="5">
        <v>393.03</v>
      </c>
      <c r="K702" s="3">
        <v>4</v>
      </c>
      <c r="L702" s="4" t="str">
        <f>IF(AND(J702&gt;350,K702&gt;6), "True","False")</f>
        <v>False</v>
      </c>
      <c r="M702" s="4" t="s">
        <v>83</v>
      </c>
      <c r="N702" s="3">
        <v>4</v>
      </c>
      <c r="O702" s="4" t="str" cm="1">
        <f t="array" ref="O702">_xlfn.IFS(P702&lt;=2,"Poor",P702=3,"Average",P702&gt;=4,"Good")</f>
        <v>Good</v>
      </c>
      <c r="P702" s="3">
        <v>4</v>
      </c>
      <c r="Q702" s="2">
        <v>0</v>
      </c>
      <c r="R702" s="4" t="s">
        <v>72</v>
      </c>
      <c r="S702" s="4" t="s">
        <v>84</v>
      </c>
      <c r="T702" s="3">
        <v>1</v>
      </c>
      <c r="U702" s="4" t="str" cm="1">
        <f t="array" ref="U702">_xlfn.IFS(V702&lt;=4, "Dissatisfied",V702&lt;=7,"Neutral",V702&gt;=8,"Satisfied")</f>
        <v>Dissatisfied</v>
      </c>
      <c r="V702" s="3">
        <v>3</v>
      </c>
      <c r="W702" s="4" t="s">
        <v>85</v>
      </c>
      <c r="X702" s="4" t="s">
        <v>60</v>
      </c>
      <c r="Y702" s="4" t="s">
        <v>61</v>
      </c>
      <c r="Z702" s="1">
        <v>45538</v>
      </c>
      <c r="AA702" s="4" t="str" cm="1">
        <f t="array" ref="AA702">_xlfn.IFS(OR(AB702="December", AB702="February", AB702="January"), "Winter", OR(AB702="March", AB702="April", AB702="May"), "Spring", OR(AB702="June", AB702="July", AB702="August"), "Summer", TRUE, "Autumn")</f>
        <v>Autumn</v>
      </c>
      <c r="AB702" s="7" t="str">
        <f>TEXT(Z702, "mmmm")</f>
        <v>September</v>
      </c>
      <c r="AC702" s="1" t="str">
        <f>TEXT(Z702, "dddd")</f>
        <v>Tuesday</v>
      </c>
      <c r="AD702" s="4" t="s">
        <v>62</v>
      </c>
      <c r="AE702" s="4" t="s">
        <v>62</v>
      </c>
      <c r="AF702" s="4" t="s">
        <v>87</v>
      </c>
      <c r="AG702" s="4" t="s">
        <v>64</v>
      </c>
      <c r="AH702" s="3">
        <v>7</v>
      </c>
    </row>
    <row r="703" spans="1:34">
      <c r="A703" s="4" t="s">
        <v>1496</v>
      </c>
      <c r="B703" s="3">
        <v>23</v>
      </c>
      <c r="C703" s="9" t="str" cm="1">
        <f t="array" ref="C703">_xlfn.IFS(B703&gt;65,"+65",B703&gt;54,"55-65",B703&gt;44,"45-54",B703&gt;35,"36-44",B703&gt;25,"26-35",B703&gt;=18,"18-25")</f>
        <v>18-25</v>
      </c>
      <c r="D703" s="4" t="s">
        <v>78</v>
      </c>
      <c r="E703" s="4" t="s">
        <v>51</v>
      </c>
      <c r="F703" s="4" t="s">
        <v>79</v>
      </c>
      <c r="G703" s="4" t="s">
        <v>53</v>
      </c>
      <c r="H703" s="4" t="s">
        <v>1497</v>
      </c>
      <c r="I703" s="4" t="s">
        <v>156</v>
      </c>
      <c r="J703" s="5">
        <v>208.59</v>
      </c>
      <c r="K703" s="3">
        <v>3</v>
      </c>
      <c r="L703" s="4" t="str">
        <f>IF(AND(J703&gt;350,K703&gt;6), "True","False")</f>
        <v>False</v>
      </c>
      <c r="M703" s="4" t="s">
        <v>83</v>
      </c>
      <c r="N703" s="3">
        <v>1</v>
      </c>
      <c r="O703" s="4" t="str" cm="1">
        <f t="array" ref="O703">_xlfn.IFS(P703&lt;=2,"Poor",P703=3,"Average",P703&gt;=4,"Good")</f>
        <v>Poor</v>
      </c>
      <c r="P703" s="3">
        <v>1</v>
      </c>
      <c r="Q703" s="2">
        <v>2</v>
      </c>
      <c r="R703" s="4" t="s">
        <v>85</v>
      </c>
      <c r="S703" s="4" t="s">
        <v>84</v>
      </c>
      <c r="T703" s="3">
        <v>0</v>
      </c>
      <c r="U703" s="4" t="str" cm="1">
        <f t="array" ref="U703">_xlfn.IFS(V703&lt;=4, "Dissatisfied",V703&lt;=7,"Neutral",V703&gt;=8,"Satisfied")</f>
        <v>Dissatisfied</v>
      </c>
      <c r="V703" s="3">
        <v>4</v>
      </c>
      <c r="W703" s="4" t="s">
        <v>57</v>
      </c>
      <c r="X703" s="4" t="s">
        <v>101</v>
      </c>
      <c r="Y703" s="4" t="s">
        <v>86</v>
      </c>
      <c r="Z703" s="1">
        <v>45538</v>
      </c>
      <c r="AA703" s="4" t="str" cm="1">
        <f t="array" ref="AA703">_xlfn.IFS(OR(AB703="December", AB703="February", AB703="January"), "Winter", OR(AB703="March", AB703="April", AB703="May"), "Spring", OR(AB703="June", AB703="July", AB703="August"), "Summer", TRUE, "Autumn")</f>
        <v>Autumn</v>
      </c>
      <c r="AB703" s="7" t="str">
        <f>TEXT(Z703, "mmmm")</f>
        <v>September</v>
      </c>
      <c r="AC703" s="1" t="str">
        <f>TEXT(Z703, "dddd")</f>
        <v>Tuesday</v>
      </c>
      <c r="AD703" s="4" t="s">
        <v>62</v>
      </c>
      <c r="AE703" s="4" t="s">
        <v>76</v>
      </c>
      <c r="AF703" s="4" t="s">
        <v>92</v>
      </c>
      <c r="AG703" s="4" t="s">
        <v>93</v>
      </c>
      <c r="AH703" s="3">
        <v>1</v>
      </c>
    </row>
    <row r="704" spans="1:34">
      <c r="A704" s="4" t="s">
        <v>1498</v>
      </c>
      <c r="B704" s="3">
        <v>19</v>
      </c>
      <c r="C704" s="9" t="str" cm="1">
        <f t="array" ref="C704">_xlfn.IFS(B704&gt;65,"+65",B704&gt;54,"55-65",B704&gt;44,"45-54",B704&gt;35,"36-44",B704&gt;25,"26-35",B704&gt;=18,"18-25")</f>
        <v>18-25</v>
      </c>
      <c r="D704" s="4" t="s">
        <v>78</v>
      </c>
      <c r="E704" s="4" t="s">
        <v>51</v>
      </c>
      <c r="F704" s="4" t="s">
        <v>67</v>
      </c>
      <c r="G704" s="4" t="s">
        <v>68</v>
      </c>
      <c r="H704" s="4" t="s">
        <v>1499</v>
      </c>
      <c r="I704" s="4" t="s">
        <v>234</v>
      </c>
      <c r="J704" s="5">
        <v>388.82</v>
      </c>
      <c r="K704" s="3">
        <v>10</v>
      </c>
      <c r="L704" s="4" t="str">
        <f>IF(AND(J704&gt;350,K704&gt;6), "True","False")</f>
        <v>True</v>
      </c>
      <c r="M704" s="4" t="s">
        <v>83</v>
      </c>
      <c r="N704" s="3">
        <v>2</v>
      </c>
      <c r="O704" s="4" t="str" cm="1">
        <f t="array" ref="O704">_xlfn.IFS(P704&lt;=2,"Poor",P704=3,"Average",P704&gt;=4,"Good")</f>
        <v>Average</v>
      </c>
      <c r="P704" s="3">
        <v>3</v>
      </c>
      <c r="Q704" s="2">
        <v>0</v>
      </c>
      <c r="R704" s="4" t="s">
        <v>59</v>
      </c>
      <c r="S704" s="4" t="s">
        <v>73</v>
      </c>
      <c r="T704" s="3">
        <v>0</v>
      </c>
      <c r="U704" s="4" t="str" cm="1">
        <f t="array" ref="U704">_xlfn.IFS(V704&lt;=4, "Dissatisfied",V704&lt;=7,"Neutral",V704&gt;=8,"Satisfied")</f>
        <v>Satisfied</v>
      </c>
      <c r="V704" s="3">
        <v>8</v>
      </c>
      <c r="W704" s="4" t="s">
        <v>59</v>
      </c>
      <c r="X704" s="4" t="s">
        <v>101</v>
      </c>
      <c r="Y704" s="4" t="s">
        <v>111</v>
      </c>
      <c r="Z704" s="1">
        <v>45538</v>
      </c>
      <c r="AA704" s="4" t="str" cm="1">
        <f t="array" ref="AA704">_xlfn.IFS(OR(AB704="December", AB704="February", AB704="January"), "Winter", OR(AB704="March", AB704="April", AB704="May"), "Spring", OR(AB704="June", AB704="July", AB704="August"), "Summer", TRUE, "Autumn")</f>
        <v>Autumn</v>
      </c>
      <c r="AB704" s="7" t="str">
        <f>TEXT(Z704, "mmmm")</f>
        <v>September</v>
      </c>
      <c r="AC704" s="1" t="str">
        <f>TEXT(Z704, "dddd")</f>
        <v>Tuesday</v>
      </c>
      <c r="AD704" s="4" t="s">
        <v>76</v>
      </c>
      <c r="AE704" s="4" t="s">
        <v>76</v>
      </c>
      <c r="AF704" s="4" t="s">
        <v>63</v>
      </c>
      <c r="AG704" s="4" t="s">
        <v>88</v>
      </c>
      <c r="AH704" s="3">
        <v>6</v>
      </c>
    </row>
    <row r="705" spans="1:34">
      <c r="A705" s="4" t="s">
        <v>1500</v>
      </c>
      <c r="B705" s="3">
        <v>50</v>
      </c>
      <c r="C705" s="9" t="str" cm="1">
        <f t="array" ref="C705">_xlfn.IFS(B705&gt;65,"+65",B705&gt;54,"55-65",B705&gt;44,"45-54",B705&gt;35,"36-44",B705&gt;25,"26-35",B705&gt;=18,"18-25")</f>
        <v>45-54</v>
      </c>
      <c r="D705" s="4" t="s">
        <v>66</v>
      </c>
      <c r="E705" s="4" t="s">
        <v>51</v>
      </c>
      <c r="F705" s="4" t="s">
        <v>52</v>
      </c>
      <c r="G705" s="4" t="s">
        <v>80</v>
      </c>
      <c r="H705" s="4" t="s">
        <v>1501</v>
      </c>
      <c r="I705" s="4" t="s">
        <v>91</v>
      </c>
      <c r="J705" s="5">
        <v>199.64</v>
      </c>
      <c r="K705" s="3">
        <v>11</v>
      </c>
      <c r="L705" s="4" t="str">
        <f>IF(AND(J705&gt;350,K705&gt;6), "True","False")</f>
        <v>False</v>
      </c>
      <c r="M705" s="4" t="s">
        <v>56</v>
      </c>
      <c r="N705" s="3">
        <v>5</v>
      </c>
      <c r="O705" s="4" t="str" cm="1">
        <f t="array" ref="O705">_xlfn.IFS(P705&lt;=2,"Poor",P705=3,"Average",P705&gt;=4,"Good")</f>
        <v>Good</v>
      </c>
      <c r="P705" s="3">
        <v>4</v>
      </c>
      <c r="Q705" s="2">
        <v>1</v>
      </c>
      <c r="R705" s="4" t="s">
        <v>72</v>
      </c>
      <c r="S705" s="4" t="s">
        <v>84</v>
      </c>
      <c r="T705" s="3">
        <v>1</v>
      </c>
      <c r="U705" s="4" t="str" cm="1">
        <f t="array" ref="U705">_xlfn.IFS(V705&lt;=4, "Dissatisfied",V705&lt;=7,"Neutral",V705&gt;=8,"Satisfied")</f>
        <v>Neutral</v>
      </c>
      <c r="V705" s="3">
        <v>5</v>
      </c>
      <c r="W705" s="4" t="s">
        <v>72</v>
      </c>
      <c r="X705" s="4" t="s">
        <v>101</v>
      </c>
      <c r="Y705" s="4" t="s">
        <v>86</v>
      </c>
      <c r="Z705" s="1">
        <v>45539</v>
      </c>
      <c r="AA705" s="4" t="str" cm="1">
        <f t="array" ref="AA705">_xlfn.IFS(OR(AB705="December", AB705="February", AB705="January"), "Winter", OR(AB705="March", AB705="April", AB705="May"), "Spring", OR(AB705="June", AB705="July", AB705="August"), "Summer", TRUE, "Autumn")</f>
        <v>Autumn</v>
      </c>
      <c r="AB705" s="7" t="str">
        <f>TEXT(Z705, "mmmm")</f>
        <v>September</v>
      </c>
      <c r="AC705" s="1" t="str">
        <f>TEXT(Z705, "dddd")</f>
        <v>Wednesday</v>
      </c>
      <c r="AD705" s="4" t="s">
        <v>76</v>
      </c>
      <c r="AE705" s="4" t="s">
        <v>62</v>
      </c>
      <c r="AF705" s="4" t="s">
        <v>87</v>
      </c>
      <c r="AG705" s="4" t="s">
        <v>93</v>
      </c>
      <c r="AH705" s="3">
        <v>8</v>
      </c>
    </row>
    <row r="706" spans="1:34">
      <c r="A706" s="4" t="s">
        <v>1502</v>
      </c>
      <c r="B706" s="3">
        <v>47</v>
      </c>
      <c r="C706" s="9" t="str" cm="1">
        <f t="array" ref="C706">_xlfn.IFS(B706&gt;65,"+65",B706&gt;54,"55-65",B706&gt;44,"45-54",B706&gt;35,"36-44",B706&gt;25,"26-35",B706&gt;=18,"18-25")</f>
        <v>45-54</v>
      </c>
      <c r="D706" s="4" t="s">
        <v>66</v>
      </c>
      <c r="E706" s="4" t="s">
        <v>51</v>
      </c>
      <c r="F706" s="4" t="s">
        <v>95</v>
      </c>
      <c r="G706" s="4" t="s">
        <v>53</v>
      </c>
      <c r="H706" s="4" t="s">
        <v>1503</v>
      </c>
      <c r="I706" s="4" t="s">
        <v>164</v>
      </c>
      <c r="J706" s="5">
        <v>378.14</v>
      </c>
      <c r="K706" s="3">
        <v>6</v>
      </c>
      <c r="L706" s="4" t="str">
        <f>IF(AND(J706&gt;350,K706&gt;6), "True","False")</f>
        <v>False</v>
      </c>
      <c r="M706" s="4" t="s">
        <v>83</v>
      </c>
      <c r="N706" s="3">
        <v>2</v>
      </c>
      <c r="O706" s="4" t="str" cm="1">
        <f t="array" ref="O706">_xlfn.IFS(P706&lt;=2,"Poor",P706=3,"Average",P706&gt;=4,"Good")</f>
        <v>Poor</v>
      </c>
      <c r="P706" s="3">
        <v>2</v>
      </c>
      <c r="Q706" s="2">
        <v>1</v>
      </c>
      <c r="R706" s="4" t="s">
        <v>85</v>
      </c>
      <c r="S706" s="4" t="s">
        <v>73</v>
      </c>
      <c r="T706" s="3">
        <v>1</v>
      </c>
      <c r="U706" s="4" t="str" cm="1">
        <f t="array" ref="U706">_xlfn.IFS(V706&lt;=4, "Dissatisfied",V706&lt;=7,"Neutral",V706&gt;=8,"Satisfied")</f>
        <v>Neutral</v>
      </c>
      <c r="V706" s="3">
        <v>6</v>
      </c>
      <c r="W706" s="4" t="s">
        <v>72</v>
      </c>
      <c r="X706" s="4" t="s">
        <v>60</v>
      </c>
      <c r="Y706" s="4" t="s">
        <v>86</v>
      </c>
      <c r="Z706" s="1">
        <v>45539</v>
      </c>
      <c r="AA706" s="4" t="str" cm="1">
        <f t="array" ref="AA706">_xlfn.IFS(OR(AB706="December", AB706="February", AB706="January"), "Winter", OR(AB706="March", AB706="April", AB706="May"), "Spring", OR(AB706="June", AB706="July", AB706="August"), "Summer", TRUE, "Autumn")</f>
        <v>Autumn</v>
      </c>
      <c r="AB706" s="7" t="str">
        <f>TEXT(Z706, "mmmm")</f>
        <v>September</v>
      </c>
      <c r="AC706" s="1" t="str">
        <f>TEXT(Z706, "dddd")</f>
        <v>Wednesday</v>
      </c>
      <c r="AD706" s="4" t="s">
        <v>76</v>
      </c>
      <c r="AE706" s="4" t="s">
        <v>76</v>
      </c>
      <c r="AF706" s="4" t="s">
        <v>102</v>
      </c>
      <c r="AG706" s="4" t="s">
        <v>64</v>
      </c>
      <c r="AH706" s="3">
        <v>7</v>
      </c>
    </row>
    <row r="707" spans="1:34">
      <c r="A707" s="4" t="s">
        <v>1504</v>
      </c>
      <c r="B707" s="3">
        <v>37</v>
      </c>
      <c r="C707" s="9" t="str" cm="1">
        <f t="array" ref="C707">_xlfn.IFS(B707&gt;65,"+65",B707&gt;54,"55-65",B707&gt;44,"45-54",B707&gt;35,"36-44",B707&gt;25,"26-35",B707&gt;=18,"18-25")</f>
        <v>36-44</v>
      </c>
      <c r="D707" s="4" t="s">
        <v>78</v>
      </c>
      <c r="E707" s="4" t="s">
        <v>51</v>
      </c>
      <c r="F707" s="4" t="s">
        <v>79</v>
      </c>
      <c r="G707" s="4" t="s">
        <v>68</v>
      </c>
      <c r="H707" s="4" t="s">
        <v>1505</v>
      </c>
      <c r="I707" s="4" t="s">
        <v>133</v>
      </c>
      <c r="J707" s="5">
        <v>346.36</v>
      </c>
      <c r="K707" s="3">
        <v>12</v>
      </c>
      <c r="L707" s="4" t="str">
        <f>IF(AND(J707&gt;350,K707&gt;6), "True","False")</f>
        <v>False</v>
      </c>
      <c r="M707" s="4" t="s">
        <v>83</v>
      </c>
      <c r="N707" s="3">
        <v>4</v>
      </c>
      <c r="O707" s="4" t="str" cm="1">
        <f t="array" ref="O707">_xlfn.IFS(P707&lt;=2,"Poor",P707=3,"Average",P707&gt;=4,"Good")</f>
        <v>Good</v>
      </c>
      <c r="P707" s="3">
        <v>5</v>
      </c>
      <c r="Q707" s="2">
        <v>0</v>
      </c>
      <c r="R707" s="4" t="s">
        <v>85</v>
      </c>
      <c r="S707" s="4" t="s">
        <v>84</v>
      </c>
      <c r="T707" s="3">
        <v>0</v>
      </c>
      <c r="U707" s="4" t="str" cm="1">
        <f t="array" ref="U707">_xlfn.IFS(V707&lt;=4, "Dissatisfied",V707&lt;=7,"Neutral",V707&gt;=8,"Satisfied")</f>
        <v>Neutral</v>
      </c>
      <c r="V707" s="3">
        <v>7</v>
      </c>
      <c r="W707" s="4" t="s">
        <v>85</v>
      </c>
      <c r="X707" s="4" t="s">
        <v>60</v>
      </c>
      <c r="Y707" s="4" t="s">
        <v>119</v>
      </c>
      <c r="Z707" s="1">
        <v>45539</v>
      </c>
      <c r="AA707" s="4" t="str" cm="1">
        <f t="array" ref="AA707">_xlfn.IFS(OR(AB707="December", AB707="February", AB707="January"), "Winter", OR(AB707="March", AB707="April", AB707="May"), "Spring", OR(AB707="June", AB707="July", AB707="August"), "Summer", TRUE, "Autumn")</f>
        <v>Autumn</v>
      </c>
      <c r="AB707" s="7" t="str">
        <f>TEXT(Z707, "mmmm")</f>
        <v>September</v>
      </c>
      <c r="AC707" s="1" t="str">
        <f>TEXT(Z707, "dddd")</f>
        <v>Wednesday</v>
      </c>
      <c r="AD707" s="4" t="s">
        <v>76</v>
      </c>
      <c r="AE707" s="4" t="s">
        <v>76</v>
      </c>
      <c r="AF707" s="4" t="s">
        <v>63</v>
      </c>
      <c r="AG707" s="4" t="s">
        <v>64</v>
      </c>
      <c r="AH707" s="3">
        <v>14</v>
      </c>
    </row>
    <row r="708" spans="1:34">
      <c r="A708" s="4" t="s">
        <v>1506</v>
      </c>
      <c r="B708" s="3">
        <v>31</v>
      </c>
      <c r="C708" s="9" t="str" cm="1">
        <f t="array" ref="C708">_xlfn.IFS(B708&gt;65,"+65",B708&gt;54,"55-65",B708&gt;44,"45-54",B708&gt;35,"36-44",B708&gt;25,"26-35",B708&gt;=18,"18-25")</f>
        <v>26-35</v>
      </c>
      <c r="D708" s="4" t="s">
        <v>78</v>
      </c>
      <c r="E708" s="4" t="s">
        <v>51</v>
      </c>
      <c r="F708" s="4" t="s">
        <v>52</v>
      </c>
      <c r="G708" s="4" t="s">
        <v>68</v>
      </c>
      <c r="H708" s="4" t="s">
        <v>1507</v>
      </c>
      <c r="I708" s="4" t="s">
        <v>55</v>
      </c>
      <c r="J708" s="5">
        <v>489.05</v>
      </c>
      <c r="K708" s="3">
        <v>10</v>
      </c>
      <c r="L708" s="4" t="str">
        <f>IF(AND(J708&gt;350,K708&gt;6), "True","False")</f>
        <v>True</v>
      </c>
      <c r="M708" s="4" t="s">
        <v>56</v>
      </c>
      <c r="N708" s="3">
        <v>5</v>
      </c>
      <c r="O708" s="4" t="str" cm="1">
        <f t="array" ref="O708">_xlfn.IFS(P708&lt;=2,"Poor",P708=3,"Average",P708&gt;=4,"Good")</f>
        <v>Average</v>
      </c>
      <c r="P708" s="3">
        <v>3</v>
      </c>
      <c r="Q708" s="2">
        <v>0</v>
      </c>
      <c r="R708" s="4" t="s">
        <v>72</v>
      </c>
      <c r="S708" s="4" t="s">
        <v>84</v>
      </c>
      <c r="T708" s="3">
        <v>2</v>
      </c>
      <c r="U708" s="4" t="str" cm="1">
        <f t="array" ref="U708">_xlfn.IFS(V708&lt;=4, "Dissatisfied",V708&lt;=7,"Neutral",V708&gt;=8,"Satisfied")</f>
        <v>Dissatisfied</v>
      </c>
      <c r="V708" s="3">
        <v>2</v>
      </c>
      <c r="W708" s="4" t="s">
        <v>72</v>
      </c>
      <c r="X708" s="4" t="s">
        <v>101</v>
      </c>
      <c r="Y708" s="4" t="s">
        <v>86</v>
      </c>
      <c r="Z708" s="1">
        <v>45539</v>
      </c>
      <c r="AA708" s="4" t="str" cm="1">
        <f t="array" ref="AA708">_xlfn.IFS(OR(AB708="December", AB708="February", AB708="January"), "Winter", OR(AB708="March", AB708="April", AB708="May"), "Spring", OR(AB708="June", AB708="July", AB708="August"), "Summer", TRUE, "Autumn")</f>
        <v>Autumn</v>
      </c>
      <c r="AB708" s="7" t="str">
        <f>TEXT(Z708, "mmmm")</f>
        <v>September</v>
      </c>
      <c r="AC708" s="1" t="str">
        <f>TEXT(Z708, "dddd")</f>
        <v>Wednesday</v>
      </c>
      <c r="AD708" s="4" t="s">
        <v>62</v>
      </c>
      <c r="AE708" s="4" t="s">
        <v>62</v>
      </c>
      <c r="AF708" s="4" t="s">
        <v>87</v>
      </c>
      <c r="AG708" s="4" t="s">
        <v>64</v>
      </c>
      <c r="AH708" s="3">
        <v>7</v>
      </c>
    </row>
    <row r="709" spans="1:34">
      <c r="A709" s="4" t="s">
        <v>1508</v>
      </c>
      <c r="B709" s="3">
        <v>34</v>
      </c>
      <c r="C709" s="9" t="str" cm="1">
        <f t="array" ref="C709">_xlfn.IFS(B709&gt;65,"+65",B709&gt;54,"55-65",B709&gt;44,"45-54",B709&gt;35,"36-44",B709&gt;25,"26-35",B709&gt;=18,"18-25")</f>
        <v>26-35</v>
      </c>
      <c r="D709" s="4" t="s">
        <v>78</v>
      </c>
      <c r="E709" s="4" t="s">
        <v>72</v>
      </c>
      <c r="F709" s="4" t="s">
        <v>79</v>
      </c>
      <c r="G709" s="4" t="s">
        <v>68</v>
      </c>
      <c r="H709" s="4" t="s">
        <v>1509</v>
      </c>
      <c r="I709" s="4" t="s">
        <v>100</v>
      </c>
      <c r="J709" s="5">
        <v>402.86</v>
      </c>
      <c r="K709" s="3">
        <v>11</v>
      </c>
      <c r="L709" s="4" t="str">
        <f>IF(AND(J709&gt;350,K709&gt;6), "True","False")</f>
        <v>True</v>
      </c>
      <c r="M709" s="4" t="s">
        <v>71</v>
      </c>
      <c r="N709" s="3">
        <v>3</v>
      </c>
      <c r="O709" s="4" t="str" cm="1">
        <f t="array" ref="O709">_xlfn.IFS(P709&lt;=2,"Poor",P709=3,"Average",P709&gt;=4,"Good")</f>
        <v>Good</v>
      </c>
      <c r="P709" s="3">
        <v>5</v>
      </c>
      <c r="Q709" s="2">
        <v>1</v>
      </c>
      <c r="R709" s="4" t="s">
        <v>72</v>
      </c>
      <c r="S709" s="4" t="s">
        <v>58</v>
      </c>
      <c r="T709" s="3">
        <v>0</v>
      </c>
      <c r="U709" s="4" t="str" cm="1">
        <f t="array" ref="U709">_xlfn.IFS(V709&lt;=4, "Dissatisfied",V709&lt;=7,"Neutral",V709&gt;=8,"Satisfied")</f>
        <v>Dissatisfied</v>
      </c>
      <c r="V709" s="3">
        <v>2</v>
      </c>
      <c r="W709" s="4" t="s">
        <v>57</v>
      </c>
      <c r="X709" s="4" t="s">
        <v>101</v>
      </c>
      <c r="Y709" s="4" t="s">
        <v>61</v>
      </c>
      <c r="Z709" s="1">
        <v>45540</v>
      </c>
      <c r="AA709" s="4" t="str" cm="1">
        <f t="array" ref="AA709">_xlfn.IFS(OR(AB709="December", AB709="February", AB709="January"), "Winter", OR(AB709="March", AB709="April", AB709="May"), "Spring", OR(AB709="June", AB709="July", AB709="August"), "Summer", TRUE, "Autumn")</f>
        <v>Autumn</v>
      </c>
      <c r="AB709" s="7" t="str">
        <f>TEXT(Z709, "mmmm")</f>
        <v>September</v>
      </c>
      <c r="AC709" s="1" t="str">
        <f>TEXT(Z709, "dddd")</f>
        <v>Thursday</v>
      </c>
      <c r="AD709" s="4" t="s">
        <v>76</v>
      </c>
      <c r="AE709" s="4" t="s">
        <v>76</v>
      </c>
      <c r="AF709" s="4" t="s">
        <v>92</v>
      </c>
      <c r="AG709" s="4" t="s">
        <v>64</v>
      </c>
      <c r="AH709" s="3">
        <v>8</v>
      </c>
    </row>
    <row r="710" spans="1:34">
      <c r="A710" s="4" t="s">
        <v>1510</v>
      </c>
      <c r="B710" s="3">
        <v>33</v>
      </c>
      <c r="C710" s="9" t="str" cm="1">
        <f t="array" ref="C710">_xlfn.IFS(B710&gt;65,"+65",B710&gt;54,"55-65",B710&gt;44,"45-54",B710&gt;35,"36-44",B710&gt;25,"26-35",B710&gt;=18,"18-25")</f>
        <v>26-35</v>
      </c>
      <c r="D710" s="4" t="s">
        <v>78</v>
      </c>
      <c r="E710" s="4" t="s">
        <v>72</v>
      </c>
      <c r="F710" s="4" t="s">
        <v>67</v>
      </c>
      <c r="G710" s="4" t="s">
        <v>53</v>
      </c>
      <c r="H710" s="4" t="s">
        <v>1511</v>
      </c>
      <c r="I710" s="4" t="s">
        <v>156</v>
      </c>
      <c r="J710" s="5">
        <v>305.29000000000002</v>
      </c>
      <c r="K710" s="3">
        <v>3</v>
      </c>
      <c r="L710" s="4" t="str">
        <f>IF(AND(J710&gt;350,K710&gt;6), "True","False")</f>
        <v>False</v>
      </c>
      <c r="M710" s="4" t="s">
        <v>56</v>
      </c>
      <c r="N710" s="3">
        <v>2</v>
      </c>
      <c r="O710" s="4" t="str" cm="1">
        <f t="array" ref="O710">_xlfn.IFS(P710&lt;=2,"Poor",P710=3,"Average",P710&gt;=4,"Good")</f>
        <v>Average</v>
      </c>
      <c r="P710" s="3">
        <v>3</v>
      </c>
      <c r="Q710" s="2">
        <v>1</v>
      </c>
      <c r="R710" s="4" t="s">
        <v>85</v>
      </c>
      <c r="S710" s="4" t="s">
        <v>73</v>
      </c>
      <c r="T710" s="3">
        <v>1</v>
      </c>
      <c r="U710" s="4" t="str" cm="1">
        <f t="array" ref="U710">_xlfn.IFS(V710&lt;=4, "Dissatisfied",V710&lt;=7,"Neutral",V710&gt;=8,"Satisfied")</f>
        <v>Satisfied</v>
      </c>
      <c r="V710" s="3">
        <v>8</v>
      </c>
      <c r="W710" s="4" t="s">
        <v>85</v>
      </c>
      <c r="X710" s="4" t="s">
        <v>101</v>
      </c>
      <c r="Y710" s="4" t="s">
        <v>75</v>
      </c>
      <c r="Z710" s="1">
        <v>45540</v>
      </c>
      <c r="AA710" s="4" t="str" cm="1">
        <f t="array" ref="AA710">_xlfn.IFS(OR(AB710="December", AB710="February", AB710="January"), "Winter", OR(AB710="March", AB710="April", AB710="May"), "Spring", OR(AB710="June", AB710="July", AB710="August"), "Summer", TRUE, "Autumn")</f>
        <v>Autumn</v>
      </c>
      <c r="AB710" s="7" t="str">
        <f>TEXT(Z710, "mmmm")</f>
        <v>September</v>
      </c>
      <c r="AC710" s="1" t="str">
        <f>TEXT(Z710, "dddd")</f>
        <v>Thursday</v>
      </c>
      <c r="AD710" s="4" t="s">
        <v>62</v>
      </c>
      <c r="AE710" s="4" t="s">
        <v>62</v>
      </c>
      <c r="AF710" s="4" t="s">
        <v>92</v>
      </c>
      <c r="AG710" s="4" t="s">
        <v>64</v>
      </c>
      <c r="AH710" s="3">
        <v>10</v>
      </c>
    </row>
    <row r="711" spans="1:34">
      <c r="A711" s="4" t="s">
        <v>1512</v>
      </c>
      <c r="B711" s="3">
        <v>29</v>
      </c>
      <c r="C711" s="9" t="str" cm="1">
        <f t="array" ref="C711">_xlfn.IFS(B711&gt;65,"+65",B711&gt;54,"55-65",B711&gt;44,"45-54",B711&gt;35,"36-44",B711&gt;25,"26-35",B711&gt;=18,"18-25")</f>
        <v>26-35</v>
      </c>
      <c r="D711" s="4" t="s">
        <v>78</v>
      </c>
      <c r="E711" s="4" t="s">
        <v>51</v>
      </c>
      <c r="F711" s="4" t="s">
        <v>95</v>
      </c>
      <c r="G711" s="4" t="s">
        <v>68</v>
      </c>
      <c r="H711" s="4" t="s">
        <v>1513</v>
      </c>
      <c r="I711" s="4" t="s">
        <v>110</v>
      </c>
      <c r="J711" s="5">
        <v>385.32</v>
      </c>
      <c r="K711" s="3">
        <v>10</v>
      </c>
      <c r="L711" s="4" t="str">
        <f>IF(AND(J711&gt;350,K711&gt;6), "True","False")</f>
        <v>True</v>
      </c>
      <c r="M711" s="4" t="s">
        <v>56</v>
      </c>
      <c r="N711" s="3">
        <v>1</v>
      </c>
      <c r="O711" s="4" t="str" cm="1">
        <f t="array" ref="O711">_xlfn.IFS(P711&lt;=2,"Poor",P711=3,"Average",P711&gt;=4,"Good")</f>
        <v>Poor</v>
      </c>
      <c r="P711" s="3">
        <v>1</v>
      </c>
      <c r="Q711" s="2">
        <v>1</v>
      </c>
      <c r="R711" s="4" t="s">
        <v>59</v>
      </c>
      <c r="S711" s="4" t="s">
        <v>73</v>
      </c>
      <c r="T711" s="3">
        <v>0</v>
      </c>
      <c r="U711" s="4" t="str" cm="1">
        <f t="array" ref="U711">_xlfn.IFS(V711&lt;=4, "Dissatisfied",V711&lt;=7,"Neutral",V711&gt;=8,"Satisfied")</f>
        <v>Dissatisfied</v>
      </c>
      <c r="V711" s="3">
        <v>1</v>
      </c>
      <c r="W711" s="4" t="s">
        <v>85</v>
      </c>
      <c r="X711" s="4" t="s">
        <v>60</v>
      </c>
      <c r="Y711" s="4" t="s">
        <v>86</v>
      </c>
      <c r="Z711" s="1">
        <v>45540</v>
      </c>
      <c r="AA711" s="4" t="str" cm="1">
        <f t="array" ref="AA711">_xlfn.IFS(OR(AB711="December", AB711="February", AB711="January"), "Winter", OR(AB711="March", AB711="April", AB711="May"), "Spring", OR(AB711="June", AB711="July", AB711="August"), "Summer", TRUE, "Autumn")</f>
        <v>Autumn</v>
      </c>
      <c r="AB711" s="7" t="str">
        <f>TEXT(Z711, "mmmm")</f>
        <v>September</v>
      </c>
      <c r="AC711" s="1" t="str">
        <f>TEXT(Z711, "dddd")</f>
        <v>Thursday</v>
      </c>
      <c r="AD711" s="4" t="s">
        <v>62</v>
      </c>
      <c r="AE711" s="4" t="s">
        <v>62</v>
      </c>
      <c r="AF711" s="4" t="s">
        <v>92</v>
      </c>
      <c r="AG711" s="4" t="s">
        <v>64</v>
      </c>
      <c r="AH711" s="3">
        <v>9</v>
      </c>
    </row>
    <row r="712" spans="1:34">
      <c r="A712" s="4" t="s">
        <v>1514</v>
      </c>
      <c r="B712" s="3">
        <v>26</v>
      </c>
      <c r="C712" s="9" t="str" cm="1">
        <f t="array" ref="C712">_xlfn.IFS(B712&gt;65,"+65",B712&gt;54,"55-65",B712&gt;44,"45-54",B712&gt;35,"36-44",B712&gt;25,"26-35",B712&gt;=18,"18-25")</f>
        <v>26-35</v>
      </c>
      <c r="D712" s="4" t="s">
        <v>456</v>
      </c>
      <c r="E712" s="4" t="s">
        <v>51</v>
      </c>
      <c r="F712" s="4" t="s">
        <v>67</v>
      </c>
      <c r="G712" s="4" t="s">
        <v>53</v>
      </c>
      <c r="H712" s="4" t="s">
        <v>1515</v>
      </c>
      <c r="I712" s="4" t="s">
        <v>146</v>
      </c>
      <c r="J712" s="5">
        <v>339.32</v>
      </c>
      <c r="K712" s="3">
        <v>9</v>
      </c>
      <c r="L712" s="4" t="str">
        <f>IF(AND(J712&gt;350,K712&gt;6), "True","False")</f>
        <v>False</v>
      </c>
      <c r="M712" s="4" t="s">
        <v>71</v>
      </c>
      <c r="N712" s="3">
        <v>2</v>
      </c>
      <c r="O712" s="4" t="str" cm="1">
        <f t="array" ref="O712">_xlfn.IFS(P712&lt;=2,"Poor",P712=3,"Average",P712&gt;=4,"Good")</f>
        <v>Good</v>
      </c>
      <c r="P712" s="3">
        <v>4</v>
      </c>
      <c r="Q712" s="2">
        <v>0</v>
      </c>
      <c r="R712" s="4" t="s">
        <v>85</v>
      </c>
      <c r="S712" s="4" t="s">
        <v>73</v>
      </c>
      <c r="T712" s="3">
        <v>1</v>
      </c>
      <c r="U712" s="4" t="str" cm="1">
        <f t="array" ref="U712">_xlfn.IFS(V712&lt;=4, "Dissatisfied",V712&lt;=7,"Neutral",V712&gt;=8,"Satisfied")</f>
        <v>Dissatisfied</v>
      </c>
      <c r="V712" s="3">
        <v>4</v>
      </c>
      <c r="W712" s="4" t="s">
        <v>72</v>
      </c>
      <c r="X712" s="4" t="s">
        <v>74</v>
      </c>
      <c r="Y712" s="4" t="s">
        <v>111</v>
      </c>
      <c r="Z712" s="1">
        <v>45540</v>
      </c>
      <c r="AA712" s="4" t="str" cm="1">
        <f t="array" ref="AA712">_xlfn.IFS(OR(AB712="December", AB712="February", AB712="January"), "Winter", OR(AB712="March", AB712="April", AB712="May"), "Spring", OR(AB712="June", AB712="July", AB712="August"), "Summer", TRUE, "Autumn")</f>
        <v>Autumn</v>
      </c>
      <c r="AB712" s="7" t="str">
        <f>TEXT(Z712, "mmmm")</f>
        <v>September</v>
      </c>
      <c r="AC712" s="1" t="str">
        <f>TEXT(Z712, "dddd")</f>
        <v>Thursday</v>
      </c>
      <c r="AD712" s="4" t="s">
        <v>76</v>
      </c>
      <c r="AE712" s="4" t="s">
        <v>76</v>
      </c>
      <c r="AF712" s="4" t="s">
        <v>63</v>
      </c>
      <c r="AG712" s="4" t="s">
        <v>88</v>
      </c>
      <c r="AH712" s="3">
        <v>7</v>
      </c>
    </row>
    <row r="713" spans="1:34">
      <c r="A713" s="4" t="s">
        <v>1516</v>
      </c>
      <c r="B713" s="3">
        <v>23</v>
      </c>
      <c r="C713" s="9" t="str" cm="1">
        <f t="array" ref="C713">_xlfn.IFS(B713&gt;65,"+65",B713&gt;54,"55-65",B713&gt;44,"45-54",B713&gt;35,"36-44",B713&gt;25,"26-35",B713&gt;=18,"18-25")</f>
        <v>18-25</v>
      </c>
      <c r="D713" s="4" t="s">
        <v>66</v>
      </c>
      <c r="E713" s="4" t="s">
        <v>51</v>
      </c>
      <c r="F713" s="4" t="s">
        <v>67</v>
      </c>
      <c r="G713" s="4" t="s">
        <v>53</v>
      </c>
      <c r="H713" s="4" t="s">
        <v>1517</v>
      </c>
      <c r="I713" s="4" t="s">
        <v>118</v>
      </c>
      <c r="J713" s="5">
        <v>336.96</v>
      </c>
      <c r="K713" s="3">
        <v>2</v>
      </c>
      <c r="L713" s="4" t="str">
        <f>IF(AND(J713&gt;350,K713&gt;6), "True","False")</f>
        <v>False</v>
      </c>
      <c r="M713" s="4" t="s">
        <v>71</v>
      </c>
      <c r="N713" s="3">
        <v>5</v>
      </c>
      <c r="O713" s="4" t="str" cm="1">
        <f t="array" ref="O713">_xlfn.IFS(P713&lt;=2,"Poor",P713=3,"Average",P713&gt;=4,"Good")</f>
        <v>Poor</v>
      </c>
      <c r="P713" s="3">
        <v>2</v>
      </c>
      <c r="Q713" s="2">
        <v>2</v>
      </c>
      <c r="R713" s="4" t="s">
        <v>72</v>
      </c>
      <c r="S713" s="4" t="s">
        <v>58</v>
      </c>
      <c r="T713" s="3">
        <v>0</v>
      </c>
      <c r="U713" s="4" t="str" cm="1">
        <f t="array" ref="U713">_xlfn.IFS(V713&lt;=4, "Dissatisfied",V713&lt;=7,"Neutral",V713&gt;=8,"Satisfied")</f>
        <v>Neutral</v>
      </c>
      <c r="V713" s="3">
        <v>7</v>
      </c>
      <c r="W713" s="4" t="s">
        <v>59</v>
      </c>
      <c r="X713" s="4" t="s">
        <v>74</v>
      </c>
      <c r="Y713" s="4" t="s">
        <v>86</v>
      </c>
      <c r="Z713" s="1">
        <v>45540</v>
      </c>
      <c r="AA713" s="4" t="str" cm="1">
        <f t="array" ref="AA713">_xlfn.IFS(OR(AB713="December", AB713="February", AB713="January"), "Winter", OR(AB713="March", AB713="April", AB713="May"), "Spring", OR(AB713="June", AB713="July", AB713="August"), "Summer", TRUE, "Autumn")</f>
        <v>Autumn</v>
      </c>
      <c r="AB713" s="7" t="str">
        <f>TEXT(Z713, "mmmm")</f>
        <v>September</v>
      </c>
      <c r="AC713" s="1" t="str">
        <f>TEXT(Z713, "dddd")</f>
        <v>Thursday</v>
      </c>
      <c r="AD713" s="4" t="s">
        <v>62</v>
      </c>
      <c r="AE713" s="4" t="s">
        <v>62</v>
      </c>
      <c r="AF713" s="4" t="s">
        <v>92</v>
      </c>
      <c r="AG713" s="4" t="s">
        <v>88</v>
      </c>
      <c r="AH713" s="3">
        <v>7</v>
      </c>
    </row>
    <row r="714" spans="1:34">
      <c r="A714" s="4" t="s">
        <v>1518</v>
      </c>
      <c r="B714" s="3">
        <v>43</v>
      </c>
      <c r="C714" s="9" t="str" cm="1">
        <f t="array" ref="C714">_xlfn.IFS(B714&gt;65,"+65",B714&gt;54,"55-65",B714&gt;44,"45-54",B714&gt;35,"36-44",B714&gt;25,"26-35",B714&gt;=18,"18-25")</f>
        <v>36-44</v>
      </c>
      <c r="D714" s="4" t="s">
        <v>78</v>
      </c>
      <c r="E714" s="4" t="s">
        <v>72</v>
      </c>
      <c r="F714" s="4" t="s">
        <v>79</v>
      </c>
      <c r="G714" s="4" t="s">
        <v>68</v>
      </c>
      <c r="H714" s="4" t="s">
        <v>1519</v>
      </c>
      <c r="I714" s="4" t="s">
        <v>100</v>
      </c>
      <c r="J714" s="5">
        <v>345.49</v>
      </c>
      <c r="K714" s="3">
        <v>9</v>
      </c>
      <c r="L714" s="4" t="str">
        <f>IF(AND(J714&gt;350,K714&gt;6), "True","False")</f>
        <v>False</v>
      </c>
      <c r="M714" s="4" t="s">
        <v>83</v>
      </c>
      <c r="N714" s="3">
        <v>3</v>
      </c>
      <c r="O714" s="4" t="str" cm="1">
        <f t="array" ref="O714">_xlfn.IFS(P714&lt;=2,"Poor",P714=3,"Average",P714&gt;=4,"Good")</f>
        <v>Poor</v>
      </c>
      <c r="P714" s="3">
        <v>1</v>
      </c>
      <c r="Q714" s="2">
        <v>2</v>
      </c>
      <c r="R714" s="4" t="s">
        <v>72</v>
      </c>
      <c r="S714" s="4" t="s">
        <v>58</v>
      </c>
      <c r="T714" s="3">
        <v>0</v>
      </c>
      <c r="U714" s="4" t="str" cm="1">
        <f t="array" ref="U714">_xlfn.IFS(V714&lt;=4, "Dissatisfied",V714&lt;=7,"Neutral",V714&gt;=8,"Satisfied")</f>
        <v>Satisfied</v>
      </c>
      <c r="V714" s="3">
        <v>10</v>
      </c>
      <c r="W714" s="4" t="s">
        <v>85</v>
      </c>
      <c r="X714" s="4" t="s">
        <v>74</v>
      </c>
      <c r="Y714" s="4" t="s">
        <v>86</v>
      </c>
      <c r="Z714" s="1">
        <v>45541</v>
      </c>
      <c r="AA714" s="4" t="str" cm="1">
        <f t="array" ref="AA714">_xlfn.IFS(OR(AB714="December", AB714="February", AB714="January"), "Winter", OR(AB714="March", AB714="April", AB714="May"), "Spring", OR(AB714="June", AB714="July", AB714="August"), "Summer", TRUE, "Autumn")</f>
        <v>Autumn</v>
      </c>
      <c r="AB714" s="7" t="str">
        <f>TEXT(Z714, "mmmm")</f>
        <v>September</v>
      </c>
      <c r="AC714" s="1" t="str">
        <f>TEXT(Z714, "dddd")</f>
        <v>Friday</v>
      </c>
      <c r="AD714" s="4" t="s">
        <v>62</v>
      </c>
      <c r="AE714" s="4" t="s">
        <v>76</v>
      </c>
      <c r="AF714" s="4" t="s">
        <v>92</v>
      </c>
      <c r="AG714" s="4" t="s">
        <v>93</v>
      </c>
      <c r="AH714" s="3">
        <v>3</v>
      </c>
    </row>
    <row r="715" spans="1:34">
      <c r="A715" s="4" t="s">
        <v>1520</v>
      </c>
      <c r="B715" s="3">
        <v>32</v>
      </c>
      <c r="C715" s="9" t="str" cm="1">
        <f t="array" ref="C715">_xlfn.IFS(B715&gt;65,"+65",B715&gt;54,"55-65",B715&gt;44,"45-54",B715&gt;35,"36-44",B715&gt;25,"26-35",B715&gt;=18,"18-25")</f>
        <v>26-35</v>
      </c>
      <c r="D715" s="4" t="s">
        <v>66</v>
      </c>
      <c r="E715" s="4" t="s">
        <v>72</v>
      </c>
      <c r="F715" s="4" t="s">
        <v>52</v>
      </c>
      <c r="G715" s="4" t="s">
        <v>53</v>
      </c>
      <c r="H715" s="4" t="s">
        <v>1521</v>
      </c>
      <c r="I715" s="4" t="s">
        <v>55</v>
      </c>
      <c r="J715" s="5">
        <v>78.900000000000006</v>
      </c>
      <c r="K715" s="3">
        <v>3</v>
      </c>
      <c r="L715" s="4" t="str">
        <f>IF(AND(J715&gt;350,K715&gt;6), "True","False")</f>
        <v>False</v>
      </c>
      <c r="M715" s="4" t="s">
        <v>71</v>
      </c>
      <c r="N715" s="3">
        <v>4</v>
      </c>
      <c r="O715" s="4" t="str" cm="1">
        <f t="array" ref="O715">_xlfn.IFS(P715&lt;=2,"Poor",P715=3,"Average",P715&gt;=4,"Good")</f>
        <v>Poor</v>
      </c>
      <c r="P715" s="3">
        <v>1</v>
      </c>
      <c r="Q715" s="2">
        <v>1</v>
      </c>
      <c r="R715" s="4" t="s">
        <v>59</v>
      </c>
      <c r="S715" s="4" t="s">
        <v>58</v>
      </c>
      <c r="T715" s="3">
        <v>0</v>
      </c>
      <c r="U715" s="4" t="str" cm="1">
        <f t="array" ref="U715">_xlfn.IFS(V715&lt;=4, "Dissatisfied",V715&lt;=7,"Neutral",V715&gt;=8,"Satisfied")</f>
        <v>Dissatisfied</v>
      </c>
      <c r="V715" s="3">
        <v>1</v>
      </c>
      <c r="W715" s="4" t="s">
        <v>85</v>
      </c>
      <c r="X715" s="4" t="s">
        <v>74</v>
      </c>
      <c r="Y715" s="4" t="s">
        <v>75</v>
      </c>
      <c r="Z715" s="1">
        <v>45542</v>
      </c>
      <c r="AA715" s="4" t="str" cm="1">
        <f t="array" ref="AA715">_xlfn.IFS(OR(AB715="December", AB715="February", AB715="January"), "Winter", OR(AB715="March", AB715="April", AB715="May"), "Spring", OR(AB715="June", AB715="July", AB715="August"), "Summer", TRUE, "Autumn")</f>
        <v>Autumn</v>
      </c>
      <c r="AB715" s="7" t="str">
        <f>TEXT(Z715, "mmmm")</f>
        <v>September</v>
      </c>
      <c r="AC715" s="1" t="str">
        <f>TEXT(Z715, "dddd")</f>
        <v>Saturday</v>
      </c>
      <c r="AD715" s="4" t="s">
        <v>76</v>
      </c>
      <c r="AE715" s="4" t="s">
        <v>62</v>
      </c>
      <c r="AF715" s="4" t="s">
        <v>87</v>
      </c>
      <c r="AG715" s="4" t="s">
        <v>64</v>
      </c>
      <c r="AH715" s="3">
        <v>10</v>
      </c>
    </row>
    <row r="716" spans="1:34">
      <c r="A716" s="4" t="s">
        <v>1522</v>
      </c>
      <c r="B716" s="3">
        <v>26</v>
      </c>
      <c r="C716" s="9" t="str" cm="1">
        <f t="array" ref="C716">_xlfn.IFS(B716&gt;65,"+65",B716&gt;54,"55-65",B716&gt;44,"45-54",B716&gt;35,"36-44",B716&gt;25,"26-35",B716&gt;=18,"18-25")</f>
        <v>26-35</v>
      </c>
      <c r="D716" s="4" t="s">
        <v>66</v>
      </c>
      <c r="E716" s="4" t="s">
        <v>72</v>
      </c>
      <c r="F716" s="4" t="s">
        <v>95</v>
      </c>
      <c r="G716" s="4" t="s">
        <v>53</v>
      </c>
      <c r="H716" s="4" t="s">
        <v>1523</v>
      </c>
      <c r="I716" s="4" t="s">
        <v>118</v>
      </c>
      <c r="J716" s="5">
        <v>278.49</v>
      </c>
      <c r="K716" s="3">
        <v>4</v>
      </c>
      <c r="L716" s="4" t="str">
        <f>IF(AND(J716&gt;350,K716&gt;6), "True","False")</f>
        <v>False</v>
      </c>
      <c r="M716" s="4" t="s">
        <v>83</v>
      </c>
      <c r="N716" s="3">
        <v>5</v>
      </c>
      <c r="O716" s="4" t="str" cm="1">
        <f t="array" ref="O716">_xlfn.IFS(P716&lt;=2,"Poor",P716=3,"Average",P716&gt;=4,"Good")</f>
        <v>Good</v>
      </c>
      <c r="P716" s="3">
        <v>5</v>
      </c>
      <c r="Q716" s="2">
        <v>0</v>
      </c>
      <c r="R716" s="4" t="s">
        <v>59</v>
      </c>
      <c r="S716" s="4" t="s">
        <v>84</v>
      </c>
      <c r="T716" s="3">
        <v>1</v>
      </c>
      <c r="U716" s="4" t="str" cm="1">
        <f t="array" ref="U716">_xlfn.IFS(V716&lt;=4, "Dissatisfied",V716&lt;=7,"Neutral",V716&gt;=8,"Satisfied")</f>
        <v>Neutral</v>
      </c>
      <c r="V716" s="3">
        <v>5</v>
      </c>
      <c r="W716" s="4" t="s">
        <v>59</v>
      </c>
      <c r="X716" s="4" t="s">
        <v>60</v>
      </c>
      <c r="Y716" s="4" t="s">
        <v>119</v>
      </c>
      <c r="Z716" s="1">
        <v>45543</v>
      </c>
      <c r="AA716" s="4" t="str" cm="1">
        <f t="array" ref="AA716">_xlfn.IFS(OR(AB716="December", AB716="February", AB716="January"), "Winter", OR(AB716="March", AB716="April", AB716="May"), "Spring", OR(AB716="June", AB716="July", AB716="August"), "Summer", TRUE, "Autumn")</f>
        <v>Autumn</v>
      </c>
      <c r="AB716" s="7" t="str">
        <f>TEXT(Z716, "mmmm")</f>
        <v>September</v>
      </c>
      <c r="AC716" s="1" t="str">
        <f>TEXT(Z716, "dddd")</f>
        <v>Sunday</v>
      </c>
      <c r="AD716" s="4" t="s">
        <v>62</v>
      </c>
      <c r="AE716" s="4" t="s">
        <v>62</v>
      </c>
      <c r="AF716" s="4" t="s">
        <v>63</v>
      </c>
      <c r="AG716" s="4" t="s">
        <v>93</v>
      </c>
      <c r="AH716" s="3">
        <v>8</v>
      </c>
    </row>
    <row r="717" spans="1:34">
      <c r="A717" s="4" t="s">
        <v>1524</v>
      </c>
      <c r="B717" s="3">
        <v>48</v>
      </c>
      <c r="C717" s="9" t="str" cm="1">
        <f t="array" ref="C717">_xlfn.IFS(B717&gt;65,"+65",B717&gt;54,"55-65",B717&gt;44,"45-54",B717&gt;35,"36-44",B717&gt;25,"26-35",B717&gt;=18,"18-25")</f>
        <v>45-54</v>
      </c>
      <c r="D717" s="4" t="s">
        <v>66</v>
      </c>
      <c r="E717" s="4" t="s">
        <v>51</v>
      </c>
      <c r="F717" s="4" t="s">
        <v>95</v>
      </c>
      <c r="G717" s="4" t="s">
        <v>53</v>
      </c>
      <c r="H717" s="4" t="s">
        <v>1525</v>
      </c>
      <c r="I717" s="4" t="s">
        <v>100</v>
      </c>
      <c r="J717" s="5">
        <v>476.42</v>
      </c>
      <c r="K717" s="3">
        <v>7</v>
      </c>
      <c r="L717" s="4" t="str">
        <f>IF(AND(J717&gt;350,K717&gt;6), "True","False")</f>
        <v>True</v>
      </c>
      <c r="M717" s="4" t="s">
        <v>71</v>
      </c>
      <c r="N717" s="3">
        <v>1</v>
      </c>
      <c r="O717" s="4" t="str" cm="1">
        <f t="array" ref="O717">_xlfn.IFS(P717&lt;=2,"Poor",P717=3,"Average",P717&gt;=4,"Good")</f>
        <v>Poor</v>
      </c>
      <c r="P717" s="3">
        <v>1</v>
      </c>
      <c r="Q717" s="2">
        <v>1</v>
      </c>
      <c r="R717" s="4" t="s">
        <v>72</v>
      </c>
      <c r="S717" s="4" t="s">
        <v>73</v>
      </c>
      <c r="T717" s="3">
        <v>0</v>
      </c>
      <c r="U717" s="4" t="str" cm="1">
        <f t="array" ref="U717">_xlfn.IFS(V717&lt;=4, "Dissatisfied",V717&lt;=7,"Neutral",V717&gt;=8,"Satisfied")</f>
        <v>Dissatisfied</v>
      </c>
      <c r="V717" s="3">
        <v>2</v>
      </c>
      <c r="W717" s="4" t="s">
        <v>72</v>
      </c>
      <c r="X717" s="4" t="s">
        <v>101</v>
      </c>
      <c r="Y717" s="4" t="s">
        <v>75</v>
      </c>
      <c r="Z717" s="1">
        <v>45544</v>
      </c>
      <c r="AA717" s="4" t="str" cm="1">
        <f t="array" ref="AA717">_xlfn.IFS(OR(AB717="December", AB717="February", AB717="January"), "Winter", OR(AB717="March", AB717="April", AB717="May"), "Spring", OR(AB717="June", AB717="July", AB717="August"), "Summer", TRUE, "Autumn")</f>
        <v>Autumn</v>
      </c>
      <c r="AB717" s="7" t="str">
        <f>TEXT(Z717, "mmmm")</f>
        <v>September</v>
      </c>
      <c r="AC717" s="1" t="str">
        <f>TEXT(Z717, "dddd")</f>
        <v>Monday</v>
      </c>
      <c r="AD717" s="4" t="s">
        <v>62</v>
      </c>
      <c r="AE717" s="4" t="s">
        <v>76</v>
      </c>
      <c r="AF717" s="4" t="s">
        <v>63</v>
      </c>
      <c r="AG717" s="4" t="s">
        <v>64</v>
      </c>
      <c r="AH717" s="3">
        <v>2</v>
      </c>
    </row>
    <row r="718" spans="1:34">
      <c r="A718" s="4" t="s">
        <v>1526</v>
      </c>
      <c r="B718" s="3">
        <v>28</v>
      </c>
      <c r="C718" s="9" t="str" cm="1">
        <f t="array" ref="C718">_xlfn.IFS(B718&gt;65,"+65",B718&gt;54,"55-65",B718&gt;44,"45-54",B718&gt;35,"36-44",B718&gt;25,"26-35",B718&gt;=18,"18-25")</f>
        <v>26-35</v>
      </c>
      <c r="D718" s="4" t="s">
        <v>78</v>
      </c>
      <c r="E718" s="4" t="s">
        <v>51</v>
      </c>
      <c r="F718" s="4" t="s">
        <v>67</v>
      </c>
      <c r="G718" s="4" t="s">
        <v>80</v>
      </c>
      <c r="H718" s="4" t="s">
        <v>1527</v>
      </c>
      <c r="I718" s="4" t="s">
        <v>146</v>
      </c>
      <c r="J718" s="5">
        <v>137.75</v>
      </c>
      <c r="K718" s="3">
        <v>6</v>
      </c>
      <c r="L718" s="4" t="str">
        <f>IF(AND(J718&gt;350,K718&gt;6), "True","False")</f>
        <v>False</v>
      </c>
      <c r="M718" s="4" t="s">
        <v>56</v>
      </c>
      <c r="N718" s="3">
        <v>3</v>
      </c>
      <c r="O718" s="4" t="str" cm="1">
        <f t="array" ref="O718">_xlfn.IFS(P718&lt;=2,"Poor",P718=3,"Average",P718&gt;=4,"Good")</f>
        <v>Average</v>
      </c>
      <c r="P718" s="3">
        <v>3</v>
      </c>
      <c r="Q718" s="2">
        <v>2</v>
      </c>
      <c r="R718" s="4" t="s">
        <v>72</v>
      </c>
      <c r="S718" s="4" t="s">
        <v>73</v>
      </c>
      <c r="T718" s="3">
        <v>0</v>
      </c>
      <c r="U718" s="4" t="str" cm="1">
        <f t="array" ref="U718">_xlfn.IFS(V718&lt;=4, "Dissatisfied",V718&lt;=7,"Neutral",V718&gt;=8,"Satisfied")</f>
        <v>Dissatisfied</v>
      </c>
      <c r="V718" s="3">
        <v>1</v>
      </c>
      <c r="W718" s="4" t="s">
        <v>85</v>
      </c>
      <c r="X718" s="4" t="s">
        <v>60</v>
      </c>
      <c r="Y718" s="4" t="s">
        <v>61</v>
      </c>
      <c r="Z718" s="1">
        <v>45544</v>
      </c>
      <c r="AA718" s="4" t="str" cm="1">
        <f t="array" ref="AA718">_xlfn.IFS(OR(AB718="December", AB718="February", AB718="January"), "Winter", OR(AB718="March", AB718="April", AB718="May"), "Spring", OR(AB718="June", AB718="July", AB718="August"), "Summer", TRUE, "Autumn")</f>
        <v>Autumn</v>
      </c>
      <c r="AB718" s="7" t="str">
        <f>TEXT(Z718, "mmmm")</f>
        <v>September</v>
      </c>
      <c r="AC718" s="1" t="str">
        <f>TEXT(Z718, "dddd")</f>
        <v>Monday</v>
      </c>
      <c r="AD718" s="4" t="s">
        <v>76</v>
      </c>
      <c r="AE718" s="4" t="s">
        <v>62</v>
      </c>
      <c r="AF718" s="4" t="s">
        <v>63</v>
      </c>
      <c r="AG718" s="4" t="s">
        <v>88</v>
      </c>
      <c r="AH718" s="3">
        <v>4</v>
      </c>
    </row>
    <row r="719" spans="1:34">
      <c r="A719" s="4" t="s">
        <v>1528</v>
      </c>
      <c r="B719" s="3">
        <v>25</v>
      </c>
      <c r="C719" s="9" t="str" cm="1">
        <f t="array" ref="C719">_xlfn.IFS(B719&gt;65,"+65",B719&gt;54,"55-65",B719&gt;44,"45-54",B719&gt;35,"36-44",B719&gt;25,"26-35",B719&gt;=18,"18-25")</f>
        <v>18-25</v>
      </c>
      <c r="D719" s="4" t="s">
        <v>66</v>
      </c>
      <c r="E719" s="4" t="s">
        <v>72</v>
      </c>
      <c r="F719" s="4" t="s">
        <v>79</v>
      </c>
      <c r="G719" s="4" t="s">
        <v>68</v>
      </c>
      <c r="H719" s="4" t="s">
        <v>1529</v>
      </c>
      <c r="I719" s="4" t="s">
        <v>133</v>
      </c>
      <c r="J719" s="5">
        <v>86.39</v>
      </c>
      <c r="K719" s="3">
        <v>5</v>
      </c>
      <c r="L719" s="4" t="str">
        <f>IF(AND(J719&gt;350,K719&gt;6), "True","False")</f>
        <v>False</v>
      </c>
      <c r="M719" s="4" t="s">
        <v>83</v>
      </c>
      <c r="N719" s="3">
        <v>4</v>
      </c>
      <c r="O719" s="4" t="str" cm="1">
        <f t="array" ref="O719">_xlfn.IFS(P719&lt;=2,"Poor",P719=3,"Average",P719&gt;=4,"Good")</f>
        <v>Good</v>
      </c>
      <c r="P719" s="3">
        <v>5</v>
      </c>
      <c r="Q719" s="2">
        <v>1</v>
      </c>
      <c r="R719" s="4" t="s">
        <v>72</v>
      </c>
      <c r="S719" s="4" t="s">
        <v>84</v>
      </c>
      <c r="T719" s="3">
        <v>1</v>
      </c>
      <c r="U719" s="4" t="str" cm="1">
        <f t="array" ref="U719">_xlfn.IFS(V719&lt;=4, "Dissatisfied",V719&lt;=7,"Neutral",V719&gt;=8,"Satisfied")</f>
        <v>Dissatisfied</v>
      </c>
      <c r="V719" s="3">
        <v>1</v>
      </c>
      <c r="W719" s="4" t="s">
        <v>85</v>
      </c>
      <c r="X719" s="4" t="s">
        <v>101</v>
      </c>
      <c r="Y719" s="4" t="s">
        <v>75</v>
      </c>
      <c r="Z719" s="1">
        <v>45544</v>
      </c>
      <c r="AA719" s="4" t="str" cm="1">
        <f t="array" ref="AA719">_xlfn.IFS(OR(AB719="December", AB719="February", AB719="January"), "Winter", OR(AB719="March", AB719="April", AB719="May"), "Spring", OR(AB719="June", AB719="July", AB719="August"), "Summer", TRUE, "Autumn")</f>
        <v>Autumn</v>
      </c>
      <c r="AB719" s="7" t="str">
        <f>TEXT(Z719, "mmmm")</f>
        <v>September</v>
      </c>
      <c r="AC719" s="1" t="str">
        <f>TEXT(Z719, "dddd")</f>
        <v>Monday</v>
      </c>
      <c r="AD719" s="4" t="s">
        <v>76</v>
      </c>
      <c r="AE719" s="4" t="s">
        <v>76</v>
      </c>
      <c r="AF719" s="4" t="s">
        <v>63</v>
      </c>
      <c r="AG719" s="4" t="s">
        <v>64</v>
      </c>
      <c r="AH719" s="3">
        <v>7</v>
      </c>
    </row>
    <row r="720" spans="1:34">
      <c r="A720" s="4" t="s">
        <v>1530</v>
      </c>
      <c r="B720" s="3">
        <v>33</v>
      </c>
      <c r="C720" s="9" t="str" cm="1">
        <f t="array" ref="C720">_xlfn.IFS(B720&gt;65,"+65",B720&gt;54,"55-65",B720&gt;44,"45-54",B720&gt;35,"36-44",B720&gt;25,"26-35",B720&gt;=18,"18-25")</f>
        <v>26-35</v>
      </c>
      <c r="D720" s="4" t="s">
        <v>78</v>
      </c>
      <c r="E720" s="4" t="s">
        <v>72</v>
      </c>
      <c r="F720" s="4" t="s">
        <v>95</v>
      </c>
      <c r="G720" s="4" t="s">
        <v>68</v>
      </c>
      <c r="H720" s="4" t="s">
        <v>1531</v>
      </c>
      <c r="I720" s="4" t="s">
        <v>97</v>
      </c>
      <c r="J720" s="5">
        <v>438.42</v>
      </c>
      <c r="K720" s="3">
        <v>11</v>
      </c>
      <c r="L720" s="4" t="str">
        <f>IF(AND(J720&gt;350,K720&gt;6), "True","False")</f>
        <v>True</v>
      </c>
      <c r="M720" s="4" t="s">
        <v>56</v>
      </c>
      <c r="N720" s="3">
        <v>3</v>
      </c>
      <c r="O720" s="4" t="str" cm="1">
        <f t="array" ref="O720">_xlfn.IFS(P720&lt;=2,"Poor",P720=3,"Average",P720&gt;=4,"Good")</f>
        <v>Poor</v>
      </c>
      <c r="P720" s="3">
        <v>2</v>
      </c>
      <c r="Q720" s="2">
        <v>2</v>
      </c>
      <c r="R720" s="4" t="s">
        <v>85</v>
      </c>
      <c r="S720" s="4" t="s">
        <v>73</v>
      </c>
      <c r="T720" s="3">
        <v>0</v>
      </c>
      <c r="U720" s="4" t="str" cm="1">
        <f t="array" ref="U720">_xlfn.IFS(V720&lt;=4, "Dissatisfied",V720&lt;=7,"Neutral",V720&gt;=8,"Satisfied")</f>
        <v>Dissatisfied</v>
      </c>
      <c r="V720" s="3">
        <v>4</v>
      </c>
      <c r="W720" s="4" t="s">
        <v>59</v>
      </c>
      <c r="X720" s="4" t="s">
        <v>74</v>
      </c>
      <c r="Y720" s="4" t="s">
        <v>61</v>
      </c>
      <c r="Z720" s="1">
        <v>45545</v>
      </c>
      <c r="AA720" s="4" t="str" cm="1">
        <f t="array" ref="AA720">_xlfn.IFS(OR(AB720="December", AB720="February", AB720="January"), "Winter", OR(AB720="March", AB720="April", AB720="May"), "Spring", OR(AB720="June", AB720="July", AB720="August"), "Summer", TRUE, "Autumn")</f>
        <v>Autumn</v>
      </c>
      <c r="AB720" s="7" t="str">
        <f>TEXT(Z720, "mmmm")</f>
        <v>September</v>
      </c>
      <c r="AC720" s="1" t="str">
        <f>TEXT(Z720, "dddd")</f>
        <v>Tuesday</v>
      </c>
      <c r="AD720" s="4" t="s">
        <v>62</v>
      </c>
      <c r="AE720" s="4" t="s">
        <v>76</v>
      </c>
      <c r="AF720" s="4" t="s">
        <v>87</v>
      </c>
      <c r="AG720" s="4" t="s">
        <v>93</v>
      </c>
      <c r="AH720" s="3">
        <v>4</v>
      </c>
    </row>
    <row r="721" spans="1:34">
      <c r="A721" s="4" t="s">
        <v>1532</v>
      </c>
      <c r="B721" s="3">
        <v>27</v>
      </c>
      <c r="C721" s="9" t="str" cm="1">
        <f t="array" ref="C721">_xlfn.IFS(B721&gt;65,"+65",B721&gt;54,"55-65",B721&gt;44,"45-54",B721&gt;35,"36-44",B721&gt;25,"26-35",B721&gt;=18,"18-25")</f>
        <v>26-35</v>
      </c>
      <c r="D721" s="4" t="s">
        <v>66</v>
      </c>
      <c r="E721" s="4" t="s">
        <v>51</v>
      </c>
      <c r="F721" s="4" t="s">
        <v>95</v>
      </c>
      <c r="G721" s="4" t="s">
        <v>53</v>
      </c>
      <c r="H721" s="4" t="s">
        <v>1533</v>
      </c>
      <c r="I721" s="4" t="s">
        <v>146</v>
      </c>
      <c r="J721" s="5">
        <v>441.87</v>
      </c>
      <c r="K721" s="3">
        <v>3</v>
      </c>
      <c r="L721" s="4" t="str">
        <f>IF(AND(J721&gt;350,K721&gt;6), "True","False")</f>
        <v>False</v>
      </c>
      <c r="M721" s="4" t="s">
        <v>83</v>
      </c>
      <c r="N721" s="3">
        <v>1</v>
      </c>
      <c r="O721" s="4" t="str" cm="1">
        <f t="array" ref="O721">_xlfn.IFS(P721&lt;=2,"Poor",P721=3,"Average",P721&gt;=4,"Good")</f>
        <v>Poor</v>
      </c>
      <c r="P721" s="3">
        <v>2</v>
      </c>
      <c r="Q721" s="2">
        <v>1</v>
      </c>
      <c r="R721" s="4" t="s">
        <v>72</v>
      </c>
      <c r="S721" s="4" t="s">
        <v>84</v>
      </c>
      <c r="T721" s="3">
        <v>0</v>
      </c>
      <c r="U721" s="4" t="str" cm="1">
        <f t="array" ref="U721">_xlfn.IFS(V721&lt;=4, "Dissatisfied",V721&lt;=7,"Neutral",V721&gt;=8,"Satisfied")</f>
        <v>Satisfied</v>
      </c>
      <c r="V721" s="3">
        <v>10</v>
      </c>
      <c r="W721" s="4" t="s">
        <v>85</v>
      </c>
      <c r="X721" s="4" t="s">
        <v>60</v>
      </c>
      <c r="Y721" s="4" t="s">
        <v>86</v>
      </c>
      <c r="Z721" s="1">
        <v>45545</v>
      </c>
      <c r="AA721" s="4" t="str" cm="1">
        <f t="array" ref="AA721">_xlfn.IFS(OR(AB721="December", AB721="February", AB721="January"), "Winter", OR(AB721="March", AB721="April", AB721="May"), "Spring", OR(AB721="June", AB721="July", AB721="August"), "Summer", TRUE, "Autumn")</f>
        <v>Autumn</v>
      </c>
      <c r="AB721" s="7" t="str">
        <f>TEXT(Z721, "mmmm")</f>
        <v>September</v>
      </c>
      <c r="AC721" s="1" t="str">
        <f>TEXT(Z721, "dddd")</f>
        <v>Tuesday</v>
      </c>
      <c r="AD721" s="4" t="s">
        <v>62</v>
      </c>
      <c r="AE721" s="4" t="s">
        <v>76</v>
      </c>
      <c r="AF721" s="4" t="s">
        <v>102</v>
      </c>
      <c r="AG721" s="4" t="s">
        <v>88</v>
      </c>
      <c r="AH721" s="3">
        <v>13</v>
      </c>
    </row>
    <row r="722" spans="1:34">
      <c r="A722" s="4" t="s">
        <v>1534</v>
      </c>
      <c r="B722" s="3">
        <v>35</v>
      </c>
      <c r="C722" s="9" t="str" cm="1">
        <f t="array" ref="C722">_xlfn.IFS(B722&gt;65,"+65",B722&gt;54,"55-65",B722&gt;44,"45-54",B722&gt;35,"36-44",B722&gt;25,"26-35",B722&gt;=18,"18-25")</f>
        <v>26-35</v>
      </c>
      <c r="D722" s="4" t="s">
        <v>50</v>
      </c>
      <c r="E722" s="4" t="s">
        <v>72</v>
      </c>
      <c r="F722" s="4" t="s">
        <v>95</v>
      </c>
      <c r="G722" s="4" t="s">
        <v>68</v>
      </c>
      <c r="H722" s="4" t="s">
        <v>1535</v>
      </c>
      <c r="I722" s="4" t="s">
        <v>122</v>
      </c>
      <c r="J722" s="5">
        <v>442.29</v>
      </c>
      <c r="K722" s="3">
        <v>9</v>
      </c>
      <c r="L722" s="4" t="str">
        <f>IF(AND(J722&gt;350,K722&gt;6), "True","False")</f>
        <v>True</v>
      </c>
      <c r="M722" s="4" t="s">
        <v>83</v>
      </c>
      <c r="N722" s="3">
        <v>1</v>
      </c>
      <c r="O722" s="4" t="str" cm="1">
        <f t="array" ref="O722">_xlfn.IFS(P722&lt;=2,"Poor",P722=3,"Average",P722&gt;=4,"Good")</f>
        <v>Poor</v>
      </c>
      <c r="P722" s="3">
        <v>2</v>
      </c>
      <c r="Q722" s="2">
        <v>0</v>
      </c>
      <c r="R722" s="4" t="s">
        <v>85</v>
      </c>
      <c r="S722" s="4" t="s">
        <v>84</v>
      </c>
      <c r="T722" s="3">
        <v>1</v>
      </c>
      <c r="U722" s="4" t="str" cm="1">
        <f t="array" ref="U722">_xlfn.IFS(V722&lt;=4, "Dissatisfied",V722&lt;=7,"Neutral",V722&gt;=8,"Satisfied")</f>
        <v>Dissatisfied</v>
      </c>
      <c r="V722" s="3">
        <v>2</v>
      </c>
      <c r="W722" s="4" t="s">
        <v>59</v>
      </c>
      <c r="X722" s="4" t="s">
        <v>74</v>
      </c>
      <c r="Y722" s="4" t="s">
        <v>86</v>
      </c>
      <c r="Z722" s="1">
        <v>45546</v>
      </c>
      <c r="AA722" s="4" t="str" cm="1">
        <f t="array" ref="AA722">_xlfn.IFS(OR(AB722="December", AB722="February", AB722="January"), "Winter", OR(AB722="March", AB722="April", AB722="May"), "Spring", OR(AB722="June", AB722="July", AB722="August"), "Summer", TRUE, "Autumn")</f>
        <v>Autumn</v>
      </c>
      <c r="AB722" s="7" t="str">
        <f>TEXT(Z722, "mmmm")</f>
        <v>September</v>
      </c>
      <c r="AC722" s="1" t="str">
        <f>TEXT(Z722, "dddd")</f>
        <v>Wednesday</v>
      </c>
      <c r="AD722" s="4" t="s">
        <v>76</v>
      </c>
      <c r="AE722" s="4" t="s">
        <v>76</v>
      </c>
      <c r="AF722" s="4" t="s">
        <v>87</v>
      </c>
      <c r="AG722" s="4" t="s">
        <v>93</v>
      </c>
      <c r="AH722" s="3">
        <v>13</v>
      </c>
    </row>
    <row r="723" spans="1:34">
      <c r="A723" s="4" t="s">
        <v>1536</v>
      </c>
      <c r="B723" s="3">
        <v>25</v>
      </c>
      <c r="C723" s="9" t="str" cm="1">
        <f t="array" ref="C723">_xlfn.IFS(B723&gt;65,"+65",B723&gt;54,"55-65",B723&gt;44,"45-54",B723&gt;35,"36-44",B723&gt;25,"26-35",B723&gt;=18,"18-25")</f>
        <v>18-25</v>
      </c>
      <c r="D723" s="4" t="s">
        <v>50</v>
      </c>
      <c r="E723" s="4" t="s">
        <v>72</v>
      </c>
      <c r="F723" s="4" t="s">
        <v>95</v>
      </c>
      <c r="G723" s="4" t="s">
        <v>53</v>
      </c>
      <c r="H723" s="4" t="s">
        <v>1537</v>
      </c>
      <c r="I723" s="4" t="s">
        <v>234</v>
      </c>
      <c r="J723" s="5">
        <v>307.61</v>
      </c>
      <c r="K723" s="3">
        <v>6</v>
      </c>
      <c r="L723" s="4" t="str">
        <f>IF(AND(J723&gt;350,K723&gt;6), "True","False")</f>
        <v>False</v>
      </c>
      <c r="M723" s="4" t="s">
        <v>83</v>
      </c>
      <c r="N723" s="3">
        <v>1</v>
      </c>
      <c r="O723" s="4" t="str" cm="1">
        <f t="array" ref="O723">_xlfn.IFS(P723&lt;=2,"Poor",P723=3,"Average",P723&gt;=4,"Good")</f>
        <v>Poor</v>
      </c>
      <c r="P723" s="3">
        <v>1</v>
      </c>
      <c r="Q723" s="2">
        <v>0</v>
      </c>
      <c r="R723" s="4" t="s">
        <v>59</v>
      </c>
      <c r="S723" s="4" t="s">
        <v>84</v>
      </c>
      <c r="T723" s="3">
        <v>0</v>
      </c>
      <c r="U723" s="4" t="str" cm="1">
        <f t="array" ref="U723">_xlfn.IFS(V723&lt;=4, "Dissatisfied",V723&lt;=7,"Neutral",V723&gt;=8,"Satisfied")</f>
        <v>Satisfied</v>
      </c>
      <c r="V723" s="3">
        <v>9</v>
      </c>
      <c r="W723" s="4" t="s">
        <v>85</v>
      </c>
      <c r="X723" s="4" t="s">
        <v>60</v>
      </c>
      <c r="Y723" s="4" t="s">
        <v>86</v>
      </c>
      <c r="Z723" s="1">
        <v>45547</v>
      </c>
      <c r="AA723" s="4" t="str" cm="1">
        <f t="array" ref="AA723">_xlfn.IFS(OR(AB723="December", AB723="February", AB723="January"), "Winter", OR(AB723="March", AB723="April", AB723="May"), "Spring", OR(AB723="June", AB723="July", AB723="August"), "Summer", TRUE, "Autumn")</f>
        <v>Autumn</v>
      </c>
      <c r="AB723" s="7" t="str">
        <f>TEXT(Z723, "mmmm")</f>
        <v>September</v>
      </c>
      <c r="AC723" s="1" t="str">
        <f>TEXT(Z723, "dddd")</f>
        <v>Thursday</v>
      </c>
      <c r="AD723" s="4" t="s">
        <v>62</v>
      </c>
      <c r="AE723" s="4" t="s">
        <v>62</v>
      </c>
      <c r="AF723" s="4" t="s">
        <v>63</v>
      </c>
      <c r="AG723" s="4" t="s">
        <v>88</v>
      </c>
      <c r="AH723" s="3">
        <v>10</v>
      </c>
    </row>
    <row r="724" spans="1:34">
      <c r="A724" s="4" t="s">
        <v>1538</v>
      </c>
      <c r="B724" s="3">
        <v>24</v>
      </c>
      <c r="C724" s="9" t="str" cm="1">
        <f t="array" ref="C724">_xlfn.IFS(B724&gt;65,"+65",B724&gt;54,"55-65",B724&gt;44,"45-54",B724&gt;35,"36-44",B724&gt;25,"26-35",B724&gt;=18,"18-25")</f>
        <v>18-25</v>
      </c>
      <c r="D724" s="4" t="s">
        <v>78</v>
      </c>
      <c r="E724" s="4" t="s">
        <v>72</v>
      </c>
      <c r="F724" s="4" t="s">
        <v>95</v>
      </c>
      <c r="G724" s="4" t="s">
        <v>68</v>
      </c>
      <c r="H724" s="4" t="s">
        <v>1539</v>
      </c>
      <c r="I724" s="4" t="s">
        <v>110</v>
      </c>
      <c r="J724" s="5">
        <v>400.86</v>
      </c>
      <c r="K724" s="3">
        <v>7</v>
      </c>
      <c r="L724" s="4" t="str">
        <f>IF(AND(J724&gt;350,K724&gt;6), "True","False")</f>
        <v>True</v>
      </c>
      <c r="M724" s="4" t="s">
        <v>56</v>
      </c>
      <c r="N724" s="3">
        <v>3</v>
      </c>
      <c r="O724" s="4" t="str" cm="1">
        <f t="array" ref="O724">_xlfn.IFS(P724&lt;=2,"Poor",P724=3,"Average",P724&gt;=4,"Good")</f>
        <v>Average</v>
      </c>
      <c r="P724" s="3">
        <v>3</v>
      </c>
      <c r="Q724" s="2">
        <v>1</v>
      </c>
      <c r="R724" s="4" t="s">
        <v>72</v>
      </c>
      <c r="S724" s="4" t="s">
        <v>73</v>
      </c>
      <c r="T724" s="3">
        <v>1</v>
      </c>
      <c r="U724" s="4" t="str" cm="1">
        <f t="array" ref="U724">_xlfn.IFS(V724&lt;=4, "Dissatisfied",V724&lt;=7,"Neutral",V724&gt;=8,"Satisfied")</f>
        <v>Neutral</v>
      </c>
      <c r="V724" s="3">
        <v>7</v>
      </c>
      <c r="W724" s="4" t="s">
        <v>59</v>
      </c>
      <c r="X724" s="4" t="s">
        <v>60</v>
      </c>
      <c r="Y724" s="4" t="s">
        <v>119</v>
      </c>
      <c r="Z724" s="1">
        <v>45547</v>
      </c>
      <c r="AA724" s="4" t="str" cm="1">
        <f t="array" ref="AA724">_xlfn.IFS(OR(AB724="December", AB724="February", AB724="January"), "Winter", OR(AB724="March", AB724="April", AB724="May"), "Spring", OR(AB724="June", AB724="July", AB724="August"), "Summer", TRUE, "Autumn")</f>
        <v>Autumn</v>
      </c>
      <c r="AB724" s="7" t="str">
        <f>TEXT(Z724, "mmmm")</f>
        <v>September</v>
      </c>
      <c r="AC724" s="1" t="str">
        <f>TEXT(Z724, "dddd")</f>
        <v>Thursday</v>
      </c>
      <c r="AD724" s="4" t="s">
        <v>62</v>
      </c>
      <c r="AE724" s="4" t="s">
        <v>76</v>
      </c>
      <c r="AF724" s="4" t="s">
        <v>87</v>
      </c>
      <c r="AG724" s="4" t="s">
        <v>88</v>
      </c>
      <c r="AH724" s="3">
        <v>5</v>
      </c>
    </row>
    <row r="725" spans="1:34">
      <c r="A725" s="4" t="s">
        <v>1540</v>
      </c>
      <c r="B725" s="3">
        <v>19</v>
      </c>
      <c r="C725" s="9" t="str" cm="1">
        <f t="array" ref="C725">_xlfn.IFS(B725&gt;65,"+65",B725&gt;54,"55-65",B725&gt;44,"45-54",B725&gt;35,"36-44",B725&gt;25,"26-35",B725&gt;=18,"18-25")</f>
        <v>18-25</v>
      </c>
      <c r="D725" s="4" t="s">
        <v>78</v>
      </c>
      <c r="E725" s="4" t="s">
        <v>51</v>
      </c>
      <c r="F725" s="4" t="s">
        <v>79</v>
      </c>
      <c r="G725" s="4" t="s">
        <v>53</v>
      </c>
      <c r="H725" s="4" t="s">
        <v>1541</v>
      </c>
      <c r="I725" s="4" t="s">
        <v>70</v>
      </c>
      <c r="J725" s="5">
        <v>210.58</v>
      </c>
      <c r="K725" s="3">
        <v>10</v>
      </c>
      <c r="L725" s="4" t="str">
        <f>IF(AND(J725&gt;350,K725&gt;6), "True","False")</f>
        <v>False</v>
      </c>
      <c r="M725" s="4" t="s">
        <v>71</v>
      </c>
      <c r="N725" s="3">
        <v>5</v>
      </c>
      <c r="O725" s="4" t="str" cm="1">
        <f t="array" ref="O725">_xlfn.IFS(P725&lt;=2,"Poor",P725=3,"Average",P725&gt;=4,"Good")</f>
        <v>Poor</v>
      </c>
      <c r="P725" s="3">
        <v>1</v>
      </c>
      <c r="Q725" s="2">
        <v>2</v>
      </c>
      <c r="R725" s="4" t="s">
        <v>59</v>
      </c>
      <c r="S725" s="4" t="s">
        <v>84</v>
      </c>
      <c r="T725" s="3">
        <v>1</v>
      </c>
      <c r="U725" s="4" t="str" cm="1">
        <f t="array" ref="U725">_xlfn.IFS(V725&lt;=4, "Dissatisfied",V725&lt;=7,"Neutral",V725&gt;=8,"Satisfied")</f>
        <v>Dissatisfied</v>
      </c>
      <c r="V725" s="3">
        <v>3</v>
      </c>
      <c r="W725" s="4" t="s">
        <v>59</v>
      </c>
      <c r="X725" s="4" t="s">
        <v>74</v>
      </c>
      <c r="Y725" s="4" t="s">
        <v>75</v>
      </c>
      <c r="Z725" s="1">
        <v>45547</v>
      </c>
      <c r="AA725" s="4" t="str" cm="1">
        <f t="array" ref="AA725">_xlfn.IFS(OR(AB725="December", AB725="February", AB725="January"), "Winter", OR(AB725="March", AB725="April", AB725="May"), "Spring", OR(AB725="June", AB725="July", AB725="August"), "Summer", TRUE, "Autumn")</f>
        <v>Autumn</v>
      </c>
      <c r="AB725" s="7" t="str">
        <f>TEXT(Z725, "mmmm")</f>
        <v>September</v>
      </c>
      <c r="AC725" s="1" t="str">
        <f>TEXT(Z725, "dddd")</f>
        <v>Thursday</v>
      </c>
      <c r="AD725" s="4" t="s">
        <v>62</v>
      </c>
      <c r="AE725" s="4" t="s">
        <v>62</v>
      </c>
      <c r="AF725" s="4" t="s">
        <v>87</v>
      </c>
      <c r="AG725" s="4" t="s">
        <v>88</v>
      </c>
      <c r="AH725" s="3">
        <v>8</v>
      </c>
    </row>
    <row r="726" spans="1:34">
      <c r="A726" s="4" t="s">
        <v>1542</v>
      </c>
      <c r="B726" s="3">
        <v>43</v>
      </c>
      <c r="C726" s="9" t="str" cm="1">
        <f t="array" ref="C726">_xlfn.IFS(B726&gt;65,"+65",B726&gt;54,"55-65",B726&gt;44,"45-54",B726&gt;35,"36-44",B726&gt;25,"26-35",B726&gt;=18,"18-25")</f>
        <v>36-44</v>
      </c>
      <c r="D726" s="4" t="s">
        <v>225</v>
      </c>
      <c r="E726" s="4" t="s">
        <v>72</v>
      </c>
      <c r="F726" s="4" t="s">
        <v>67</v>
      </c>
      <c r="G726" s="4" t="s">
        <v>53</v>
      </c>
      <c r="H726" s="4" t="s">
        <v>1543</v>
      </c>
      <c r="I726" s="4" t="s">
        <v>223</v>
      </c>
      <c r="J726" s="5">
        <v>209.79</v>
      </c>
      <c r="K726" s="3">
        <v>6</v>
      </c>
      <c r="L726" s="4" t="str">
        <f>IF(AND(J726&gt;350,K726&gt;6), "True","False")</f>
        <v>False</v>
      </c>
      <c r="M726" s="4" t="s">
        <v>83</v>
      </c>
      <c r="N726" s="3">
        <v>5</v>
      </c>
      <c r="O726" s="4" t="str" cm="1">
        <f t="array" ref="O726">_xlfn.IFS(P726&lt;=2,"Poor",P726=3,"Average",P726&gt;=4,"Good")</f>
        <v>Poor</v>
      </c>
      <c r="P726" s="3">
        <v>1</v>
      </c>
      <c r="Q726" s="2">
        <v>2</v>
      </c>
      <c r="R726" s="4" t="s">
        <v>72</v>
      </c>
      <c r="S726" s="4" t="s">
        <v>58</v>
      </c>
      <c r="T726" s="3">
        <v>1</v>
      </c>
      <c r="U726" s="4" t="str" cm="1">
        <f t="array" ref="U726">_xlfn.IFS(V726&lt;=4, "Dissatisfied",V726&lt;=7,"Neutral",V726&gt;=8,"Satisfied")</f>
        <v>Satisfied</v>
      </c>
      <c r="V726" s="3">
        <v>9</v>
      </c>
      <c r="W726" s="4" t="s">
        <v>59</v>
      </c>
      <c r="X726" s="4" t="s">
        <v>74</v>
      </c>
      <c r="Y726" s="4" t="s">
        <v>111</v>
      </c>
      <c r="Z726" s="1">
        <v>45548</v>
      </c>
      <c r="AA726" s="4" t="str" cm="1">
        <f t="array" ref="AA726">_xlfn.IFS(OR(AB726="December", AB726="February", AB726="January"), "Winter", OR(AB726="March", AB726="April", AB726="May"), "Spring", OR(AB726="June", AB726="July", AB726="August"), "Summer", TRUE, "Autumn")</f>
        <v>Autumn</v>
      </c>
      <c r="AB726" s="7" t="str">
        <f>TEXT(Z726, "mmmm")</f>
        <v>September</v>
      </c>
      <c r="AC726" s="1" t="str">
        <f>TEXT(Z726, "dddd")</f>
        <v>Friday</v>
      </c>
      <c r="AD726" s="4" t="s">
        <v>62</v>
      </c>
      <c r="AE726" s="4" t="s">
        <v>62</v>
      </c>
      <c r="AF726" s="4" t="s">
        <v>63</v>
      </c>
      <c r="AG726" s="4" t="s">
        <v>64</v>
      </c>
      <c r="AH726" s="3">
        <v>10</v>
      </c>
    </row>
    <row r="727" spans="1:34">
      <c r="A727" s="4" t="s">
        <v>1544</v>
      </c>
      <c r="B727" s="3">
        <v>40</v>
      </c>
      <c r="C727" s="9" t="str" cm="1">
        <f t="array" ref="C727">_xlfn.IFS(B727&gt;65,"+65",B727&gt;54,"55-65",B727&gt;44,"45-54",B727&gt;35,"36-44",B727&gt;25,"26-35",B727&gt;=18,"18-25")</f>
        <v>36-44</v>
      </c>
      <c r="D727" s="4" t="s">
        <v>78</v>
      </c>
      <c r="E727" s="4" t="s">
        <v>72</v>
      </c>
      <c r="F727" s="4" t="s">
        <v>67</v>
      </c>
      <c r="G727" s="4" t="s">
        <v>80</v>
      </c>
      <c r="H727" s="4" t="s">
        <v>1545</v>
      </c>
      <c r="I727" s="4" t="s">
        <v>156</v>
      </c>
      <c r="J727" s="5">
        <v>130.84</v>
      </c>
      <c r="K727" s="3">
        <v>4</v>
      </c>
      <c r="L727" s="4" t="str">
        <f>IF(AND(J727&gt;350,K727&gt;6), "True","False")</f>
        <v>False</v>
      </c>
      <c r="M727" s="4" t="s">
        <v>56</v>
      </c>
      <c r="N727" s="3">
        <v>5</v>
      </c>
      <c r="O727" s="4" t="str" cm="1">
        <f t="array" ref="O727">_xlfn.IFS(P727&lt;=2,"Poor",P727=3,"Average",P727&gt;=4,"Good")</f>
        <v>Good</v>
      </c>
      <c r="P727" s="3">
        <v>5</v>
      </c>
      <c r="Q727" s="2">
        <v>2</v>
      </c>
      <c r="R727" s="4" t="s">
        <v>85</v>
      </c>
      <c r="S727" s="4" t="s">
        <v>73</v>
      </c>
      <c r="T727" s="3">
        <v>2</v>
      </c>
      <c r="U727" s="4" t="str" cm="1">
        <f t="array" ref="U727">_xlfn.IFS(V727&lt;=4, "Dissatisfied",V727&lt;=7,"Neutral",V727&gt;=8,"Satisfied")</f>
        <v>Satisfied</v>
      </c>
      <c r="V727" s="3">
        <v>10</v>
      </c>
      <c r="W727" s="4" t="s">
        <v>59</v>
      </c>
      <c r="X727" s="4" t="s">
        <v>74</v>
      </c>
      <c r="Y727" s="4" t="s">
        <v>86</v>
      </c>
      <c r="Z727" s="1">
        <v>45548</v>
      </c>
      <c r="AA727" s="4" t="str" cm="1">
        <f t="array" ref="AA727">_xlfn.IFS(OR(AB727="December", AB727="February", AB727="January"), "Winter", OR(AB727="March", AB727="April", AB727="May"), "Spring", OR(AB727="June", AB727="July", AB727="August"), "Summer", TRUE, "Autumn")</f>
        <v>Autumn</v>
      </c>
      <c r="AB727" s="7" t="str">
        <f>TEXT(Z727, "mmmm")</f>
        <v>September</v>
      </c>
      <c r="AC727" s="1" t="str">
        <f>TEXT(Z727, "dddd")</f>
        <v>Friday</v>
      </c>
      <c r="AD727" s="4" t="s">
        <v>62</v>
      </c>
      <c r="AE727" s="4" t="s">
        <v>62</v>
      </c>
      <c r="AF727" s="4" t="s">
        <v>63</v>
      </c>
      <c r="AG727" s="4" t="s">
        <v>64</v>
      </c>
      <c r="AH727" s="3">
        <v>13</v>
      </c>
    </row>
    <row r="728" spans="1:34">
      <c r="A728" s="4" t="s">
        <v>1546</v>
      </c>
      <c r="B728" s="3">
        <v>36</v>
      </c>
      <c r="C728" s="9" t="str" cm="1">
        <f t="array" ref="C728">_xlfn.IFS(B728&gt;65,"+65",B728&gt;54,"55-65",B728&gt;44,"45-54",B728&gt;35,"36-44",B728&gt;25,"26-35",B728&gt;=18,"18-25")</f>
        <v>36-44</v>
      </c>
      <c r="D728" s="4" t="s">
        <v>78</v>
      </c>
      <c r="E728" s="4" t="s">
        <v>51</v>
      </c>
      <c r="F728" s="4" t="s">
        <v>67</v>
      </c>
      <c r="G728" s="4" t="s">
        <v>68</v>
      </c>
      <c r="H728" s="4" t="s">
        <v>1547</v>
      </c>
      <c r="I728" s="4" t="s">
        <v>164</v>
      </c>
      <c r="J728" s="5">
        <v>371.58</v>
      </c>
      <c r="K728" s="3">
        <v>2</v>
      </c>
      <c r="L728" s="4" t="str">
        <f>IF(AND(J728&gt;350,K728&gt;6), "True","False")</f>
        <v>False</v>
      </c>
      <c r="M728" s="4" t="s">
        <v>83</v>
      </c>
      <c r="N728" s="3">
        <v>2</v>
      </c>
      <c r="O728" s="4" t="str" cm="1">
        <f t="array" ref="O728">_xlfn.IFS(P728&lt;=2,"Poor",P728=3,"Average",P728&gt;=4,"Good")</f>
        <v>Poor</v>
      </c>
      <c r="P728" s="3">
        <v>1</v>
      </c>
      <c r="Q728" s="2">
        <v>2</v>
      </c>
      <c r="R728" s="4" t="s">
        <v>72</v>
      </c>
      <c r="S728" s="4" t="s">
        <v>58</v>
      </c>
      <c r="T728" s="3">
        <v>0</v>
      </c>
      <c r="U728" s="4" t="str" cm="1">
        <f t="array" ref="U728">_xlfn.IFS(V728&lt;=4, "Dissatisfied",V728&lt;=7,"Neutral",V728&gt;=8,"Satisfied")</f>
        <v>Satisfied</v>
      </c>
      <c r="V728" s="3">
        <v>10</v>
      </c>
      <c r="W728" s="4" t="s">
        <v>57</v>
      </c>
      <c r="X728" s="4" t="s">
        <v>60</v>
      </c>
      <c r="Y728" s="4" t="s">
        <v>61</v>
      </c>
      <c r="Z728" s="1">
        <v>45548</v>
      </c>
      <c r="AA728" s="4" t="str" cm="1">
        <f t="array" ref="AA728">_xlfn.IFS(OR(AB728="December", AB728="February", AB728="January"), "Winter", OR(AB728="March", AB728="April", AB728="May"), "Spring", OR(AB728="June", AB728="July", AB728="August"), "Summer", TRUE, "Autumn")</f>
        <v>Autumn</v>
      </c>
      <c r="AB728" s="7" t="str">
        <f>TEXT(Z728, "mmmm")</f>
        <v>September</v>
      </c>
      <c r="AC728" s="1" t="str">
        <f>TEXT(Z728, "dddd")</f>
        <v>Friday</v>
      </c>
      <c r="AD728" s="4" t="s">
        <v>62</v>
      </c>
      <c r="AE728" s="4" t="s">
        <v>62</v>
      </c>
      <c r="AF728" s="4" t="s">
        <v>102</v>
      </c>
      <c r="AG728" s="4" t="s">
        <v>88</v>
      </c>
      <c r="AH728" s="3">
        <v>11</v>
      </c>
    </row>
    <row r="729" spans="1:34">
      <c r="A729" s="4" t="s">
        <v>1548</v>
      </c>
      <c r="B729" s="3">
        <v>31</v>
      </c>
      <c r="C729" s="9" t="str" cm="1">
        <f t="array" ref="C729">_xlfn.IFS(B729&gt;65,"+65",B729&gt;54,"55-65",B729&gt;44,"45-54",B729&gt;35,"36-44",B729&gt;25,"26-35",B729&gt;=18,"18-25")</f>
        <v>26-35</v>
      </c>
      <c r="D729" s="4" t="s">
        <v>78</v>
      </c>
      <c r="E729" s="4" t="s">
        <v>72</v>
      </c>
      <c r="F729" s="4" t="s">
        <v>52</v>
      </c>
      <c r="G729" s="4" t="s">
        <v>53</v>
      </c>
      <c r="H729" s="4" t="s">
        <v>1549</v>
      </c>
      <c r="I729" s="4" t="s">
        <v>172</v>
      </c>
      <c r="J729" s="5">
        <v>56.02</v>
      </c>
      <c r="K729" s="3">
        <v>3</v>
      </c>
      <c r="L729" s="4" t="str">
        <f>IF(AND(J729&gt;350,K729&gt;6), "True","False")</f>
        <v>False</v>
      </c>
      <c r="M729" s="4" t="s">
        <v>56</v>
      </c>
      <c r="N729" s="3">
        <v>5</v>
      </c>
      <c r="O729" s="4" t="str" cm="1">
        <f t="array" ref="O729">_xlfn.IFS(P729&lt;=2,"Poor",P729=3,"Average",P729&gt;=4,"Good")</f>
        <v>Average</v>
      </c>
      <c r="P729" s="3">
        <v>3</v>
      </c>
      <c r="Q729" s="2">
        <v>1</v>
      </c>
      <c r="R729" s="4" t="s">
        <v>57</v>
      </c>
      <c r="S729" s="4" t="s">
        <v>73</v>
      </c>
      <c r="T729" s="3">
        <v>1</v>
      </c>
      <c r="U729" s="4" t="str" cm="1">
        <f t="array" ref="U729">_xlfn.IFS(V729&lt;=4, "Dissatisfied",V729&lt;=7,"Neutral",V729&gt;=8,"Satisfied")</f>
        <v>Neutral</v>
      </c>
      <c r="V729" s="3">
        <v>6</v>
      </c>
      <c r="W729" s="4" t="s">
        <v>72</v>
      </c>
      <c r="X729" s="4" t="s">
        <v>101</v>
      </c>
      <c r="Y729" s="4" t="s">
        <v>86</v>
      </c>
      <c r="Z729" s="1">
        <v>45548</v>
      </c>
      <c r="AA729" s="4" t="str" cm="1">
        <f t="array" ref="AA729">_xlfn.IFS(OR(AB729="December", AB729="February", AB729="January"), "Winter", OR(AB729="March", AB729="April", AB729="May"), "Spring", OR(AB729="June", AB729="July", AB729="August"), "Summer", TRUE, "Autumn")</f>
        <v>Autumn</v>
      </c>
      <c r="AB729" s="7" t="str">
        <f>TEXT(Z729, "mmmm")</f>
        <v>September</v>
      </c>
      <c r="AC729" s="1" t="str">
        <f>TEXT(Z729, "dddd")</f>
        <v>Friday</v>
      </c>
      <c r="AD729" s="4" t="s">
        <v>76</v>
      </c>
      <c r="AE729" s="4" t="s">
        <v>62</v>
      </c>
      <c r="AF729" s="4" t="s">
        <v>63</v>
      </c>
      <c r="AG729" s="4" t="s">
        <v>64</v>
      </c>
      <c r="AH729" s="3">
        <v>12</v>
      </c>
    </row>
    <row r="730" spans="1:34">
      <c r="A730" s="4" t="s">
        <v>1550</v>
      </c>
      <c r="B730" s="3">
        <v>46</v>
      </c>
      <c r="C730" s="9" t="str" cm="1">
        <f t="array" ref="C730">_xlfn.IFS(B730&gt;65,"+65",B730&gt;54,"55-65",B730&gt;44,"45-54",B730&gt;35,"36-44",B730&gt;25,"26-35",B730&gt;=18,"18-25")</f>
        <v>45-54</v>
      </c>
      <c r="D730" s="4" t="s">
        <v>78</v>
      </c>
      <c r="E730" s="4" t="s">
        <v>72</v>
      </c>
      <c r="F730" s="4" t="s">
        <v>67</v>
      </c>
      <c r="G730" s="4" t="s">
        <v>80</v>
      </c>
      <c r="H730" s="4" t="s">
        <v>1551</v>
      </c>
      <c r="I730" s="4" t="s">
        <v>97</v>
      </c>
      <c r="J730" s="5">
        <v>301.39999999999998</v>
      </c>
      <c r="K730" s="3">
        <v>4</v>
      </c>
      <c r="L730" s="4" t="str">
        <f>IF(AND(J730&gt;350,K730&gt;6), "True","False")</f>
        <v>False</v>
      </c>
      <c r="M730" s="4" t="s">
        <v>56</v>
      </c>
      <c r="N730" s="3">
        <v>5</v>
      </c>
      <c r="O730" s="4" t="str" cm="1">
        <f t="array" ref="O730">_xlfn.IFS(P730&lt;=2,"Poor",P730=3,"Average",P730&gt;=4,"Good")</f>
        <v>Average</v>
      </c>
      <c r="P730" s="3">
        <v>3</v>
      </c>
      <c r="Q730" s="2">
        <v>0</v>
      </c>
      <c r="R730" s="4" t="s">
        <v>85</v>
      </c>
      <c r="S730" s="4" t="s">
        <v>84</v>
      </c>
      <c r="T730" s="3">
        <v>0</v>
      </c>
      <c r="U730" s="4" t="str" cm="1">
        <f t="array" ref="U730">_xlfn.IFS(V730&lt;=4, "Dissatisfied",V730&lt;=7,"Neutral",V730&gt;=8,"Satisfied")</f>
        <v>Neutral</v>
      </c>
      <c r="V730" s="3">
        <v>5</v>
      </c>
      <c r="W730" s="4" t="s">
        <v>57</v>
      </c>
      <c r="X730" s="4" t="s">
        <v>101</v>
      </c>
      <c r="Y730" s="4" t="s">
        <v>75</v>
      </c>
      <c r="Z730" s="1">
        <v>45549</v>
      </c>
      <c r="AA730" s="4" t="str" cm="1">
        <f t="array" ref="AA730">_xlfn.IFS(OR(AB730="December", AB730="February", AB730="January"), "Winter", OR(AB730="March", AB730="April", AB730="May"), "Spring", OR(AB730="June", AB730="July", AB730="August"), "Summer", TRUE, "Autumn")</f>
        <v>Autumn</v>
      </c>
      <c r="AB730" s="7" t="str">
        <f>TEXT(Z730, "mmmm")</f>
        <v>September</v>
      </c>
      <c r="AC730" s="1" t="str">
        <f>TEXT(Z730, "dddd")</f>
        <v>Saturday</v>
      </c>
      <c r="AD730" s="4" t="s">
        <v>76</v>
      </c>
      <c r="AE730" s="4" t="s">
        <v>62</v>
      </c>
      <c r="AF730" s="4" t="s">
        <v>87</v>
      </c>
      <c r="AG730" s="4" t="s">
        <v>64</v>
      </c>
      <c r="AH730" s="3">
        <v>5</v>
      </c>
    </row>
    <row r="731" spans="1:34">
      <c r="A731" s="4" t="s">
        <v>1552</v>
      </c>
      <c r="B731" s="3">
        <v>36</v>
      </c>
      <c r="C731" s="9" t="str" cm="1">
        <f t="array" ref="C731">_xlfn.IFS(B731&gt;65,"+65",B731&gt;54,"55-65",B731&gt;44,"45-54",B731&gt;35,"36-44",B731&gt;25,"26-35",B731&gt;=18,"18-25")</f>
        <v>36-44</v>
      </c>
      <c r="D731" s="4" t="s">
        <v>66</v>
      </c>
      <c r="E731" s="4" t="s">
        <v>51</v>
      </c>
      <c r="F731" s="4" t="s">
        <v>67</v>
      </c>
      <c r="G731" s="4" t="s">
        <v>80</v>
      </c>
      <c r="H731" s="4" t="s">
        <v>1301</v>
      </c>
      <c r="I731" s="4" t="s">
        <v>133</v>
      </c>
      <c r="J731" s="5">
        <v>79</v>
      </c>
      <c r="K731" s="3">
        <v>10</v>
      </c>
      <c r="L731" s="4" t="str">
        <f>IF(AND(J731&gt;350,K731&gt;6), "True","False")</f>
        <v>False</v>
      </c>
      <c r="M731" s="4" t="s">
        <v>56</v>
      </c>
      <c r="N731" s="3">
        <v>1</v>
      </c>
      <c r="O731" s="4" t="str" cm="1">
        <f t="array" ref="O731">_xlfn.IFS(P731&lt;=2,"Poor",P731=3,"Average",P731&gt;=4,"Good")</f>
        <v>Poor</v>
      </c>
      <c r="P731" s="3">
        <v>2</v>
      </c>
      <c r="Q731" s="2">
        <v>1</v>
      </c>
      <c r="R731" s="4" t="s">
        <v>85</v>
      </c>
      <c r="S731" s="4" t="s">
        <v>73</v>
      </c>
      <c r="T731" s="3">
        <v>2</v>
      </c>
      <c r="U731" s="4" t="str" cm="1">
        <f t="array" ref="U731">_xlfn.IFS(V731&lt;=4, "Dissatisfied",V731&lt;=7,"Neutral",V731&gt;=8,"Satisfied")</f>
        <v>Neutral</v>
      </c>
      <c r="V731" s="3">
        <v>6</v>
      </c>
      <c r="W731" s="4" t="s">
        <v>59</v>
      </c>
      <c r="X731" s="4" t="s">
        <v>60</v>
      </c>
      <c r="Y731" s="4" t="s">
        <v>61</v>
      </c>
      <c r="Z731" s="1">
        <v>45549</v>
      </c>
      <c r="AA731" s="4" t="str" cm="1">
        <f t="array" ref="AA731">_xlfn.IFS(OR(AB731="December", AB731="February", AB731="January"), "Winter", OR(AB731="March", AB731="April", AB731="May"), "Spring", OR(AB731="June", AB731="July", AB731="August"), "Summer", TRUE, "Autumn")</f>
        <v>Autumn</v>
      </c>
      <c r="AB731" s="7" t="str">
        <f>TEXT(Z731, "mmmm")</f>
        <v>September</v>
      </c>
      <c r="AC731" s="1" t="str">
        <f>TEXT(Z731, "dddd")</f>
        <v>Saturday</v>
      </c>
      <c r="AD731" s="4" t="s">
        <v>76</v>
      </c>
      <c r="AE731" s="4" t="s">
        <v>62</v>
      </c>
      <c r="AF731" s="4" t="s">
        <v>87</v>
      </c>
      <c r="AG731" s="4" t="s">
        <v>64</v>
      </c>
      <c r="AH731" s="3">
        <v>7</v>
      </c>
    </row>
    <row r="732" spans="1:34">
      <c r="A732" s="4" t="s">
        <v>1553</v>
      </c>
      <c r="B732" s="3">
        <v>49</v>
      </c>
      <c r="C732" s="9" t="str" cm="1">
        <f t="array" ref="C732">_xlfn.IFS(B732&gt;65,"+65",B732&gt;54,"55-65",B732&gt;44,"45-54",B732&gt;35,"36-44",B732&gt;25,"26-35",B732&gt;=18,"18-25")</f>
        <v>45-54</v>
      </c>
      <c r="D732" s="4" t="s">
        <v>50</v>
      </c>
      <c r="E732" s="4" t="s">
        <v>72</v>
      </c>
      <c r="F732" s="4" t="s">
        <v>67</v>
      </c>
      <c r="G732" s="4" t="s">
        <v>68</v>
      </c>
      <c r="H732" s="4" t="s">
        <v>1554</v>
      </c>
      <c r="I732" s="4" t="s">
        <v>169</v>
      </c>
      <c r="J732" s="5">
        <v>306.48</v>
      </c>
      <c r="K732" s="3">
        <v>5</v>
      </c>
      <c r="L732" s="4" t="str">
        <f>IF(AND(J732&gt;350,K732&gt;6), "True","False")</f>
        <v>False</v>
      </c>
      <c r="M732" s="4" t="s">
        <v>83</v>
      </c>
      <c r="N732" s="3">
        <v>1</v>
      </c>
      <c r="O732" s="4" t="str" cm="1">
        <f t="array" ref="O732">_xlfn.IFS(P732&lt;=2,"Poor",P732=3,"Average",P732&gt;=4,"Good")</f>
        <v>Average</v>
      </c>
      <c r="P732" s="3">
        <v>3</v>
      </c>
      <c r="Q732" s="2">
        <v>0</v>
      </c>
      <c r="R732" s="4" t="s">
        <v>85</v>
      </c>
      <c r="S732" s="4" t="s">
        <v>73</v>
      </c>
      <c r="T732" s="3">
        <v>0</v>
      </c>
      <c r="U732" s="4" t="str" cm="1">
        <f t="array" ref="U732">_xlfn.IFS(V732&lt;=4, "Dissatisfied",V732&lt;=7,"Neutral",V732&gt;=8,"Satisfied")</f>
        <v>Satisfied</v>
      </c>
      <c r="V732" s="3">
        <v>9</v>
      </c>
      <c r="W732" s="4" t="s">
        <v>59</v>
      </c>
      <c r="X732" s="4" t="s">
        <v>74</v>
      </c>
      <c r="Y732" s="4" t="s">
        <v>119</v>
      </c>
      <c r="Z732" s="1">
        <v>45550</v>
      </c>
      <c r="AA732" s="4" t="str" cm="1">
        <f t="array" ref="AA732">_xlfn.IFS(OR(AB732="December", AB732="February", AB732="January"), "Winter", OR(AB732="March", AB732="April", AB732="May"), "Spring", OR(AB732="June", AB732="July", AB732="August"), "Summer", TRUE, "Autumn")</f>
        <v>Autumn</v>
      </c>
      <c r="AB732" s="7" t="str">
        <f>TEXT(Z732, "mmmm")</f>
        <v>September</v>
      </c>
      <c r="AC732" s="1" t="str">
        <f>TEXT(Z732, "dddd")</f>
        <v>Sunday</v>
      </c>
      <c r="AD732" s="4" t="s">
        <v>76</v>
      </c>
      <c r="AE732" s="4" t="s">
        <v>62</v>
      </c>
      <c r="AF732" s="4" t="s">
        <v>63</v>
      </c>
      <c r="AG732" s="4" t="s">
        <v>64</v>
      </c>
      <c r="AH732" s="3">
        <v>14</v>
      </c>
    </row>
    <row r="733" spans="1:34">
      <c r="A733" s="4" t="s">
        <v>1555</v>
      </c>
      <c r="B733" s="3">
        <v>43</v>
      </c>
      <c r="C733" s="9" t="str" cm="1">
        <f t="array" ref="C733">_xlfn.IFS(B733&gt;65,"+65",B733&gt;54,"55-65",B733&gt;44,"45-54",B733&gt;35,"36-44",B733&gt;25,"26-35",B733&gt;=18,"18-25")</f>
        <v>36-44</v>
      </c>
      <c r="D733" s="4" t="s">
        <v>66</v>
      </c>
      <c r="E733" s="4" t="s">
        <v>51</v>
      </c>
      <c r="F733" s="4" t="s">
        <v>95</v>
      </c>
      <c r="G733" s="4" t="s">
        <v>68</v>
      </c>
      <c r="H733" s="4" t="s">
        <v>1556</v>
      </c>
      <c r="I733" s="4" t="s">
        <v>151</v>
      </c>
      <c r="J733" s="5">
        <v>424.27</v>
      </c>
      <c r="K733" s="3">
        <v>6</v>
      </c>
      <c r="L733" s="4" t="str">
        <f>IF(AND(J733&gt;350,K733&gt;6), "True","False")</f>
        <v>False</v>
      </c>
      <c r="M733" s="4" t="s">
        <v>56</v>
      </c>
      <c r="N733" s="3">
        <v>1</v>
      </c>
      <c r="O733" s="4" t="str" cm="1">
        <f t="array" ref="O733">_xlfn.IFS(P733&lt;=2,"Poor",P733=3,"Average",P733&gt;=4,"Good")</f>
        <v>Good</v>
      </c>
      <c r="P733" s="3">
        <v>4</v>
      </c>
      <c r="Q733" s="2">
        <v>2</v>
      </c>
      <c r="R733" s="4" t="s">
        <v>57</v>
      </c>
      <c r="S733" s="4" t="s">
        <v>58</v>
      </c>
      <c r="T733" s="3">
        <v>2</v>
      </c>
      <c r="U733" s="4" t="str" cm="1">
        <f t="array" ref="U733">_xlfn.IFS(V733&lt;=4, "Dissatisfied",V733&lt;=7,"Neutral",V733&gt;=8,"Satisfied")</f>
        <v>Satisfied</v>
      </c>
      <c r="V733" s="3">
        <v>8</v>
      </c>
      <c r="W733" s="4" t="s">
        <v>59</v>
      </c>
      <c r="X733" s="4" t="s">
        <v>74</v>
      </c>
      <c r="Y733" s="4" t="s">
        <v>61</v>
      </c>
      <c r="Z733" s="1">
        <v>45550</v>
      </c>
      <c r="AA733" s="4" t="str" cm="1">
        <f t="array" ref="AA733">_xlfn.IFS(OR(AB733="December", AB733="February", AB733="January"), "Winter", OR(AB733="March", AB733="April", AB733="May"), "Spring", OR(AB733="June", AB733="July", AB733="August"), "Summer", TRUE, "Autumn")</f>
        <v>Autumn</v>
      </c>
      <c r="AB733" s="7" t="str">
        <f>TEXT(Z733, "mmmm")</f>
        <v>September</v>
      </c>
      <c r="AC733" s="1" t="str">
        <f>TEXT(Z733, "dddd")</f>
        <v>Sunday</v>
      </c>
      <c r="AD733" s="4" t="s">
        <v>62</v>
      </c>
      <c r="AE733" s="4" t="s">
        <v>62</v>
      </c>
      <c r="AF733" s="4" t="s">
        <v>87</v>
      </c>
      <c r="AG733" s="4" t="s">
        <v>64</v>
      </c>
      <c r="AH733" s="3">
        <v>12</v>
      </c>
    </row>
    <row r="734" spans="1:34">
      <c r="A734" s="4" t="s">
        <v>1557</v>
      </c>
      <c r="B734" s="3">
        <v>40</v>
      </c>
      <c r="C734" s="9" t="str" cm="1">
        <f t="array" ref="C734">_xlfn.IFS(B734&gt;65,"+65",B734&gt;54,"55-65",B734&gt;44,"45-54",B734&gt;35,"36-44",B734&gt;25,"26-35",B734&gt;=18,"18-25")</f>
        <v>36-44</v>
      </c>
      <c r="D734" s="4" t="s">
        <v>78</v>
      </c>
      <c r="E734" s="4" t="s">
        <v>51</v>
      </c>
      <c r="F734" s="4" t="s">
        <v>95</v>
      </c>
      <c r="G734" s="4" t="s">
        <v>53</v>
      </c>
      <c r="H734" s="4" t="s">
        <v>1558</v>
      </c>
      <c r="I734" s="4" t="s">
        <v>146</v>
      </c>
      <c r="J734" s="5">
        <v>361.27</v>
      </c>
      <c r="K734" s="3">
        <v>4</v>
      </c>
      <c r="L734" s="4" t="str">
        <f>IF(AND(J734&gt;350,K734&gt;6), "True","False")</f>
        <v>False</v>
      </c>
      <c r="M734" s="4" t="s">
        <v>56</v>
      </c>
      <c r="N734" s="3">
        <v>3</v>
      </c>
      <c r="O734" s="4" t="str" cm="1">
        <f t="array" ref="O734">_xlfn.IFS(P734&lt;=2,"Poor",P734=3,"Average",P734&gt;=4,"Good")</f>
        <v>Average</v>
      </c>
      <c r="P734" s="3">
        <v>3</v>
      </c>
      <c r="Q734" s="2">
        <v>1</v>
      </c>
      <c r="R734" s="4" t="s">
        <v>57</v>
      </c>
      <c r="S734" s="4" t="s">
        <v>58</v>
      </c>
      <c r="T734" s="3">
        <v>0</v>
      </c>
      <c r="U734" s="4" t="str" cm="1">
        <f t="array" ref="U734">_xlfn.IFS(V734&lt;=4, "Dissatisfied",V734&lt;=7,"Neutral",V734&gt;=8,"Satisfied")</f>
        <v>Neutral</v>
      </c>
      <c r="V734" s="3">
        <v>5</v>
      </c>
      <c r="W734" s="4" t="s">
        <v>72</v>
      </c>
      <c r="X734" s="4" t="s">
        <v>74</v>
      </c>
      <c r="Y734" s="4" t="s">
        <v>119</v>
      </c>
      <c r="Z734" s="1">
        <v>45550</v>
      </c>
      <c r="AA734" s="4" t="str" cm="1">
        <f t="array" ref="AA734">_xlfn.IFS(OR(AB734="December", AB734="February", AB734="January"), "Winter", OR(AB734="March", AB734="April", AB734="May"), "Spring", OR(AB734="June", AB734="July", AB734="August"), "Summer", TRUE, "Autumn")</f>
        <v>Autumn</v>
      </c>
      <c r="AB734" s="7" t="str">
        <f>TEXT(Z734, "mmmm")</f>
        <v>September</v>
      </c>
      <c r="AC734" s="1" t="str">
        <f>TEXT(Z734, "dddd")</f>
        <v>Sunday</v>
      </c>
      <c r="AD734" s="4" t="s">
        <v>62</v>
      </c>
      <c r="AE734" s="4" t="s">
        <v>76</v>
      </c>
      <c r="AF734" s="4" t="s">
        <v>63</v>
      </c>
      <c r="AG734" s="4" t="s">
        <v>64</v>
      </c>
      <c r="AH734" s="3">
        <v>2</v>
      </c>
    </row>
    <row r="735" spans="1:34">
      <c r="A735" s="4" t="s">
        <v>1559</v>
      </c>
      <c r="B735" s="3">
        <v>35</v>
      </c>
      <c r="C735" s="9" t="str" cm="1">
        <f t="array" ref="C735">_xlfn.IFS(B735&gt;65,"+65",B735&gt;54,"55-65",B735&gt;44,"45-54",B735&gt;35,"36-44",B735&gt;25,"26-35",B735&gt;=18,"18-25")</f>
        <v>26-35</v>
      </c>
      <c r="D735" s="4" t="s">
        <v>66</v>
      </c>
      <c r="E735" s="4" t="s">
        <v>72</v>
      </c>
      <c r="F735" s="4" t="s">
        <v>95</v>
      </c>
      <c r="G735" s="4" t="s">
        <v>68</v>
      </c>
      <c r="H735" s="4" t="s">
        <v>1560</v>
      </c>
      <c r="I735" s="4" t="s">
        <v>122</v>
      </c>
      <c r="J735" s="5">
        <v>105.87</v>
      </c>
      <c r="K735" s="3">
        <v>12</v>
      </c>
      <c r="L735" s="4" t="str">
        <f>IF(AND(J735&gt;350,K735&gt;6), "True","False")</f>
        <v>False</v>
      </c>
      <c r="M735" s="4" t="s">
        <v>83</v>
      </c>
      <c r="N735" s="3">
        <v>3</v>
      </c>
      <c r="O735" s="4" t="str" cm="1">
        <f t="array" ref="O735">_xlfn.IFS(P735&lt;=2,"Poor",P735=3,"Average",P735&gt;=4,"Good")</f>
        <v>Poor</v>
      </c>
      <c r="P735" s="3">
        <v>2</v>
      </c>
      <c r="Q735" s="2">
        <v>1</v>
      </c>
      <c r="R735" s="4" t="s">
        <v>59</v>
      </c>
      <c r="S735" s="4" t="s">
        <v>58</v>
      </c>
      <c r="T735" s="3">
        <v>1</v>
      </c>
      <c r="U735" s="4" t="str" cm="1">
        <f t="array" ref="U735">_xlfn.IFS(V735&lt;=4, "Dissatisfied",V735&lt;=7,"Neutral",V735&gt;=8,"Satisfied")</f>
        <v>Dissatisfied</v>
      </c>
      <c r="V735" s="3">
        <v>1</v>
      </c>
      <c r="W735" s="4" t="s">
        <v>85</v>
      </c>
      <c r="X735" s="4" t="s">
        <v>74</v>
      </c>
      <c r="Y735" s="4" t="s">
        <v>61</v>
      </c>
      <c r="Z735" s="1">
        <v>45550</v>
      </c>
      <c r="AA735" s="4" t="str" cm="1">
        <f t="array" ref="AA735">_xlfn.IFS(OR(AB735="December", AB735="February", AB735="January"), "Winter", OR(AB735="March", AB735="April", AB735="May"), "Spring", OR(AB735="June", AB735="July", AB735="August"), "Summer", TRUE, "Autumn")</f>
        <v>Autumn</v>
      </c>
      <c r="AB735" s="7" t="str">
        <f>TEXT(Z735, "mmmm")</f>
        <v>September</v>
      </c>
      <c r="AC735" s="1" t="str">
        <f>TEXT(Z735, "dddd")</f>
        <v>Sunday</v>
      </c>
      <c r="AD735" s="4" t="s">
        <v>76</v>
      </c>
      <c r="AE735" s="4" t="s">
        <v>76</v>
      </c>
      <c r="AF735" s="4" t="s">
        <v>87</v>
      </c>
      <c r="AG735" s="4" t="s">
        <v>93</v>
      </c>
      <c r="AH735" s="3">
        <v>4</v>
      </c>
    </row>
    <row r="736" spans="1:34">
      <c r="A736" s="4" t="s">
        <v>1561</v>
      </c>
      <c r="B736" s="3">
        <v>24</v>
      </c>
      <c r="C736" s="9" t="str" cm="1">
        <f t="array" ref="C736">_xlfn.IFS(B736&gt;65,"+65",B736&gt;54,"55-65",B736&gt;44,"45-54",B736&gt;35,"36-44",B736&gt;25,"26-35",B736&gt;=18,"18-25")</f>
        <v>18-25</v>
      </c>
      <c r="D736" s="4" t="s">
        <v>232</v>
      </c>
      <c r="E736" s="4" t="s">
        <v>51</v>
      </c>
      <c r="F736" s="4" t="s">
        <v>67</v>
      </c>
      <c r="G736" s="4" t="s">
        <v>80</v>
      </c>
      <c r="H736" s="4" t="s">
        <v>1562</v>
      </c>
      <c r="I736" s="4" t="s">
        <v>122</v>
      </c>
      <c r="J736" s="5">
        <v>472.61</v>
      </c>
      <c r="K736" s="3">
        <v>9</v>
      </c>
      <c r="L736" s="4" t="str">
        <f>IF(AND(J736&gt;350,K736&gt;6), "True","False")</f>
        <v>True</v>
      </c>
      <c r="M736" s="4" t="s">
        <v>71</v>
      </c>
      <c r="N736" s="3">
        <v>5</v>
      </c>
      <c r="O736" s="4" t="str" cm="1">
        <f t="array" ref="O736">_xlfn.IFS(P736&lt;=2,"Poor",P736=3,"Average",P736&gt;=4,"Good")</f>
        <v>Good</v>
      </c>
      <c r="P736" s="3">
        <v>5</v>
      </c>
      <c r="Q736" s="2">
        <v>2</v>
      </c>
      <c r="R736" s="4" t="s">
        <v>57</v>
      </c>
      <c r="S736" s="4" t="s">
        <v>73</v>
      </c>
      <c r="T736" s="3">
        <v>1</v>
      </c>
      <c r="U736" s="4" t="str" cm="1">
        <f t="array" ref="U736">_xlfn.IFS(V736&lt;=4, "Dissatisfied",V736&lt;=7,"Neutral",V736&gt;=8,"Satisfied")</f>
        <v>Dissatisfied</v>
      </c>
      <c r="V736" s="3">
        <v>4</v>
      </c>
      <c r="W736" s="4" t="s">
        <v>57</v>
      </c>
      <c r="X736" s="4" t="s">
        <v>60</v>
      </c>
      <c r="Y736" s="4" t="s">
        <v>86</v>
      </c>
      <c r="Z736" s="1">
        <v>45550</v>
      </c>
      <c r="AA736" s="4" t="str" cm="1">
        <f t="array" ref="AA736">_xlfn.IFS(OR(AB736="December", AB736="February", AB736="January"), "Winter", OR(AB736="March", AB736="April", AB736="May"), "Spring", OR(AB736="June", AB736="July", AB736="August"), "Summer", TRUE, "Autumn")</f>
        <v>Autumn</v>
      </c>
      <c r="AB736" s="7" t="str">
        <f>TEXT(Z736, "mmmm")</f>
        <v>September</v>
      </c>
      <c r="AC736" s="1" t="str">
        <f>TEXT(Z736, "dddd")</f>
        <v>Sunday</v>
      </c>
      <c r="AD736" s="4" t="s">
        <v>62</v>
      </c>
      <c r="AE736" s="4" t="s">
        <v>62</v>
      </c>
      <c r="AF736" s="4" t="s">
        <v>92</v>
      </c>
      <c r="AG736" s="4" t="s">
        <v>93</v>
      </c>
      <c r="AH736" s="3">
        <v>5</v>
      </c>
    </row>
    <row r="737" spans="1:34">
      <c r="A737" s="4" t="s">
        <v>1563</v>
      </c>
      <c r="B737" s="3">
        <v>42</v>
      </c>
      <c r="C737" s="9" t="str" cm="1">
        <f t="array" ref="C737">_xlfn.IFS(B737&gt;65,"+65",B737&gt;54,"55-65",B737&gt;44,"45-54",B737&gt;35,"36-44",B737&gt;25,"26-35",B737&gt;=18,"18-25")</f>
        <v>36-44</v>
      </c>
      <c r="D737" s="4" t="s">
        <v>66</v>
      </c>
      <c r="E737" s="4" t="s">
        <v>51</v>
      </c>
      <c r="F737" s="4" t="s">
        <v>52</v>
      </c>
      <c r="G737" s="4" t="s">
        <v>68</v>
      </c>
      <c r="H737" s="4" t="s">
        <v>1564</v>
      </c>
      <c r="I737" s="4" t="s">
        <v>70</v>
      </c>
      <c r="J737" s="5">
        <v>454.36</v>
      </c>
      <c r="K737" s="3">
        <v>3</v>
      </c>
      <c r="L737" s="4" t="str">
        <f>IF(AND(J737&gt;350,K737&gt;6), "True","False")</f>
        <v>False</v>
      </c>
      <c r="M737" s="4" t="s">
        <v>71</v>
      </c>
      <c r="N737" s="3">
        <v>4</v>
      </c>
      <c r="O737" s="4" t="str" cm="1">
        <f t="array" ref="O737">_xlfn.IFS(P737&lt;=2,"Poor",P737=3,"Average",P737&gt;=4,"Good")</f>
        <v>Good</v>
      </c>
      <c r="P737" s="3">
        <v>5</v>
      </c>
      <c r="Q737" s="2">
        <v>1</v>
      </c>
      <c r="R737" s="4" t="s">
        <v>59</v>
      </c>
      <c r="S737" s="4" t="s">
        <v>73</v>
      </c>
      <c r="T737" s="3">
        <v>1</v>
      </c>
      <c r="U737" s="4" t="str" cm="1">
        <f t="array" ref="U737">_xlfn.IFS(V737&lt;=4, "Dissatisfied",V737&lt;=7,"Neutral",V737&gt;=8,"Satisfied")</f>
        <v>Satisfied</v>
      </c>
      <c r="V737" s="3">
        <v>8</v>
      </c>
      <c r="W737" s="4" t="s">
        <v>85</v>
      </c>
      <c r="X737" s="4" t="s">
        <v>74</v>
      </c>
      <c r="Y737" s="4" t="s">
        <v>61</v>
      </c>
      <c r="Z737" s="1">
        <v>45551</v>
      </c>
      <c r="AA737" s="4" t="str" cm="1">
        <f t="array" ref="AA737">_xlfn.IFS(OR(AB737="December", AB737="February", AB737="January"), "Winter", OR(AB737="March", AB737="April", AB737="May"), "Spring", OR(AB737="June", AB737="July", AB737="August"), "Summer", TRUE, "Autumn")</f>
        <v>Autumn</v>
      </c>
      <c r="AB737" s="7" t="str">
        <f>TEXT(Z737, "mmmm")</f>
        <v>September</v>
      </c>
      <c r="AC737" s="1" t="str">
        <f>TEXT(Z737, "dddd")</f>
        <v>Monday</v>
      </c>
      <c r="AD737" s="4" t="s">
        <v>62</v>
      </c>
      <c r="AE737" s="4" t="s">
        <v>76</v>
      </c>
      <c r="AF737" s="4" t="s">
        <v>87</v>
      </c>
      <c r="AG737" s="4" t="s">
        <v>88</v>
      </c>
      <c r="AH737" s="3">
        <v>12</v>
      </c>
    </row>
    <row r="738" spans="1:34">
      <c r="A738" s="4" t="s">
        <v>1565</v>
      </c>
      <c r="B738" s="3">
        <v>34</v>
      </c>
      <c r="C738" s="9" t="str" cm="1">
        <f t="array" ref="C738">_xlfn.IFS(B738&gt;65,"+65",B738&gt;54,"55-65",B738&gt;44,"45-54",B738&gt;35,"36-44",B738&gt;25,"26-35",B738&gt;=18,"18-25")</f>
        <v>26-35</v>
      </c>
      <c r="D738" s="4" t="s">
        <v>66</v>
      </c>
      <c r="E738" s="4" t="s">
        <v>72</v>
      </c>
      <c r="F738" s="4" t="s">
        <v>79</v>
      </c>
      <c r="G738" s="4" t="s">
        <v>80</v>
      </c>
      <c r="H738" s="4" t="s">
        <v>1566</v>
      </c>
      <c r="I738" s="4" t="s">
        <v>164</v>
      </c>
      <c r="J738" s="5">
        <v>282.24</v>
      </c>
      <c r="K738" s="3">
        <v>6</v>
      </c>
      <c r="L738" s="4" t="str">
        <f>IF(AND(J738&gt;350,K738&gt;6), "True","False")</f>
        <v>False</v>
      </c>
      <c r="M738" s="4" t="s">
        <v>56</v>
      </c>
      <c r="N738" s="3">
        <v>2</v>
      </c>
      <c r="O738" s="4" t="str" cm="1">
        <f t="array" ref="O738">_xlfn.IFS(P738&lt;=2,"Poor",P738=3,"Average",P738&gt;=4,"Good")</f>
        <v>Average</v>
      </c>
      <c r="P738" s="3">
        <v>3</v>
      </c>
      <c r="Q738" s="2">
        <v>2</v>
      </c>
      <c r="R738" s="4" t="s">
        <v>57</v>
      </c>
      <c r="S738" s="4" t="s">
        <v>58</v>
      </c>
      <c r="T738" s="3">
        <v>1</v>
      </c>
      <c r="U738" s="4" t="str" cm="1">
        <f t="array" ref="U738">_xlfn.IFS(V738&lt;=4, "Dissatisfied",V738&lt;=7,"Neutral",V738&gt;=8,"Satisfied")</f>
        <v>Neutral</v>
      </c>
      <c r="V738" s="3">
        <v>7</v>
      </c>
      <c r="W738" s="4" t="s">
        <v>85</v>
      </c>
      <c r="X738" s="4" t="s">
        <v>101</v>
      </c>
      <c r="Y738" s="4" t="s">
        <v>119</v>
      </c>
      <c r="Z738" s="1">
        <v>45551</v>
      </c>
      <c r="AA738" s="4" t="str" cm="1">
        <f t="array" ref="AA738">_xlfn.IFS(OR(AB738="December", AB738="February", AB738="January"), "Winter", OR(AB738="March", AB738="April", AB738="May"), "Spring", OR(AB738="June", AB738="July", AB738="August"), "Summer", TRUE, "Autumn")</f>
        <v>Autumn</v>
      </c>
      <c r="AB738" s="7" t="str">
        <f>TEXT(Z738, "mmmm")</f>
        <v>September</v>
      </c>
      <c r="AC738" s="1" t="str">
        <f>TEXT(Z738, "dddd")</f>
        <v>Monday</v>
      </c>
      <c r="AD738" s="4" t="s">
        <v>62</v>
      </c>
      <c r="AE738" s="4" t="s">
        <v>62</v>
      </c>
      <c r="AF738" s="4" t="s">
        <v>63</v>
      </c>
      <c r="AG738" s="4" t="s">
        <v>88</v>
      </c>
      <c r="AH738" s="3">
        <v>1</v>
      </c>
    </row>
    <row r="739" spans="1:34">
      <c r="A739" s="4" t="s">
        <v>1567</v>
      </c>
      <c r="B739" s="3">
        <v>32</v>
      </c>
      <c r="C739" s="9" t="str" cm="1">
        <f t="array" ref="C739">_xlfn.IFS(B739&gt;65,"+65",B739&gt;54,"55-65",B739&gt;44,"45-54",B739&gt;35,"36-44",B739&gt;25,"26-35",B739&gt;=18,"18-25")</f>
        <v>26-35</v>
      </c>
      <c r="D739" s="4" t="s">
        <v>78</v>
      </c>
      <c r="E739" s="4" t="s">
        <v>51</v>
      </c>
      <c r="F739" s="4" t="s">
        <v>52</v>
      </c>
      <c r="G739" s="4" t="s">
        <v>68</v>
      </c>
      <c r="H739" s="4" t="s">
        <v>1568</v>
      </c>
      <c r="I739" s="4" t="s">
        <v>82</v>
      </c>
      <c r="J739" s="5">
        <v>495.8</v>
      </c>
      <c r="K739" s="3">
        <v>4</v>
      </c>
      <c r="L739" s="4" t="str">
        <f>IF(AND(J739&gt;350,K739&gt;6), "True","False")</f>
        <v>False</v>
      </c>
      <c r="M739" s="4" t="s">
        <v>83</v>
      </c>
      <c r="N739" s="3">
        <v>1</v>
      </c>
      <c r="O739" s="4" t="str" cm="1">
        <f t="array" ref="O739">_xlfn.IFS(P739&lt;=2,"Poor",P739=3,"Average",P739&gt;=4,"Good")</f>
        <v>Poor</v>
      </c>
      <c r="P739" s="3">
        <v>2</v>
      </c>
      <c r="Q739" s="2">
        <v>1</v>
      </c>
      <c r="R739" s="4" t="s">
        <v>59</v>
      </c>
      <c r="S739" s="4" t="s">
        <v>58</v>
      </c>
      <c r="T739" s="3">
        <v>0</v>
      </c>
      <c r="U739" s="4" t="str" cm="1">
        <f t="array" ref="U739">_xlfn.IFS(V739&lt;=4, "Dissatisfied",V739&lt;=7,"Neutral",V739&gt;=8,"Satisfied")</f>
        <v>Neutral</v>
      </c>
      <c r="V739" s="3">
        <v>7</v>
      </c>
      <c r="W739" s="4" t="s">
        <v>57</v>
      </c>
      <c r="X739" s="4" t="s">
        <v>74</v>
      </c>
      <c r="Y739" s="4" t="s">
        <v>86</v>
      </c>
      <c r="Z739" s="1">
        <v>45551</v>
      </c>
      <c r="AA739" s="4" t="str" cm="1">
        <f t="array" ref="AA739">_xlfn.IFS(OR(AB739="December", AB739="February", AB739="January"), "Winter", OR(AB739="March", AB739="April", AB739="May"), "Spring", OR(AB739="June", AB739="July", AB739="August"), "Summer", TRUE, "Autumn")</f>
        <v>Autumn</v>
      </c>
      <c r="AB739" s="7" t="str">
        <f>TEXT(Z739, "mmmm")</f>
        <v>September</v>
      </c>
      <c r="AC739" s="1" t="str">
        <f>TEXT(Z739, "dddd")</f>
        <v>Monday</v>
      </c>
      <c r="AD739" s="4" t="s">
        <v>62</v>
      </c>
      <c r="AE739" s="4" t="s">
        <v>62</v>
      </c>
      <c r="AF739" s="4" t="s">
        <v>102</v>
      </c>
      <c r="AG739" s="4" t="s">
        <v>64</v>
      </c>
      <c r="AH739" s="3">
        <v>10</v>
      </c>
    </row>
    <row r="740" spans="1:34">
      <c r="A740" s="4" t="s">
        <v>1569</v>
      </c>
      <c r="B740" s="3">
        <v>26</v>
      </c>
      <c r="C740" s="9" t="str" cm="1">
        <f t="array" ref="C740">_xlfn.IFS(B740&gt;65,"+65",B740&gt;54,"55-65",B740&gt;44,"45-54",B740&gt;35,"36-44",B740&gt;25,"26-35",B740&gt;=18,"18-25")</f>
        <v>26-35</v>
      </c>
      <c r="D740" s="4" t="s">
        <v>66</v>
      </c>
      <c r="E740" s="4" t="s">
        <v>51</v>
      </c>
      <c r="F740" s="4" t="s">
        <v>95</v>
      </c>
      <c r="G740" s="4" t="s">
        <v>68</v>
      </c>
      <c r="H740" s="4" t="s">
        <v>1570</v>
      </c>
      <c r="I740" s="4" t="s">
        <v>97</v>
      </c>
      <c r="J740" s="5">
        <v>90.79</v>
      </c>
      <c r="K740" s="3">
        <v>12</v>
      </c>
      <c r="L740" s="4" t="str">
        <f>IF(AND(J740&gt;350,K740&gt;6), "True","False")</f>
        <v>False</v>
      </c>
      <c r="M740" s="4" t="s">
        <v>71</v>
      </c>
      <c r="N740" s="3">
        <v>4</v>
      </c>
      <c r="O740" s="4" t="str" cm="1">
        <f t="array" ref="O740">_xlfn.IFS(P740&lt;=2,"Poor",P740=3,"Average",P740&gt;=4,"Good")</f>
        <v>Poor</v>
      </c>
      <c r="P740" s="3">
        <v>1</v>
      </c>
      <c r="Q740" s="2">
        <v>2</v>
      </c>
      <c r="R740" s="4" t="s">
        <v>85</v>
      </c>
      <c r="S740" s="4" t="s">
        <v>84</v>
      </c>
      <c r="T740" s="3">
        <v>0</v>
      </c>
      <c r="U740" s="4" t="str" cm="1">
        <f t="array" ref="U740">_xlfn.IFS(V740&lt;=4, "Dissatisfied",V740&lt;=7,"Neutral",V740&gt;=8,"Satisfied")</f>
        <v>Dissatisfied</v>
      </c>
      <c r="V740" s="3">
        <v>2</v>
      </c>
      <c r="W740" s="4" t="s">
        <v>85</v>
      </c>
      <c r="X740" s="4" t="s">
        <v>74</v>
      </c>
      <c r="Y740" s="4" t="s">
        <v>111</v>
      </c>
      <c r="Z740" s="1">
        <v>45551</v>
      </c>
      <c r="AA740" s="4" t="str" cm="1">
        <f t="array" ref="AA740">_xlfn.IFS(OR(AB740="December", AB740="February", AB740="January"), "Winter", OR(AB740="March", AB740="April", AB740="May"), "Spring", OR(AB740="June", AB740="July", AB740="August"), "Summer", TRUE, "Autumn")</f>
        <v>Autumn</v>
      </c>
      <c r="AB740" s="7" t="str">
        <f>TEXT(Z740, "mmmm")</f>
        <v>September</v>
      </c>
      <c r="AC740" s="1" t="str">
        <f>TEXT(Z740, "dddd")</f>
        <v>Monday</v>
      </c>
      <c r="AD740" s="4" t="s">
        <v>76</v>
      </c>
      <c r="AE740" s="4" t="s">
        <v>76</v>
      </c>
      <c r="AF740" s="4" t="s">
        <v>87</v>
      </c>
      <c r="AG740" s="4" t="s">
        <v>88</v>
      </c>
      <c r="AH740" s="3">
        <v>6</v>
      </c>
    </row>
    <row r="741" spans="1:34">
      <c r="A741" s="4" t="s">
        <v>1571</v>
      </c>
      <c r="B741" s="3">
        <v>23</v>
      </c>
      <c r="C741" s="9" t="str" cm="1">
        <f t="array" ref="C741">_xlfn.IFS(B741&gt;65,"+65",B741&gt;54,"55-65",B741&gt;44,"45-54",B741&gt;35,"36-44",B741&gt;25,"26-35",B741&gt;=18,"18-25")</f>
        <v>18-25</v>
      </c>
      <c r="D741" s="4" t="s">
        <v>78</v>
      </c>
      <c r="E741" s="4" t="s">
        <v>72</v>
      </c>
      <c r="F741" s="4" t="s">
        <v>95</v>
      </c>
      <c r="G741" s="4" t="s">
        <v>68</v>
      </c>
      <c r="H741" s="4" t="s">
        <v>1572</v>
      </c>
      <c r="I741" s="4" t="s">
        <v>70</v>
      </c>
      <c r="J741" s="5">
        <v>145.97999999999999</v>
      </c>
      <c r="K741" s="3">
        <v>4</v>
      </c>
      <c r="L741" s="4" t="str">
        <f>IF(AND(J741&gt;350,K741&gt;6), "True","False")</f>
        <v>False</v>
      </c>
      <c r="M741" s="4" t="s">
        <v>71</v>
      </c>
      <c r="N741" s="3">
        <v>1</v>
      </c>
      <c r="O741" s="4" t="str" cm="1">
        <f t="array" ref="O741">_xlfn.IFS(P741&lt;=2,"Poor",P741=3,"Average",P741&gt;=4,"Good")</f>
        <v>Poor</v>
      </c>
      <c r="P741" s="3">
        <v>2</v>
      </c>
      <c r="Q741" s="2">
        <v>1</v>
      </c>
      <c r="R741" s="4" t="s">
        <v>59</v>
      </c>
      <c r="S741" s="4" t="s">
        <v>73</v>
      </c>
      <c r="T741" s="3">
        <v>2</v>
      </c>
      <c r="U741" s="4" t="str" cm="1">
        <f t="array" ref="U741">_xlfn.IFS(V741&lt;=4, "Dissatisfied",V741&lt;=7,"Neutral",V741&gt;=8,"Satisfied")</f>
        <v>Neutral</v>
      </c>
      <c r="V741" s="3">
        <v>5</v>
      </c>
      <c r="W741" s="4" t="s">
        <v>72</v>
      </c>
      <c r="X741" s="4" t="s">
        <v>101</v>
      </c>
      <c r="Y741" s="4" t="s">
        <v>111</v>
      </c>
      <c r="Z741" s="1">
        <v>45551</v>
      </c>
      <c r="AA741" s="4" t="str" cm="1">
        <f t="array" ref="AA741">_xlfn.IFS(OR(AB741="December", AB741="February", AB741="January"), "Winter", OR(AB741="March", AB741="April", AB741="May"), "Spring", OR(AB741="June", AB741="July", AB741="August"), "Summer", TRUE, "Autumn")</f>
        <v>Autumn</v>
      </c>
      <c r="AB741" s="7" t="str">
        <f>TEXT(Z741, "mmmm")</f>
        <v>September</v>
      </c>
      <c r="AC741" s="1" t="str">
        <f>TEXT(Z741, "dddd")</f>
        <v>Monday</v>
      </c>
      <c r="AD741" s="4" t="s">
        <v>76</v>
      </c>
      <c r="AE741" s="4" t="s">
        <v>76</v>
      </c>
      <c r="AF741" s="4" t="s">
        <v>63</v>
      </c>
      <c r="AG741" s="4" t="s">
        <v>88</v>
      </c>
      <c r="AH741" s="3">
        <v>1</v>
      </c>
    </row>
    <row r="742" spans="1:34">
      <c r="A742" s="4" t="s">
        <v>1573</v>
      </c>
      <c r="B742" s="3">
        <v>35</v>
      </c>
      <c r="C742" s="9" t="str" cm="1">
        <f t="array" ref="C742">_xlfn.IFS(B742&gt;65,"+65",B742&gt;54,"55-65",B742&gt;44,"45-54",B742&gt;35,"36-44",B742&gt;25,"26-35",B742&gt;=18,"18-25")</f>
        <v>26-35</v>
      </c>
      <c r="D742" s="4" t="s">
        <v>66</v>
      </c>
      <c r="E742" s="4" t="s">
        <v>72</v>
      </c>
      <c r="F742" s="4" t="s">
        <v>95</v>
      </c>
      <c r="G742" s="4" t="s">
        <v>53</v>
      </c>
      <c r="H742" s="4" t="s">
        <v>1574</v>
      </c>
      <c r="I742" s="4" t="s">
        <v>146</v>
      </c>
      <c r="J742" s="5">
        <v>246.44</v>
      </c>
      <c r="K742" s="3">
        <v>4</v>
      </c>
      <c r="L742" s="4" t="str">
        <f>IF(AND(J742&gt;350,K742&gt;6), "True","False")</f>
        <v>False</v>
      </c>
      <c r="M742" s="4" t="s">
        <v>83</v>
      </c>
      <c r="N742" s="3">
        <v>3</v>
      </c>
      <c r="O742" s="4" t="str" cm="1">
        <f t="array" ref="O742">_xlfn.IFS(P742&lt;=2,"Poor",P742=3,"Average",P742&gt;=4,"Good")</f>
        <v>Poor</v>
      </c>
      <c r="P742" s="3">
        <v>1</v>
      </c>
      <c r="Q742" s="2">
        <v>1</v>
      </c>
      <c r="R742" s="4" t="s">
        <v>85</v>
      </c>
      <c r="S742" s="4" t="s">
        <v>84</v>
      </c>
      <c r="T742" s="3">
        <v>0</v>
      </c>
      <c r="U742" s="4" t="str" cm="1">
        <f t="array" ref="U742">_xlfn.IFS(V742&lt;=4, "Dissatisfied",V742&lt;=7,"Neutral",V742&gt;=8,"Satisfied")</f>
        <v>Dissatisfied</v>
      </c>
      <c r="V742" s="3">
        <v>3</v>
      </c>
      <c r="W742" s="4" t="s">
        <v>85</v>
      </c>
      <c r="X742" s="4" t="s">
        <v>60</v>
      </c>
      <c r="Y742" s="4" t="s">
        <v>75</v>
      </c>
      <c r="Z742" s="1">
        <v>45552</v>
      </c>
      <c r="AA742" s="4" t="str" cm="1">
        <f t="array" ref="AA742">_xlfn.IFS(OR(AB742="December", AB742="February", AB742="January"), "Winter", OR(AB742="March", AB742="April", AB742="May"), "Spring", OR(AB742="June", AB742="July", AB742="August"), "Summer", TRUE, "Autumn")</f>
        <v>Autumn</v>
      </c>
      <c r="AB742" s="7" t="str">
        <f>TEXT(Z742, "mmmm")</f>
        <v>September</v>
      </c>
      <c r="AC742" s="1" t="str">
        <f>TEXT(Z742, "dddd")</f>
        <v>Tuesday</v>
      </c>
      <c r="AD742" s="4" t="s">
        <v>76</v>
      </c>
      <c r="AE742" s="4" t="s">
        <v>62</v>
      </c>
      <c r="AF742" s="4" t="s">
        <v>102</v>
      </c>
      <c r="AG742" s="4" t="s">
        <v>88</v>
      </c>
      <c r="AH742" s="3">
        <v>5</v>
      </c>
    </row>
    <row r="743" spans="1:34">
      <c r="A743" s="4" t="s">
        <v>1575</v>
      </c>
      <c r="B743" s="3">
        <v>32</v>
      </c>
      <c r="C743" s="9" t="str" cm="1">
        <f t="array" ref="C743">_xlfn.IFS(B743&gt;65,"+65",B743&gt;54,"55-65",B743&gt;44,"45-54",B743&gt;35,"36-44",B743&gt;25,"26-35",B743&gt;=18,"18-25")</f>
        <v>26-35</v>
      </c>
      <c r="D743" s="4" t="s">
        <v>232</v>
      </c>
      <c r="E743" s="4" t="s">
        <v>51</v>
      </c>
      <c r="F743" s="4" t="s">
        <v>52</v>
      </c>
      <c r="G743" s="4" t="s">
        <v>80</v>
      </c>
      <c r="H743" s="4" t="s">
        <v>1576</v>
      </c>
      <c r="I743" s="4" t="s">
        <v>169</v>
      </c>
      <c r="J743" s="5">
        <v>293.64</v>
      </c>
      <c r="K743" s="3">
        <v>3</v>
      </c>
      <c r="L743" s="4" t="str">
        <f>IF(AND(J743&gt;350,K743&gt;6), "True","False")</f>
        <v>False</v>
      </c>
      <c r="M743" s="4" t="s">
        <v>71</v>
      </c>
      <c r="N743" s="3">
        <v>2</v>
      </c>
      <c r="O743" s="4" t="str" cm="1">
        <f t="array" ref="O743">_xlfn.IFS(P743&lt;=2,"Poor",P743=3,"Average",P743&gt;=4,"Good")</f>
        <v>Poor</v>
      </c>
      <c r="P743" s="3">
        <v>1</v>
      </c>
      <c r="Q743" s="2">
        <v>2</v>
      </c>
      <c r="R743" s="4" t="s">
        <v>59</v>
      </c>
      <c r="S743" s="4" t="s">
        <v>58</v>
      </c>
      <c r="T743" s="3">
        <v>2</v>
      </c>
      <c r="U743" s="4" t="str" cm="1">
        <f t="array" ref="U743">_xlfn.IFS(V743&lt;=4, "Dissatisfied",V743&lt;=7,"Neutral",V743&gt;=8,"Satisfied")</f>
        <v>Satisfied</v>
      </c>
      <c r="V743" s="3">
        <v>8</v>
      </c>
      <c r="W743" s="4" t="s">
        <v>57</v>
      </c>
      <c r="X743" s="4" t="s">
        <v>74</v>
      </c>
      <c r="Y743" s="4" t="s">
        <v>119</v>
      </c>
      <c r="Z743" s="1">
        <v>45552</v>
      </c>
      <c r="AA743" s="4" t="str" cm="1">
        <f t="array" ref="AA743">_xlfn.IFS(OR(AB743="December", AB743="February", AB743="January"), "Winter", OR(AB743="March", AB743="April", AB743="May"), "Spring", OR(AB743="June", AB743="July", AB743="August"), "Summer", TRUE, "Autumn")</f>
        <v>Autumn</v>
      </c>
      <c r="AB743" s="7" t="str">
        <f>TEXT(Z743, "mmmm")</f>
        <v>September</v>
      </c>
      <c r="AC743" s="1" t="str">
        <f>TEXT(Z743, "dddd")</f>
        <v>Tuesday</v>
      </c>
      <c r="AD743" s="4" t="s">
        <v>62</v>
      </c>
      <c r="AE743" s="4" t="s">
        <v>76</v>
      </c>
      <c r="AF743" s="4" t="s">
        <v>92</v>
      </c>
      <c r="AG743" s="4" t="s">
        <v>93</v>
      </c>
      <c r="AH743" s="3">
        <v>5</v>
      </c>
    </row>
    <row r="744" spans="1:34">
      <c r="A744" s="4" t="s">
        <v>1577</v>
      </c>
      <c r="B744" s="3">
        <v>23</v>
      </c>
      <c r="C744" s="9" t="str" cm="1">
        <f t="array" ref="C744">_xlfn.IFS(B744&gt;65,"+65",B744&gt;54,"55-65",B744&gt;44,"45-54",B744&gt;35,"36-44",B744&gt;25,"26-35",B744&gt;=18,"18-25")</f>
        <v>18-25</v>
      </c>
      <c r="D744" s="4" t="s">
        <v>78</v>
      </c>
      <c r="E744" s="4" t="s">
        <v>51</v>
      </c>
      <c r="F744" s="4" t="s">
        <v>52</v>
      </c>
      <c r="G744" s="4" t="s">
        <v>53</v>
      </c>
      <c r="H744" s="4" t="s">
        <v>1578</v>
      </c>
      <c r="I744" s="4" t="s">
        <v>164</v>
      </c>
      <c r="J744" s="5">
        <v>355.28</v>
      </c>
      <c r="K744" s="3">
        <v>3</v>
      </c>
      <c r="L744" s="4" t="str">
        <f>IF(AND(J744&gt;350,K744&gt;6), "True","False")</f>
        <v>False</v>
      </c>
      <c r="M744" s="4" t="s">
        <v>83</v>
      </c>
      <c r="N744" s="3">
        <v>5</v>
      </c>
      <c r="O744" s="4" t="str" cm="1">
        <f t="array" ref="O744">_xlfn.IFS(P744&lt;=2,"Poor",P744=3,"Average",P744&gt;=4,"Good")</f>
        <v>Good</v>
      </c>
      <c r="P744" s="3">
        <v>5</v>
      </c>
      <c r="Q744" s="2">
        <v>0</v>
      </c>
      <c r="R744" s="4" t="s">
        <v>59</v>
      </c>
      <c r="S744" s="4" t="s">
        <v>73</v>
      </c>
      <c r="T744" s="3">
        <v>1</v>
      </c>
      <c r="U744" s="4" t="str" cm="1">
        <f t="array" ref="U744">_xlfn.IFS(V744&lt;=4, "Dissatisfied",V744&lt;=7,"Neutral",V744&gt;=8,"Satisfied")</f>
        <v>Dissatisfied</v>
      </c>
      <c r="V744" s="3">
        <v>4</v>
      </c>
      <c r="W744" s="4" t="s">
        <v>59</v>
      </c>
      <c r="X744" s="4" t="s">
        <v>60</v>
      </c>
      <c r="Y744" s="4" t="s">
        <v>119</v>
      </c>
      <c r="Z744" s="1">
        <v>45552</v>
      </c>
      <c r="AA744" s="4" t="str" cm="1">
        <f t="array" ref="AA744">_xlfn.IFS(OR(AB744="December", AB744="February", AB744="January"), "Winter", OR(AB744="March", AB744="April", AB744="May"), "Spring", OR(AB744="June", AB744="July", AB744="August"), "Summer", TRUE, "Autumn")</f>
        <v>Autumn</v>
      </c>
      <c r="AB744" s="7" t="str">
        <f>TEXT(Z744, "mmmm")</f>
        <v>September</v>
      </c>
      <c r="AC744" s="1" t="str">
        <f>TEXT(Z744, "dddd")</f>
        <v>Tuesday</v>
      </c>
      <c r="AD744" s="4" t="s">
        <v>62</v>
      </c>
      <c r="AE744" s="4" t="s">
        <v>62</v>
      </c>
      <c r="AF744" s="4" t="s">
        <v>87</v>
      </c>
      <c r="AG744" s="4" t="s">
        <v>88</v>
      </c>
      <c r="AH744" s="3">
        <v>5</v>
      </c>
    </row>
    <row r="745" spans="1:34">
      <c r="A745" s="4" t="s">
        <v>1579</v>
      </c>
      <c r="B745" s="3">
        <v>39</v>
      </c>
      <c r="C745" s="9" t="str" cm="1">
        <f t="array" ref="C745">_xlfn.IFS(B745&gt;65,"+65",B745&gt;54,"55-65",B745&gt;44,"45-54",B745&gt;35,"36-44",B745&gt;25,"26-35",B745&gt;=18,"18-25")</f>
        <v>36-44</v>
      </c>
      <c r="D745" s="4" t="s">
        <v>78</v>
      </c>
      <c r="E745" s="4" t="s">
        <v>51</v>
      </c>
      <c r="F745" s="4" t="s">
        <v>67</v>
      </c>
      <c r="G745" s="4" t="s">
        <v>53</v>
      </c>
      <c r="H745" s="4" t="s">
        <v>1580</v>
      </c>
      <c r="I745" s="4" t="s">
        <v>156</v>
      </c>
      <c r="J745" s="5">
        <v>379.21</v>
      </c>
      <c r="K745" s="3">
        <v>9</v>
      </c>
      <c r="L745" s="4" t="str">
        <f>IF(AND(J745&gt;350,K745&gt;6), "True","False")</f>
        <v>True</v>
      </c>
      <c r="M745" s="4" t="s">
        <v>83</v>
      </c>
      <c r="N745" s="3">
        <v>1</v>
      </c>
      <c r="O745" s="4" t="str" cm="1">
        <f t="array" ref="O745">_xlfn.IFS(P745&lt;=2,"Poor",P745=3,"Average",P745&gt;=4,"Good")</f>
        <v>Good</v>
      </c>
      <c r="P745" s="3">
        <v>5</v>
      </c>
      <c r="Q745" s="2">
        <v>1</v>
      </c>
      <c r="R745" s="4" t="s">
        <v>59</v>
      </c>
      <c r="S745" s="4" t="s">
        <v>84</v>
      </c>
      <c r="T745" s="3">
        <v>1</v>
      </c>
      <c r="U745" s="4" t="str" cm="1">
        <f t="array" ref="U745">_xlfn.IFS(V745&lt;=4, "Dissatisfied",V745&lt;=7,"Neutral",V745&gt;=8,"Satisfied")</f>
        <v>Dissatisfied</v>
      </c>
      <c r="V745" s="3">
        <v>1</v>
      </c>
      <c r="W745" s="4" t="s">
        <v>72</v>
      </c>
      <c r="X745" s="4" t="s">
        <v>60</v>
      </c>
      <c r="Y745" s="4" t="s">
        <v>86</v>
      </c>
      <c r="Z745" s="1">
        <v>45553</v>
      </c>
      <c r="AA745" s="4" t="str" cm="1">
        <f t="array" ref="AA745">_xlfn.IFS(OR(AB745="December", AB745="February", AB745="January"), "Winter", OR(AB745="March", AB745="April", AB745="May"), "Spring", OR(AB745="June", AB745="July", AB745="August"), "Summer", TRUE, "Autumn")</f>
        <v>Autumn</v>
      </c>
      <c r="AB745" s="7" t="str">
        <f>TEXT(Z745, "mmmm")</f>
        <v>September</v>
      </c>
      <c r="AC745" s="1" t="str">
        <f>TEXT(Z745, "dddd")</f>
        <v>Wednesday</v>
      </c>
      <c r="AD745" s="4" t="s">
        <v>62</v>
      </c>
      <c r="AE745" s="4" t="s">
        <v>62</v>
      </c>
      <c r="AF745" s="4" t="s">
        <v>92</v>
      </c>
      <c r="AG745" s="4" t="s">
        <v>88</v>
      </c>
      <c r="AH745" s="3">
        <v>1</v>
      </c>
    </row>
    <row r="746" spans="1:34">
      <c r="A746" s="4" t="s">
        <v>1581</v>
      </c>
      <c r="B746" s="3">
        <v>36</v>
      </c>
      <c r="C746" s="9" t="str" cm="1">
        <f t="array" ref="C746">_xlfn.IFS(B746&gt;65,"+65",B746&gt;54,"55-65",B746&gt;44,"45-54",B746&gt;35,"36-44",B746&gt;25,"26-35",B746&gt;=18,"18-25")</f>
        <v>36-44</v>
      </c>
      <c r="D746" s="4" t="s">
        <v>66</v>
      </c>
      <c r="E746" s="4" t="s">
        <v>72</v>
      </c>
      <c r="F746" s="4" t="s">
        <v>67</v>
      </c>
      <c r="G746" s="4" t="s">
        <v>80</v>
      </c>
      <c r="H746" s="4" t="s">
        <v>1582</v>
      </c>
      <c r="I746" s="4" t="s">
        <v>110</v>
      </c>
      <c r="J746" s="5">
        <v>218.87</v>
      </c>
      <c r="K746" s="3">
        <v>5</v>
      </c>
      <c r="L746" s="4" t="str">
        <f>IF(AND(J746&gt;350,K746&gt;6), "True","False")</f>
        <v>False</v>
      </c>
      <c r="M746" s="4" t="s">
        <v>83</v>
      </c>
      <c r="N746" s="3">
        <v>4</v>
      </c>
      <c r="O746" s="4" t="str" cm="1">
        <f t="array" ref="O746">_xlfn.IFS(P746&lt;=2,"Poor",P746=3,"Average",P746&gt;=4,"Good")</f>
        <v>Average</v>
      </c>
      <c r="P746" s="3">
        <v>3</v>
      </c>
      <c r="Q746" s="2">
        <v>0</v>
      </c>
      <c r="R746" s="4" t="s">
        <v>85</v>
      </c>
      <c r="S746" s="4" t="s">
        <v>73</v>
      </c>
      <c r="T746" s="3">
        <v>0</v>
      </c>
      <c r="U746" s="4" t="str" cm="1">
        <f t="array" ref="U746">_xlfn.IFS(V746&lt;=4, "Dissatisfied",V746&lt;=7,"Neutral",V746&gt;=8,"Satisfied")</f>
        <v>Dissatisfied</v>
      </c>
      <c r="V746" s="3">
        <v>4</v>
      </c>
      <c r="W746" s="4" t="s">
        <v>85</v>
      </c>
      <c r="X746" s="4" t="s">
        <v>60</v>
      </c>
      <c r="Y746" s="4" t="s">
        <v>61</v>
      </c>
      <c r="Z746" s="1">
        <v>45553</v>
      </c>
      <c r="AA746" s="4" t="str" cm="1">
        <f t="array" ref="AA746">_xlfn.IFS(OR(AB746="December", AB746="February", AB746="January"), "Winter", OR(AB746="March", AB746="April", AB746="May"), "Spring", OR(AB746="June", AB746="July", AB746="August"), "Summer", TRUE, "Autumn")</f>
        <v>Autumn</v>
      </c>
      <c r="AB746" s="7" t="str">
        <f>TEXT(Z746, "mmmm")</f>
        <v>September</v>
      </c>
      <c r="AC746" s="1" t="str">
        <f>TEXT(Z746, "dddd")</f>
        <v>Wednesday</v>
      </c>
      <c r="AD746" s="4" t="s">
        <v>62</v>
      </c>
      <c r="AE746" s="4" t="s">
        <v>76</v>
      </c>
      <c r="AF746" s="4" t="s">
        <v>87</v>
      </c>
      <c r="AG746" s="4" t="s">
        <v>88</v>
      </c>
      <c r="AH746" s="3">
        <v>11</v>
      </c>
    </row>
    <row r="747" spans="1:34">
      <c r="A747" s="4" t="s">
        <v>1583</v>
      </c>
      <c r="B747" s="3">
        <v>31</v>
      </c>
      <c r="C747" s="9" t="str" cm="1">
        <f t="array" ref="C747">_xlfn.IFS(B747&gt;65,"+65",B747&gt;54,"55-65",B747&gt;44,"45-54",B747&gt;35,"36-44",B747&gt;25,"26-35",B747&gt;=18,"18-25")</f>
        <v>26-35</v>
      </c>
      <c r="D747" s="4" t="s">
        <v>456</v>
      </c>
      <c r="E747" s="4" t="s">
        <v>72</v>
      </c>
      <c r="F747" s="4" t="s">
        <v>95</v>
      </c>
      <c r="G747" s="4" t="s">
        <v>80</v>
      </c>
      <c r="H747" s="4" t="s">
        <v>1584</v>
      </c>
      <c r="I747" s="4" t="s">
        <v>100</v>
      </c>
      <c r="J747" s="5">
        <v>254.83</v>
      </c>
      <c r="K747" s="3">
        <v>2</v>
      </c>
      <c r="L747" s="4" t="str">
        <f>IF(AND(J747&gt;350,K747&gt;6), "True","False")</f>
        <v>False</v>
      </c>
      <c r="M747" s="4" t="s">
        <v>83</v>
      </c>
      <c r="N747" s="3">
        <v>1</v>
      </c>
      <c r="O747" s="4" t="str" cm="1">
        <f t="array" ref="O747">_xlfn.IFS(P747&lt;=2,"Poor",P747=3,"Average",P747&gt;=4,"Good")</f>
        <v>Poor</v>
      </c>
      <c r="P747" s="3">
        <v>2</v>
      </c>
      <c r="Q747" s="2">
        <v>1</v>
      </c>
      <c r="R747" s="4" t="s">
        <v>57</v>
      </c>
      <c r="S747" s="4" t="s">
        <v>84</v>
      </c>
      <c r="T747" s="3">
        <v>1</v>
      </c>
      <c r="U747" s="4" t="str" cm="1">
        <f t="array" ref="U747">_xlfn.IFS(V747&lt;=4, "Dissatisfied",V747&lt;=7,"Neutral",V747&gt;=8,"Satisfied")</f>
        <v>Dissatisfied</v>
      </c>
      <c r="V747" s="3">
        <v>2</v>
      </c>
      <c r="W747" s="4" t="s">
        <v>59</v>
      </c>
      <c r="X747" s="4" t="s">
        <v>101</v>
      </c>
      <c r="Y747" s="4" t="s">
        <v>119</v>
      </c>
      <c r="Z747" s="1">
        <v>45553</v>
      </c>
      <c r="AA747" s="4" t="str" cm="1">
        <f t="array" ref="AA747">_xlfn.IFS(OR(AB747="December", AB747="February", AB747="January"), "Winter", OR(AB747="March", AB747="April", AB747="May"), "Spring", OR(AB747="June", AB747="July", AB747="August"), "Summer", TRUE, "Autumn")</f>
        <v>Autumn</v>
      </c>
      <c r="AB747" s="7" t="str">
        <f>TEXT(Z747, "mmmm")</f>
        <v>September</v>
      </c>
      <c r="AC747" s="1" t="str">
        <f>TEXT(Z747, "dddd")</f>
        <v>Wednesday</v>
      </c>
      <c r="AD747" s="4" t="s">
        <v>76</v>
      </c>
      <c r="AE747" s="4" t="s">
        <v>76</v>
      </c>
      <c r="AF747" s="4" t="s">
        <v>102</v>
      </c>
      <c r="AG747" s="4" t="s">
        <v>64</v>
      </c>
      <c r="AH747" s="3">
        <v>1</v>
      </c>
    </row>
    <row r="748" spans="1:34">
      <c r="A748" s="4" t="s">
        <v>1585</v>
      </c>
      <c r="B748" s="3">
        <v>25</v>
      </c>
      <c r="C748" s="9" t="str" cm="1">
        <f t="array" ref="C748">_xlfn.IFS(B748&gt;65,"+65",B748&gt;54,"55-65",B748&gt;44,"45-54",B748&gt;35,"36-44",B748&gt;25,"26-35",B748&gt;=18,"18-25")</f>
        <v>18-25</v>
      </c>
      <c r="D748" s="4" t="s">
        <v>78</v>
      </c>
      <c r="E748" s="4" t="s">
        <v>51</v>
      </c>
      <c r="F748" s="4" t="s">
        <v>52</v>
      </c>
      <c r="G748" s="4" t="s">
        <v>68</v>
      </c>
      <c r="H748" s="4" t="s">
        <v>1586</v>
      </c>
      <c r="I748" s="4" t="s">
        <v>82</v>
      </c>
      <c r="J748" s="5">
        <v>343.77</v>
      </c>
      <c r="K748" s="3">
        <v>6</v>
      </c>
      <c r="L748" s="4" t="str">
        <f>IF(AND(J748&gt;350,K748&gt;6), "True","False")</f>
        <v>False</v>
      </c>
      <c r="M748" s="4" t="s">
        <v>56</v>
      </c>
      <c r="N748" s="3">
        <v>4</v>
      </c>
      <c r="O748" s="4" t="str" cm="1">
        <f t="array" ref="O748">_xlfn.IFS(P748&lt;=2,"Poor",P748=3,"Average",P748&gt;=4,"Good")</f>
        <v>Average</v>
      </c>
      <c r="P748" s="3">
        <v>3</v>
      </c>
      <c r="Q748" s="2">
        <v>2</v>
      </c>
      <c r="R748" s="4" t="s">
        <v>59</v>
      </c>
      <c r="S748" s="4" t="s">
        <v>84</v>
      </c>
      <c r="T748" s="3">
        <v>2</v>
      </c>
      <c r="U748" s="4" t="str" cm="1">
        <f t="array" ref="U748">_xlfn.IFS(V748&lt;=4, "Dissatisfied",V748&lt;=7,"Neutral",V748&gt;=8,"Satisfied")</f>
        <v>Satisfied</v>
      </c>
      <c r="V748" s="3">
        <v>9</v>
      </c>
      <c r="W748" s="4" t="s">
        <v>72</v>
      </c>
      <c r="X748" s="4" t="s">
        <v>101</v>
      </c>
      <c r="Y748" s="4" t="s">
        <v>61</v>
      </c>
      <c r="Z748" s="1">
        <v>45553</v>
      </c>
      <c r="AA748" s="4" t="str" cm="1">
        <f t="array" ref="AA748">_xlfn.IFS(OR(AB748="December", AB748="February", AB748="January"), "Winter", OR(AB748="March", AB748="April", AB748="May"), "Spring", OR(AB748="June", AB748="July", AB748="August"), "Summer", TRUE, "Autumn")</f>
        <v>Autumn</v>
      </c>
      <c r="AB748" s="7" t="str">
        <f>TEXT(Z748, "mmmm")</f>
        <v>September</v>
      </c>
      <c r="AC748" s="1" t="str">
        <f>TEXT(Z748, "dddd")</f>
        <v>Wednesday</v>
      </c>
      <c r="AD748" s="4" t="s">
        <v>62</v>
      </c>
      <c r="AE748" s="4" t="s">
        <v>62</v>
      </c>
      <c r="AF748" s="4" t="s">
        <v>102</v>
      </c>
      <c r="AG748" s="4" t="s">
        <v>93</v>
      </c>
      <c r="AH748" s="3">
        <v>6</v>
      </c>
    </row>
    <row r="749" spans="1:34">
      <c r="A749" s="4" t="s">
        <v>1587</v>
      </c>
      <c r="B749" s="3">
        <v>21</v>
      </c>
      <c r="C749" s="9" t="str" cm="1">
        <f t="array" ref="C749">_xlfn.IFS(B749&gt;65,"+65",B749&gt;54,"55-65",B749&gt;44,"45-54",B749&gt;35,"36-44",B749&gt;25,"26-35",B749&gt;=18,"18-25")</f>
        <v>18-25</v>
      </c>
      <c r="D749" s="4" t="s">
        <v>66</v>
      </c>
      <c r="E749" s="4" t="s">
        <v>72</v>
      </c>
      <c r="F749" s="4" t="s">
        <v>67</v>
      </c>
      <c r="G749" s="4" t="s">
        <v>68</v>
      </c>
      <c r="H749" s="4" t="s">
        <v>1588</v>
      </c>
      <c r="I749" s="4" t="s">
        <v>70</v>
      </c>
      <c r="J749" s="5">
        <v>340.31</v>
      </c>
      <c r="K749" s="3">
        <v>10</v>
      </c>
      <c r="L749" s="4" t="str">
        <f>IF(AND(J749&gt;350,K749&gt;6), "True","False")</f>
        <v>False</v>
      </c>
      <c r="M749" s="4" t="s">
        <v>56</v>
      </c>
      <c r="N749" s="3">
        <v>5</v>
      </c>
      <c r="O749" s="4" t="str" cm="1">
        <f t="array" ref="O749">_xlfn.IFS(P749&lt;=2,"Poor",P749=3,"Average",P749&gt;=4,"Good")</f>
        <v>Poor</v>
      </c>
      <c r="P749" s="3">
        <v>1</v>
      </c>
      <c r="Q749" s="2">
        <v>1</v>
      </c>
      <c r="R749" s="4" t="s">
        <v>59</v>
      </c>
      <c r="S749" s="4" t="s">
        <v>84</v>
      </c>
      <c r="T749" s="3">
        <v>0</v>
      </c>
      <c r="U749" s="4" t="str" cm="1">
        <f t="array" ref="U749">_xlfn.IFS(V749&lt;=4, "Dissatisfied",V749&lt;=7,"Neutral",V749&gt;=8,"Satisfied")</f>
        <v>Neutral</v>
      </c>
      <c r="V749" s="3">
        <v>5</v>
      </c>
      <c r="W749" s="4" t="s">
        <v>59</v>
      </c>
      <c r="X749" s="4" t="s">
        <v>101</v>
      </c>
      <c r="Y749" s="4" t="s">
        <v>111</v>
      </c>
      <c r="Z749" s="1">
        <v>45553</v>
      </c>
      <c r="AA749" s="4" t="str" cm="1">
        <f t="array" ref="AA749">_xlfn.IFS(OR(AB749="December", AB749="February", AB749="January"), "Winter", OR(AB749="March", AB749="April", AB749="May"), "Spring", OR(AB749="June", AB749="July", AB749="August"), "Summer", TRUE, "Autumn")</f>
        <v>Autumn</v>
      </c>
      <c r="AB749" s="7" t="str">
        <f>TEXT(Z749, "mmmm")</f>
        <v>September</v>
      </c>
      <c r="AC749" s="1" t="str">
        <f>TEXT(Z749, "dddd")</f>
        <v>Wednesday</v>
      </c>
      <c r="AD749" s="4" t="s">
        <v>76</v>
      </c>
      <c r="AE749" s="4" t="s">
        <v>62</v>
      </c>
      <c r="AF749" s="4" t="s">
        <v>92</v>
      </c>
      <c r="AG749" s="4" t="s">
        <v>88</v>
      </c>
      <c r="AH749" s="3">
        <v>14</v>
      </c>
    </row>
    <row r="750" spans="1:34">
      <c r="A750" s="4" t="s">
        <v>1589</v>
      </c>
      <c r="B750" s="3">
        <v>20</v>
      </c>
      <c r="C750" s="9" t="str" cm="1">
        <f t="array" ref="C750">_xlfn.IFS(B750&gt;65,"+65",B750&gt;54,"55-65",B750&gt;44,"45-54",B750&gt;35,"36-44",B750&gt;25,"26-35",B750&gt;=18,"18-25")</f>
        <v>18-25</v>
      </c>
      <c r="D750" s="4" t="s">
        <v>78</v>
      </c>
      <c r="E750" s="4" t="s">
        <v>51</v>
      </c>
      <c r="F750" s="4" t="s">
        <v>67</v>
      </c>
      <c r="G750" s="4" t="s">
        <v>53</v>
      </c>
      <c r="H750" s="4" t="s">
        <v>592</v>
      </c>
      <c r="I750" s="4" t="s">
        <v>100</v>
      </c>
      <c r="J750" s="5">
        <v>366.77</v>
      </c>
      <c r="K750" s="3">
        <v>7</v>
      </c>
      <c r="L750" s="4" t="str">
        <f>IF(AND(J750&gt;350,K750&gt;6), "True","False")</f>
        <v>True</v>
      </c>
      <c r="M750" s="4" t="s">
        <v>83</v>
      </c>
      <c r="N750" s="3">
        <v>4</v>
      </c>
      <c r="O750" s="4" t="str" cm="1">
        <f t="array" ref="O750">_xlfn.IFS(P750&lt;=2,"Poor",P750=3,"Average",P750&gt;=4,"Good")</f>
        <v>Average</v>
      </c>
      <c r="P750" s="3">
        <v>3</v>
      </c>
      <c r="Q750" s="2">
        <v>2</v>
      </c>
      <c r="R750" s="4" t="s">
        <v>59</v>
      </c>
      <c r="S750" s="4" t="s">
        <v>58</v>
      </c>
      <c r="T750" s="3">
        <v>0</v>
      </c>
      <c r="U750" s="4" t="str" cm="1">
        <f t="array" ref="U750">_xlfn.IFS(V750&lt;=4, "Dissatisfied",V750&lt;=7,"Neutral",V750&gt;=8,"Satisfied")</f>
        <v>Satisfied</v>
      </c>
      <c r="V750" s="3">
        <v>9</v>
      </c>
      <c r="W750" s="4" t="s">
        <v>57</v>
      </c>
      <c r="X750" s="4" t="s">
        <v>60</v>
      </c>
      <c r="Y750" s="4" t="s">
        <v>75</v>
      </c>
      <c r="Z750" s="1">
        <v>45553</v>
      </c>
      <c r="AA750" s="4" t="str" cm="1">
        <f t="array" ref="AA750">_xlfn.IFS(OR(AB750="December", AB750="February", AB750="January"), "Winter", OR(AB750="March", AB750="April", AB750="May"), "Spring", OR(AB750="June", AB750="July", AB750="August"), "Summer", TRUE, "Autumn")</f>
        <v>Autumn</v>
      </c>
      <c r="AB750" s="7" t="str">
        <f>TEXT(Z750, "mmmm")</f>
        <v>September</v>
      </c>
      <c r="AC750" s="1" t="str">
        <f>TEXT(Z750, "dddd")</f>
        <v>Wednesday</v>
      </c>
      <c r="AD750" s="4" t="s">
        <v>76</v>
      </c>
      <c r="AE750" s="4" t="s">
        <v>76</v>
      </c>
      <c r="AF750" s="4" t="s">
        <v>92</v>
      </c>
      <c r="AG750" s="4" t="s">
        <v>64</v>
      </c>
      <c r="AH750" s="3">
        <v>1</v>
      </c>
    </row>
    <row r="751" spans="1:34">
      <c r="A751" s="4" t="s">
        <v>1590</v>
      </c>
      <c r="B751" s="3">
        <v>36</v>
      </c>
      <c r="C751" s="9" t="str" cm="1">
        <f t="array" ref="C751">_xlfn.IFS(B751&gt;65,"+65",B751&gt;54,"55-65",B751&gt;44,"45-54",B751&gt;35,"36-44",B751&gt;25,"26-35",B751&gt;=18,"18-25")</f>
        <v>36-44</v>
      </c>
      <c r="D751" s="4" t="s">
        <v>78</v>
      </c>
      <c r="E751" s="4" t="s">
        <v>51</v>
      </c>
      <c r="F751" s="4" t="s">
        <v>52</v>
      </c>
      <c r="G751" s="4" t="s">
        <v>68</v>
      </c>
      <c r="H751" s="4" t="s">
        <v>1591</v>
      </c>
      <c r="I751" s="4" t="s">
        <v>100</v>
      </c>
      <c r="J751" s="5">
        <v>178.04</v>
      </c>
      <c r="K751" s="3">
        <v>5</v>
      </c>
      <c r="L751" s="4" t="str">
        <f>IF(AND(J751&gt;350,K751&gt;6), "True","False")</f>
        <v>False</v>
      </c>
      <c r="M751" s="4" t="s">
        <v>83</v>
      </c>
      <c r="N751" s="3">
        <v>1</v>
      </c>
      <c r="O751" s="4" t="str" cm="1">
        <f t="array" ref="O751">_xlfn.IFS(P751&lt;=2,"Poor",P751=3,"Average",P751&gt;=4,"Good")</f>
        <v>Poor</v>
      </c>
      <c r="P751" s="3">
        <v>1</v>
      </c>
      <c r="Q751" s="2">
        <v>2</v>
      </c>
      <c r="R751" s="4" t="s">
        <v>57</v>
      </c>
      <c r="S751" s="4" t="s">
        <v>84</v>
      </c>
      <c r="T751" s="3">
        <v>2</v>
      </c>
      <c r="U751" s="4" t="str" cm="1">
        <f t="array" ref="U751">_xlfn.IFS(V751&lt;=4, "Dissatisfied",V751&lt;=7,"Neutral",V751&gt;=8,"Satisfied")</f>
        <v>Satisfied</v>
      </c>
      <c r="V751" s="3">
        <v>10</v>
      </c>
      <c r="W751" s="4" t="s">
        <v>72</v>
      </c>
      <c r="X751" s="4" t="s">
        <v>60</v>
      </c>
      <c r="Y751" s="4" t="s">
        <v>119</v>
      </c>
      <c r="Z751" s="1">
        <v>45554</v>
      </c>
      <c r="AA751" s="4" t="str" cm="1">
        <f t="array" ref="AA751">_xlfn.IFS(OR(AB751="December", AB751="February", AB751="January"), "Winter", OR(AB751="March", AB751="April", AB751="May"), "Spring", OR(AB751="June", AB751="July", AB751="August"), "Summer", TRUE, "Autumn")</f>
        <v>Autumn</v>
      </c>
      <c r="AB751" s="7" t="str">
        <f>TEXT(Z751, "mmmm")</f>
        <v>September</v>
      </c>
      <c r="AC751" s="1" t="str">
        <f>TEXT(Z751, "dddd")</f>
        <v>Thursday</v>
      </c>
      <c r="AD751" s="4" t="s">
        <v>62</v>
      </c>
      <c r="AE751" s="4" t="s">
        <v>62</v>
      </c>
      <c r="AF751" s="4" t="s">
        <v>92</v>
      </c>
      <c r="AG751" s="4" t="s">
        <v>93</v>
      </c>
      <c r="AH751" s="3">
        <v>11</v>
      </c>
    </row>
    <row r="752" spans="1:34">
      <c r="A752" s="4" t="s">
        <v>1592</v>
      </c>
      <c r="B752" s="3">
        <v>20</v>
      </c>
      <c r="C752" s="9" t="str" cm="1">
        <f t="array" ref="C752">_xlfn.IFS(B752&gt;65,"+65",B752&gt;54,"55-65",B752&gt;44,"45-54",B752&gt;35,"36-44",B752&gt;25,"26-35",B752&gt;=18,"18-25")</f>
        <v>18-25</v>
      </c>
      <c r="D752" s="4" t="s">
        <v>78</v>
      </c>
      <c r="E752" s="4" t="s">
        <v>51</v>
      </c>
      <c r="F752" s="4" t="s">
        <v>67</v>
      </c>
      <c r="G752" s="4" t="s">
        <v>80</v>
      </c>
      <c r="H752" s="4" t="s">
        <v>1000</v>
      </c>
      <c r="I752" s="4" t="s">
        <v>194</v>
      </c>
      <c r="J752" s="5">
        <v>126.26</v>
      </c>
      <c r="K752" s="3">
        <v>2</v>
      </c>
      <c r="L752" s="4" t="str">
        <f>IF(AND(J752&gt;350,K752&gt;6), "True","False")</f>
        <v>False</v>
      </c>
      <c r="M752" s="4" t="s">
        <v>56</v>
      </c>
      <c r="N752" s="3">
        <v>4</v>
      </c>
      <c r="O752" s="4" t="str" cm="1">
        <f t="array" ref="O752">_xlfn.IFS(P752&lt;=2,"Poor",P752=3,"Average",P752&gt;=4,"Good")</f>
        <v>Good</v>
      </c>
      <c r="P752" s="3">
        <v>5</v>
      </c>
      <c r="Q752" s="2">
        <v>1</v>
      </c>
      <c r="R752" s="4" t="s">
        <v>57</v>
      </c>
      <c r="S752" s="4" t="s">
        <v>84</v>
      </c>
      <c r="T752" s="3">
        <v>1</v>
      </c>
      <c r="U752" s="4" t="str" cm="1">
        <f t="array" ref="U752">_xlfn.IFS(V752&lt;=4, "Dissatisfied",V752&lt;=7,"Neutral",V752&gt;=8,"Satisfied")</f>
        <v>Neutral</v>
      </c>
      <c r="V752" s="3">
        <v>6</v>
      </c>
      <c r="W752" s="4" t="s">
        <v>57</v>
      </c>
      <c r="X752" s="4" t="s">
        <v>60</v>
      </c>
      <c r="Y752" s="4" t="s">
        <v>75</v>
      </c>
      <c r="Z752" s="1">
        <v>45554</v>
      </c>
      <c r="AA752" s="4" t="str" cm="1">
        <f t="array" ref="AA752">_xlfn.IFS(OR(AB752="December", AB752="February", AB752="January"), "Winter", OR(AB752="March", AB752="April", AB752="May"), "Spring", OR(AB752="June", AB752="July", AB752="August"), "Summer", TRUE, "Autumn")</f>
        <v>Autumn</v>
      </c>
      <c r="AB752" s="7" t="str">
        <f>TEXT(Z752, "mmmm")</f>
        <v>September</v>
      </c>
      <c r="AC752" s="1" t="str">
        <f>TEXT(Z752, "dddd")</f>
        <v>Thursday</v>
      </c>
      <c r="AD752" s="4" t="s">
        <v>62</v>
      </c>
      <c r="AE752" s="4" t="s">
        <v>76</v>
      </c>
      <c r="AF752" s="4" t="s">
        <v>87</v>
      </c>
      <c r="AG752" s="4" t="s">
        <v>64</v>
      </c>
      <c r="AH752" s="3">
        <v>13</v>
      </c>
    </row>
    <row r="753" spans="1:34">
      <c r="A753" s="4" t="s">
        <v>1593</v>
      </c>
      <c r="B753" s="3">
        <v>46</v>
      </c>
      <c r="C753" s="9" t="str" cm="1">
        <f t="array" ref="C753">_xlfn.IFS(B753&gt;65,"+65",B753&gt;54,"55-65",B753&gt;44,"45-54",B753&gt;35,"36-44",B753&gt;25,"26-35",B753&gt;=18,"18-25")</f>
        <v>45-54</v>
      </c>
      <c r="D753" s="4" t="s">
        <v>456</v>
      </c>
      <c r="E753" s="4" t="s">
        <v>72</v>
      </c>
      <c r="F753" s="4" t="s">
        <v>52</v>
      </c>
      <c r="G753" s="4" t="s">
        <v>68</v>
      </c>
      <c r="H753" s="4" t="s">
        <v>1594</v>
      </c>
      <c r="I753" s="4" t="s">
        <v>156</v>
      </c>
      <c r="J753" s="5">
        <v>223.47</v>
      </c>
      <c r="K753" s="3">
        <v>9</v>
      </c>
      <c r="L753" s="4" t="str">
        <f>IF(AND(J753&gt;350,K753&gt;6), "True","False")</f>
        <v>False</v>
      </c>
      <c r="M753" s="4" t="s">
        <v>83</v>
      </c>
      <c r="N753" s="3">
        <v>2</v>
      </c>
      <c r="O753" s="4" t="str" cm="1">
        <f t="array" ref="O753">_xlfn.IFS(P753&lt;=2,"Poor",P753=3,"Average",P753&gt;=4,"Good")</f>
        <v>Poor</v>
      </c>
      <c r="P753" s="3">
        <v>1</v>
      </c>
      <c r="Q753" s="2">
        <v>1</v>
      </c>
      <c r="R753" s="4" t="s">
        <v>72</v>
      </c>
      <c r="S753" s="4" t="s">
        <v>84</v>
      </c>
      <c r="T753" s="3">
        <v>0</v>
      </c>
      <c r="U753" s="4" t="str" cm="1">
        <f t="array" ref="U753">_xlfn.IFS(V753&lt;=4, "Dissatisfied",V753&lt;=7,"Neutral",V753&gt;=8,"Satisfied")</f>
        <v>Dissatisfied</v>
      </c>
      <c r="V753" s="3">
        <v>2</v>
      </c>
      <c r="W753" s="4" t="s">
        <v>57</v>
      </c>
      <c r="X753" s="4" t="s">
        <v>74</v>
      </c>
      <c r="Y753" s="4" t="s">
        <v>75</v>
      </c>
      <c r="Z753" s="1">
        <v>45555</v>
      </c>
      <c r="AA753" s="4" t="str" cm="1">
        <f t="array" ref="AA753">_xlfn.IFS(OR(AB753="December", AB753="February", AB753="January"), "Winter", OR(AB753="March", AB753="April", AB753="May"), "Spring", OR(AB753="June", AB753="July", AB753="August"), "Summer", TRUE, "Autumn")</f>
        <v>Autumn</v>
      </c>
      <c r="AB753" s="7" t="str">
        <f>TEXT(Z753, "mmmm")</f>
        <v>September</v>
      </c>
      <c r="AC753" s="1" t="str">
        <f>TEXT(Z753, "dddd")</f>
        <v>Friday</v>
      </c>
      <c r="AD753" s="4" t="s">
        <v>62</v>
      </c>
      <c r="AE753" s="4" t="s">
        <v>62</v>
      </c>
      <c r="AF753" s="4" t="s">
        <v>63</v>
      </c>
      <c r="AG753" s="4" t="s">
        <v>64</v>
      </c>
      <c r="AH753" s="3">
        <v>8</v>
      </c>
    </row>
    <row r="754" spans="1:34">
      <c r="A754" s="4" t="s">
        <v>1595</v>
      </c>
      <c r="B754" s="3">
        <v>41</v>
      </c>
      <c r="C754" s="9" t="str" cm="1">
        <f t="array" ref="C754">_xlfn.IFS(B754&gt;65,"+65",B754&gt;54,"55-65",B754&gt;44,"45-54",B754&gt;35,"36-44",B754&gt;25,"26-35",B754&gt;=18,"18-25")</f>
        <v>36-44</v>
      </c>
      <c r="D754" s="4" t="s">
        <v>78</v>
      </c>
      <c r="E754" s="4" t="s">
        <v>72</v>
      </c>
      <c r="F754" s="4" t="s">
        <v>67</v>
      </c>
      <c r="G754" s="4" t="s">
        <v>80</v>
      </c>
      <c r="H754" s="4" t="s">
        <v>1596</v>
      </c>
      <c r="I754" s="4" t="s">
        <v>172</v>
      </c>
      <c r="J754" s="5">
        <v>117.03</v>
      </c>
      <c r="K754" s="3">
        <v>6</v>
      </c>
      <c r="L754" s="4" t="str">
        <f>IF(AND(J754&gt;350,K754&gt;6), "True","False")</f>
        <v>False</v>
      </c>
      <c r="M754" s="4" t="s">
        <v>56</v>
      </c>
      <c r="N754" s="3">
        <v>3</v>
      </c>
      <c r="O754" s="4" t="str" cm="1">
        <f t="array" ref="O754">_xlfn.IFS(P754&lt;=2,"Poor",P754=3,"Average",P754&gt;=4,"Good")</f>
        <v>Poor</v>
      </c>
      <c r="P754" s="3">
        <v>2</v>
      </c>
      <c r="Q754" s="2">
        <v>0</v>
      </c>
      <c r="R754" s="4" t="s">
        <v>57</v>
      </c>
      <c r="S754" s="4" t="s">
        <v>73</v>
      </c>
      <c r="T754" s="3">
        <v>2</v>
      </c>
      <c r="U754" s="4" t="str" cm="1">
        <f t="array" ref="U754">_xlfn.IFS(V754&lt;=4, "Dissatisfied",V754&lt;=7,"Neutral",V754&gt;=8,"Satisfied")</f>
        <v>Satisfied</v>
      </c>
      <c r="V754" s="3">
        <v>9</v>
      </c>
      <c r="W754" s="4" t="s">
        <v>85</v>
      </c>
      <c r="X754" s="4" t="s">
        <v>74</v>
      </c>
      <c r="Y754" s="4" t="s">
        <v>61</v>
      </c>
      <c r="Z754" s="1">
        <v>45555</v>
      </c>
      <c r="AA754" s="4" t="str" cm="1">
        <f t="array" ref="AA754">_xlfn.IFS(OR(AB754="December", AB754="February", AB754="January"), "Winter", OR(AB754="March", AB754="April", AB754="May"), "Spring", OR(AB754="June", AB754="July", AB754="August"), "Summer", TRUE, "Autumn")</f>
        <v>Autumn</v>
      </c>
      <c r="AB754" s="7" t="str">
        <f>TEXT(Z754, "mmmm")</f>
        <v>September</v>
      </c>
      <c r="AC754" s="1" t="str">
        <f>TEXT(Z754, "dddd")</f>
        <v>Friday</v>
      </c>
      <c r="AD754" s="4" t="s">
        <v>76</v>
      </c>
      <c r="AE754" s="4" t="s">
        <v>76</v>
      </c>
      <c r="AF754" s="4" t="s">
        <v>92</v>
      </c>
      <c r="AG754" s="4" t="s">
        <v>64</v>
      </c>
      <c r="AH754" s="3">
        <v>5</v>
      </c>
    </row>
    <row r="755" spans="1:34">
      <c r="A755" s="4" t="s">
        <v>1597</v>
      </c>
      <c r="B755" s="3">
        <v>33</v>
      </c>
      <c r="C755" s="9" t="str" cm="1">
        <f t="array" ref="C755">_xlfn.IFS(B755&gt;65,"+65",B755&gt;54,"55-65",B755&gt;44,"45-54",B755&gt;35,"36-44",B755&gt;25,"26-35",B755&gt;=18,"18-25")</f>
        <v>26-35</v>
      </c>
      <c r="D755" s="4" t="s">
        <v>66</v>
      </c>
      <c r="E755" s="4" t="s">
        <v>51</v>
      </c>
      <c r="F755" s="4" t="s">
        <v>95</v>
      </c>
      <c r="G755" s="4" t="s">
        <v>68</v>
      </c>
      <c r="H755" s="4" t="s">
        <v>1598</v>
      </c>
      <c r="I755" s="4" t="s">
        <v>97</v>
      </c>
      <c r="J755" s="5">
        <v>106.69</v>
      </c>
      <c r="K755" s="3">
        <v>5</v>
      </c>
      <c r="L755" s="4" t="str">
        <f>IF(AND(J755&gt;350,K755&gt;6), "True","False")</f>
        <v>False</v>
      </c>
      <c r="M755" s="4" t="s">
        <v>56</v>
      </c>
      <c r="N755" s="3">
        <v>3</v>
      </c>
      <c r="O755" s="4" t="str" cm="1">
        <f t="array" ref="O755">_xlfn.IFS(P755&lt;=2,"Poor",P755=3,"Average",P755&gt;=4,"Good")</f>
        <v>Good</v>
      </c>
      <c r="P755" s="3">
        <v>4</v>
      </c>
      <c r="Q755" s="2">
        <v>1.3</v>
      </c>
      <c r="R755" s="4" t="s">
        <v>85</v>
      </c>
      <c r="S755" s="4" t="s">
        <v>73</v>
      </c>
      <c r="T755" s="3">
        <v>2</v>
      </c>
      <c r="U755" s="4" t="str" cm="1">
        <f t="array" ref="U755">_xlfn.IFS(V755&lt;=4, "Dissatisfied",V755&lt;=7,"Neutral",V755&gt;=8,"Satisfied")</f>
        <v>Satisfied</v>
      </c>
      <c r="V755" s="3">
        <v>10</v>
      </c>
      <c r="W755" s="4" t="s">
        <v>57</v>
      </c>
      <c r="X755" s="4" t="s">
        <v>101</v>
      </c>
      <c r="Y755" s="4" t="s">
        <v>86</v>
      </c>
      <c r="Z755" s="1">
        <v>45555</v>
      </c>
      <c r="AA755" s="4" t="str" cm="1">
        <f t="array" ref="AA755">_xlfn.IFS(OR(AB755="December", AB755="February", AB755="January"), "Winter", OR(AB755="March", AB755="April", AB755="May"), "Spring", OR(AB755="June", AB755="July", AB755="August"), "Summer", TRUE, "Autumn")</f>
        <v>Autumn</v>
      </c>
      <c r="AB755" s="7" t="str">
        <f>TEXT(Z755, "mmmm")</f>
        <v>September</v>
      </c>
      <c r="AC755" s="1" t="str">
        <f>TEXT(Z755, "dddd")</f>
        <v>Friday</v>
      </c>
      <c r="AD755" s="4" t="s">
        <v>76</v>
      </c>
      <c r="AE755" s="4" t="s">
        <v>62</v>
      </c>
      <c r="AF755" s="4" t="s">
        <v>102</v>
      </c>
      <c r="AG755" s="4" t="s">
        <v>64</v>
      </c>
      <c r="AH755" s="3">
        <v>14</v>
      </c>
    </row>
    <row r="756" spans="1:34">
      <c r="A756" s="4" t="s">
        <v>1599</v>
      </c>
      <c r="B756" s="3">
        <v>50</v>
      </c>
      <c r="C756" s="9" t="str" cm="1">
        <f t="array" ref="C756">_xlfn.IFS(B756&gt;65,"+65",B756&gt;54,"55-65",B756&gt;44,"45-54",B756&gt;35,"36-44",B756&gt;25,"26-35",B756&gt;=18,"18-25")</f>
        <v>45-54</v>
      </c>
      <c r="D756" s="4" t="s">
        <v>456</v>
      </c>
      <c r="E756" s="4" t="s">
        <v>72</v>
      </c>
      <c r="F756" s="4" t="s">
        <v>95</v>
      </c>
      <c r="G756" s="4" t="s">
        <v>80</v>
      </c>
      <c r="H756" s="4" t="s">
        <v>1600</v>
      </c>
      <c r="I756" s="4" t="s">
        <v>100</v>
      </c>
      <c r="J756" s="5">
        <v>474.42</v>
      </c>
      <c r="K756" s="3">
        <v>4</v>
      </c>
      <c r="L756" s="4" t="str">
        <f>IF(AND(J756&gt;350,K756&gt;6), "True","False")</f>
        <v>False</v>
      </c>
      <c r="M756" s="4" t="s">
        <v>71</v>
      </c>
      <c r="N756" s="3">
        <v>2</v>
      </c>
      <c r="O756" s="4" t="str" cm="1">
        <f t="array" ref="O756">_xlfn.IFS(P756&lt;=2,"Poor",P756=3,"Average",P756&gt;=4,"Good")</f>
        <v>Average</v>
      </c>
      <c r="P756" s="3">
        <v>3</v>
      </c>
      <c r="Q756" s="2">
        <v>0</v>
      </c>
      <c r="R756" s="4" t="s">
        <v>85</v>
      </c>
      <c r="S756" s="4" t="s">
        <v>58</v>
      </c>
      <c r="T756" s="3">
        <v>1</v>
      </c>
      <c r="U756" s="4" t="str" cm="1">
        <f t="array" ref="U756">_xlfn.IFS(V756&lt;=4, "Dissatisfied",V756&lt;=7,"Neutral",V756&gt;=8,"Satisfied")</f>
        <v>Satisfied</v>
      </c>
      <c r="V756" s="3">
        <v>9</v>
      </c>
      <c r="W756" s="4" t="s">
        <v>57</v>
      </c>
      <c r="X756" s="4" t="s">
        <v>101</v>
      </c>
      <c r="Y756" s="4" t="s">
        <v>75</v>
      </c>
      <c r="Z756" s="1">
        <v>45556</v>
      </c>
      <c r="AA756" s="4" t="str" cm="1">
        <f t="array" ref="AA756">_xlfn.IFS(OR(AB756="December", AB756="February", AB756="January"), "Winter", OR(AB756="March", AB756="April", AB756="May"), "Spring", OR(AB756="June", AB756="July", AB756="August"), "Summer", TRUE, "Autumn")</f>
        <v>Autumn</v>
      </c>
      <c r="AB756" s="7" t="str">
        <f>TEXT(Z756, "mmmm")</f>
        <v>September</v>
      </c>
      <c r="AC756" s="1" t="str">
        <f>TEXT(Z756, "dddd")</f>
        <v>Saturday</v>
      </c>
      <c r="AD756" s="4" t="s">
        <v>62</v>
      </c>
      <c r="AE756" s="4" t="s">
        <v>76</v>
      </c>
      <c r="AF756" s="4" t="s">
        <v>63</v>
      </c>
      <c r="AG756" s="4" t="s">
        <v>88</v>
      </c>
      <c r="AH756" s="3">
        <v>5</v>
      </c>
    </row>
    <row r="757" spans="1:34">
      <c r="A757" s="4" t="s">
        <v>1601</v>
      </c>
      <c r="B757" s="3">
        <v>34</v>
      </c>
      <c r="C757" s="9" t="str" cm="1">
        <f t="array" ref="C757">_xlfn.IFS(B757&gt;65,"+65",B757&gt;54,"55-65",B757&gt;44,"45-54",B757&gt;35,"36-44",B757&gt;25,"26-35",B757&gt;=18,"18-25")</f>
        <v>26-35</v>
      </c>
      <c r="D757" s="4" t="s">
        <v>66</v>
      </c>
      <c r="E757" s="4" t="s">
        <v>72</v>
      </c>
      <c r="F757" s="4" t="s">
        <v>67</v>
      </c>
      <c r="G757" s="4" t="s">
        <v>80</v>
      </c>
      <c r="H757" s="4" t="s">
        <v>1602</v>
      </c>
      <c r="I757" s="4" t="s">
        <v>234</v>
      </c>
      <c r="J757" s="5">
        <v>65.45</v>
      </c>
      <c r="K757" s="3">
        <v>6</v>
      </c>
      <c r="L757" s="4" t="str">
        <f>IF(AND(J757&gt;350,K757&gt;6), "True","False")</f>
        <v>False</v>
      </c>
      <c r="M757" s="4" t="s">
        <v>71</v>
      </c>
      <c r="N757" s="3">
        <v>2</v>
      </c>
      <c r="O757" s="4" t="str" cm="1">
        <f t="array" ref="O757">_xlfn.IFS(P757&lt;=2,"Poor",P757=3,"Average",P757&gt;=4,"Good")</f>
        <v>Good</v>
      </c>
      <c r="P757" s="3">
        <v>4</v>
      </c>
      <c r="Q757" s="2">
        <v>1</v>
      </c>
      <c r="R757" s="4" t="s">
        <v>72</v>
      </c>
      <c r="S757" s="4" t="s">
        <v>73</v>
      </c>
      <c r="T757" s="3">
        <v>0</v>
      </c>
      <c r="U757" s="4" t="str" cm="1">
        <f t="array" ref="U757">_xlfn.IFS(V757&lt;=4, "Dissatisfied",V757&lt;=7,"Neutral",V757&gt;=8,"Satisfied")</f>
        <v>Dissatisfied</v>
      </c>
      <c r="V757" s="3">
        <v>2</v>
      </c>
      <c r="W757" s="4" t="s">
        <v>85</v>
      </c>
      <c r="X757" s="4" t="s">
        <v>60</v>
      </c>
      <c r="Y757" s="4" t="s">
        <v>119</v>
      </c>
      <c r="Z757" s="1">
        <v>45556</v>
      </c>
      <c r="AA757" s="4" t="str" cm="1">
        <f t="array" ref="AA757">_xlfn.IFS(OR(AB757="December", AB757="February", AB757="January"), "Winter", OR(AB757="March", AB757="April", AB757="May"), "Spring", OR(AB757="June", AB757="July", AB757="August"), "Summer", TRUE, "Autumn")</f>
        <v>Autumn</v>
      </c>
      <c r="AB757" s="7" t="str">
        <f>TEXT(Z757, "mmmm")</f>
        <v>September</v>
      </c>
      <c r="AC757" s="1" t="str">
        <f>TEXT(Z757, "dddd")</f>
        <v>Saturday</v>
      </c>
      <c r="AD757" s="4" t="s">
        <v>62</v>
      </c>
      <c r="AE757" s="4" t="s">
        <v>62</v>
      </c>
      <c r="AF757" s="4" t="s">
        <v>92</v>
      </c>
      <c r="AG757" s="4" t="s">
        <v>88</v>
      </c>
      <c r="AH757" s="3">
        <v>3</v>
      </c>
    </row>
    <row r="758" spans="1:34">
      <c r="A758" s="4" t="s">
        <v>1603</v>
      </c>
      <c r="B758" s="3">
        <v>41</v>
      </c>
      <c r="C758" s="9" t="str" cm="1">
        <f t="array" ref="C758">_xlfn.IFS(B758&gt;65,"+65",B758&gt;54,"55-65",B758&gt;44,"45-54",B758&gt;35,"36-44",B758&gt;25,"26-35",B758&gt;=18,"18-25")</f>
        <v>36-44</v>
      </c>
      <c r="D758" s="4" t="s">
        <v>66</v>
      </c>
      <c r="E758" s="4" t="s">
        <v>51</v>
      </c>
      <c r="F758" s="4" t="s">
        <v>79</v>
      </c>
      <c r="G758" s="4" t="s">
        <v>68</v>
      </c>
      <c r="H758" s="4" t="s">
        <v>1604</v>
      </c>
      <c r="I758" s="4" t="s">
        <v>70</v>
      </c>
      <c r="J758" s="5">
        <v>298.93</v>
      </c>
      <c r="K758" s="3">
        <v>6</v>
      </c>
      <c r="L758" s="4" t="str">
        <f>IF(AND(J758&gt;350,K758&gt;6), "True","False")</f>
        <v>False</v>
      </c>
      <c r="M758" s="4" t="s">
        <v>83</v>
      </c>
      <c r="N758" s="3">
        <v>5</v>
      </c>
      <c r="O758" s="4" t="str" cm="1">
        <f t="array" ref="O758">_xlfn.IFS(P758&lt;=2,"Poor",P758=3,"Average",P758&gt;=4,"Good")</f>
        <v>Poor</v>
      </c>
      <c r="P758" s="3">
        <v>2</v>
      </c>
      <c r="Q758" s="2">
        <v>0.2</v>
      </c>
      <c r="R758" s="4" t="s">
        <v>57</v>
      </c>
      <c r="S758" s="4" t="s">
        <v>84</v>
      </c>
      <c r="T758" s="3">
        <v>2</v>
      </c>
      <c r="U758" s="4" t="str" cm="1">
        <f t="array" ref="U758">_xlfn.IFS(V758&lt;=4, "Dissatisfied",V758&lt;=7,"Neutral",V758&gt;=8,"Satisfied")</f>
        <v>Dissatisfied</v>
      </c>
      <c r="V758" s="3">
        <v>1</v>
      </c>
      <c r="W758" s="4" t="s">
        <v>57</v>
      </c>
      <c r="X758" s="4" t="s">
        <v>74</v>
      </c>
      <c r="Y758" s="4" t="s">
        <v>86</v>
      </c>
      <c r="Z758" s="1">
        <v>45557</v>
      </c>
      <c r="AA758" s="4" t="str" cm="1">
        <f t="array" ref="AA758">_xlfn.IFS(OR(AB758="December", AB758="February", AB758="January"), "Winter", OR(AB758="March", AB758="April", AB758="May"), "Spring", OR(AB758="June", AB758="July", AB758="August"), "Summer", TRUE, "Autumn")</f>
        <v>Autumn</v>
      </c>
      <c r="AB758" s="7" t="str">
        <f>TEXT(Z758, "mmmm")</f>
        <v>September</v>
      </c>
      <c r="AC758" s="1" t="str">
        <f>TEXT(Z758, "dddd")</f>
        <v>Sunday</v>
      </c>
      <c r="AD758" s="4" t="s">
        <v>62</v>
      </c>
      <c r="AE758" s="4" t="s">
        <v>62</v>
      </c>
      <c r="AF758" s="4" t="s">
        <v>87</v>
      </c>
      <c r="AG758" s="4" t="s">
        <v>93</v>
      </c>
      <c r="AH758" s="3">
        <v>2</v>
      </c>
    </row>
    <row r="759" spans="1:34">
      <c r="A759" s="4" t="s">
        <v>1605</v>
      </c>
      <c r="B759" s="3">
        <v>30</v>
      </c>
      <c r="C759" s="9" t="str" cm="1">
        <f t="array" ref="C759">_xlfn.IFS(B759&gt;65,"+65",B759&gt;54,"55-65",B759&gt;44,"45-54",B759&gt;35,"36-44",B759&gt;25,"26-35",B759&gt;=18,"18-25")</f>
        <v>26-35</v>
      </c>
      <c r="D759" s="4" t="s">
        <v>225</v>
      </c>
      <c r="E759" s="4" t="s">
        <v>72</v>
      </c>
      <c r="F759" s="4" t="s">
        <v>67</v>
      </c>
      <c r="G759" s="4" t="s">
        <v>80</v>
      </c>
      <c r="H759" s="4" t="s">
        <v>1606</v>
      </c>
      <c r="I759" s="4" t="s">
        <v>164</v>
      </c>
      <c r="J759" s="5">
        <v>104.74</v>
      </c>
      <c r="K759" s="3">
        <v>6</v>
      </c>
      <c r="L759" s="4" t="str">
        <f>IF(AND(J759&gt;350,K759&gt;6), "True","False")</f>
        <v>False</v>
      </c>
      <c r="M759" s="4" t="s">
        <v>56</v>
      </c>
      <c r="N759" s="3">
        <v>2</v>
      </c>
      <c r="O759" s="4" t="str" cm="1">
        <f t="array" ref="O759">_xlfn.IFS(P759&lt;=2,"Poor",P759=3,"Average",P759&gt;=4,"Good")</f>
        <v>Good</v>
      </c>
      <c r="P759" s="3">
        <v>4</v>
      </c>
      <c r="Q759" s="2">
        <v>2</v>
      </c>
      <c r="R759" s="4" t="s">
        <v>57</v>
      </c>
      <c r="S759" s="4" t="s">
        <v>73</v>
      </c>
      <c r="T759" s="3">
        <v>0</v>
      </c>
      <c r="U759" s="4" t="str" cm="1">
        <f t="array" ref="U759">_xlfn.IFS(V759&lt;=4, "Dissatisfied",V759&lt;=7,"Neutral",V759&gt;=8,"Satisfied")</f>
        <v>Dissatisfied</v>
      </c>
      <c r="V759" s="3">
        <v>4</v>
      </c>
      <c r="W759" s="4" t="s">
        <v>59</v>
      </c>
      <c r="X759" s="4" t="s">
        <v>60</v>
      </c>
      <c r="Y759" s="4" t="s">
        <v>86</v>
      </c>
      <c r="Z759" s="1">
        <v>45557</v>
      </c>
      <c r="AA759" s="4" t="str" cm="1">
        <f t="array" ref="AA759">_xlfn.IFS(OR(AB759="December", AB759="February", AB759="January"), "Winter", OR(AB759="March", AB759="April", AB759="May"), "Spring", OR(AB759="June", AB759="July", AB759="August"), "Summer", TRUE, "Autumn")</f>
        <v>Autumn</v>
      </c>
      <c r="AB759" s="7" t="str">
        <f>TEXT(Z759, "mmmm")</f>
        <v>September</v>
      </c>
      <c r="AC759" s="1" t="str">
        <f>TEXT(Z759, "dddd")</f>
        <v>Sunday</v>
      </c>
      <c r="AD759" s="4" t="s">
        <v>76</v>
      </c>
      <c r="AE759" s="4" t="s">
        <v>76</v>
      </c>
      <c r="AF759" s="4" t="s">
        <v>92</v>
      </c>
      <c r="AG759" s="4" t="s">
        <v>88</v>
      </c>
      <c r="AH759" s="3">
        <v>1</v>
      </c>
    </row>
    <row r="760" spans="1:34">
      <c r="A760" s="4" t="s">
        <v>1607</v>
      </c>
      <c r="B760" s="3">
        <v>29</v>
      </c>
      <c r="C760" s="9" t="str" cm="1">
        <f t="array" ref="C760">_xlfn.IFS(B760&gt;65,"+65",B760&gt;54,"55-65",B760&gt;44,"45-54",B760&gt;35,"36-44",B760&gt;25,"26-35",B760&gt;=18,"18-25")</f>
        <v>26-35</v>
      </c>
      <c r="D760" s="4" t="s">
        <v>78</v>
      </c>
      <c r="E760" s="4" t="s">
        <v>72</v>
      </c>
      <c r="F760" s="4" t="s">
        <v>95</v>
      </c>
      <c r="G760" s="4" t="s">
        <v>68</v>
      </c>
      <c r="H760" s="4" t="s">
        <v>1608</v>
      </c>
      <c r="I760" s="4" t="s">
        <v>110</v>
      </c>
      <c r="J760" s="5">
        <v>154.19</v>
      </c>
      <c r="K760" s="3">
        <v>6</v>
      </c>
      <c r="L760" s="4" t="str">
        <f>IF(AND(J760&gt;350,K760&gt;6), "True","False")</f>
        <v>False</v>
      </c>
      <c r="M760" s="4" t="s">
        <v>56</v>
      </c>
      <c r="N760" s="3">
        <v>5</v>
      </c>
      <c r="O760" s="4" t="str" cm="1">
        <f t="array" ref="O760">_xlfn.IFS(P760&lt;=2,"Poor",P760=3,"Average",P760&gt;=4,"Good")</f>
        <v>Good</v>
      </c>
      <c r="P760" s="3">
        <v>4</v>
      </c>
      <c r="Q760" s="2">
        <v>1</v>
      </c>
      <c r="R760" s="4" t="s">
        <v>85</v>
      </c>
      <c r="S760" s="4" t="s">
        <v>73</v>
      </c>
      <c r="T760" s="3">
        <v>2</v>
      </c>
      <c r="U760" s="4" t="str" cm="1">
        <f t="array" ref="U760">_xlfn.IFS(V760&lt;=4, "Dissatisfied",V760&lt;=7,"Neutral",V760&gt;=8,"Satisfied")</f>
        <v>Dissatisfied</v>
      </c>
      <c r="V760" s="3">
        <v>1</v>
      </c>
      <c r="W760" s="4" t="s">
        <v>57</v>
      </c>
      <c r="X760" s="4" t="s">
        <v>74</v>
      </c>
      <c r="Y760" s="4" t="s">
        <v>86</v>
      </c>
      <c r="Z760" s="1">
        <v>45557</v>
      </c>
      <c r="AA760" s="4" t="str" cm="1">
        <f t="array" ref="AA760">_xlfn.IFS(OR(AB760="December", AB760="February", AB760="January"), "Winter", OR(AB760="March", AB760="April", AB760="May"), "Spring", OR(AB760="June", AB760="July", AB760="August"), "Summer", TRUE, "Autumn")</f>
        <v>Autumn</v>
      </c>
      <c r="AB760" s="7" t="str">
        <f>TEXT(Z760, "mmmm")</f>
        <v>September</v>
      </c>
      <c r="AC760" s="1" t="str">
        <f>TEXT(Z760, "dddd")</f>
        <v>Sunday</v>
      </c>
      <c r="AD760" s="4" t="s">
        <v>62</v>
      </c>
      <c r="AE760" s="4" t="s">
        <v>62</v>
      </c>
      <c r="AF760" s="4" t="s">
        <v>63</v>
      </c>
      <c r="AG760" s="4" t="s">
        <v>88</v>
      </c>
      <c r="AH760" s="3">
        <v>1</v>
      </c>
    </row>
    <row r="761" spans="1:34">
      <c r="A761" s="4" t="s">
        <v>1609</v>
      </c>
      <c r="B761" s="3">
        <v>26</v>
      </c>
      <c r="C761" s="9" t="str" cm="1">
        <f t="array" ref="C761">_xlfn.IFS(B761&gt;65,"+65",B761&gt;54,"55-65",B761&gt;44,"45-54",B761&gt;35,"36-44",B761&gt;25,"26-35",B761&gt;=18,"18-25")</f>
        <v>26-35</v>
      </c>
      <c r="D761" s="4" t="s">
        <v>66</v>
      </c>
      <c r="E761" s="4" t="s">
        <v>72</v>
      </c>
      <c r="F761" s="4" t="s">
        <v>67</v>
      </c>
      <c r="G761" s="4" t="s">
        <v>80</v>
      </c>
      <c r="H761" s="4" t="s">
        <v>1610</v>
      </c>
      <c r="I761" s="4" t="s">
        <v>194</v>
      </c>
      <c r="J761" s="5">
        <v>71.95</v>
      </c>
      <c r="K761" s="3">
        <v>2</v>
      </c>
      <c r="L761" s="4" t="str">
        <f>IF(AND(J761&gt;350,K761&gt;6), "True","False")</f>
        <v>False</v>
      </c>
      <c r="M761" s="4" t="s">
        <v>83</v>
      </c>
      <c r="N761" s="3">
        <v>3</v>
      </c>
      <c r="O761" s="4" t="str" cm="1">
        <f t="array" ref="O761">_xlfn.IFS(P761&lt;=2,"Poor",P761=3,"Average",P761&gt;=4,"Good")</f>
        <v>Good</v>
      </c>
      <c r="P761" s="3">
        <v>5</v>
      </c>
      <c r="Q761" s="2">
        <v>2</v>
      </c>
      <c r="R761" s="4" t="s">
        <v>57</v>
      </c>
      <c r="S761" s="4" t="s">
        <v>73</v>
      </c>
      <c r="T761" s="3">
        <v>2</v>
      </c>
      <c r="U761" s="4" t="str" cm="1">
        <f t="array" ref="U761">_xlfn.IFS(V761&lt;=4, "Dissatisfied",V761&lt;=7,"Neutral",V761&gt;=8,"Satisfied")</f>
        <v>Satisfied</v>
      </c>
      <c r="V761" s="3">
        <v>10</v>
      </c>
      <c r="W761" s="4" t="s">
        <v>57</v>
      </c>
      <c r="X761" s="4" t="s">
        <v>101</v>
      </c>
      <c r="Y761" s="4" t="s">
        <v>75</v>
      </c>
      <c r="Z761" s="1">
        <v>45557</v>
      </c>
      <c r="AA761" s="4" t="str" cm="1">
        <f t="array" ref="AA761">_xlfn.IFS(OR(AB761="December", AB761="February", AB761="January"), "Winter", OR(AB761="March", AB761="April", AB761="May"), "Spring", OR(AB761="June", AB761="July", AB761="August"), "Summer", TRUE, "Autumn")</f>
        <v>Autumn</v>
      </c>
      <c r="AB761" s="7" t="str">
        <f>TEXT(Z761, "mmmm")</f>
        <v>September</v>
      </c>
      <c r="AC761" s="1" t="str">
        <f>TEXT(Z761, "dddd")</f>
        <v>Sunday</v>
      </c>
      <c r="AD761" s="4" t="s">
        <v>76</v>
      </c>
      <c r="AE761" s="4" t="s">
        <v>62</v>
      </c>
      <c r="AF761" s="4" t="s">
        <v>87</v>
      </c>
      <c r="AG761" s="4" t="s">
        <v>88</v>
      </c>
      <c r="AH761" s="3">
        <v>13</v>
      </c>
    </row>
    <row r="762" spans="1:34">
      <c r="A762" s="4" t="s">
        <v>1611</v>
      </c>
      <c r="B762" s="3">
        <v>30</v>
      </c>
      <c r="C762" s="9" t="str" cm="1">
        <f t="array" ref="C762">_xlfn.IFS(B762&gt;65,"+65",B762&gt;54,"55-65",B762&gt;44,"45-54",B762&gt;35,"36-44",B762&gt;25,"26-35",B762&gt;=18,"18-25")</f>
        <v>26-35</v>
      </c>
      <c r="D762" s="4" t="s">
        <v>78</v>
      </c>
      <c r="E762" s="4" t="s">
        <v>51</v>
      </c>
      <c r="F762" s="4" t="s">
        <v>95</v>
      </c>
      <c r="G762" s="4" t="s">
        <v>53</v>
      </c>
      <c r="H762" s="4" t="s">
        <v>1612</v>
      </c>
      <c r="I762" s="4" t="s">
        <v>122</v>
      </c>
      <c r="J762" s="5">
        <v>397.78</v>
      </c>
      <c r="K762" s="3">
        <v>12</v>
      </c>
      <c r="L762" s="4" t="str">
        <f>IF(AND(J762&gt;350,K762&gt;6), "True","False")</f>
        <v>True</v>
      </c>
      <c r="M762" s="4" t="s">
        <v>56</v>
      </c>
      <c r="N762" s="3">
        <v>3</v>
      </c>
      <c r="O762" s="4" t="str" cm="1">
        <f t="array" ref="O762">_xlfn.IFS(P762&lt;=2,"Poor",P762=3,"Average",P762&gt;=4,"Good")</f>
        <v>Average</v>
      </c>
      <c r="P762" s="3">
        <v>3</v>
      </c>
      <c r="Q762" s="2">
        <v>1</v>
      </c>
      <c r="R762" s="4" t="s">
        <v>85</v>
      </c>
      <c r="S762" s="4" t="s">
        <v>58</v>
      </c>
      <c r="T762" s="3">
        <v>2</v>
      </c>
      <c r="U762" s="4" t="str" cm="1">
        <f t="array" ref="U762">_xlfn.IFS(V762&lt;=4, "Dissatisfied",V762&lt;=7,"Neutral",V762&gt;=8,"Satisfied")</f>
        <v>Neutral</v>
      </c>
      <c r="V762" s="3">
        <v>7</v>
      </c>
      <c r="W762" s="4" t="s">
        <v>85</v>
      </c>
      <c r="X762" s="4" t="s">
        <v>60</v>
      </c>
      <c r="Y762" s="4" t="s">
        <v>86</v>
      </c>
      <c r="Z762" s="1">
        <v>45559</v>
      </c>
      <c r="AA762" s="4" t="str" cm="1">
        <f t="array" ref="AA762">_xlfn.IFS(OR(AB762="December", AB762="February", AB762="January"), "Winter", OR(AB762="March", AB762="April", AB762="May"), "Spring", OR(AB762="June", AB762="July", AB762="August"), "Summer", TRUE, "Autumn")</f>
        <v>Autumn</v>
      </c>
      <c r="AB762" s="7" t="str">
        <f>TEXT(Z762, "mmmm")</f>
        <v>September</v>
      </c>
      <c r="AC762" s="1" t="str">
        <f>TEXT(Z762, "dddd")</f>
        <v>Tuesday</v>
      </c>
      <c r="AD762" s="4" t="s">
        <v>76</v>
      </c>
      <c r="AE762" s="4" t="s">
        <v>62</v>
      </c>
      <c r="AF762" s="4" t="s">
        <v>92</v>
      </c>
      <c r="AG762" s="4" t="s">
        <v>88</v>
      </c>
      <c r="AH762" s="3">
        <v>11</v>
      </c>
    </row>
    <row r="763" spans="1:34">
      <c r="A763" s="4" t="s">
        <v>1613</v>
      </c>
      <c r="B763" s="3">
        <v>23</v>
      </c>
      <c r="C763" s="9" t="str" cm="1">
        <f t="array" ref="C763">_xlfn.IFS(B763&gt;65,"+65",B763&gt;54,"55-65",B763&gt;44,"45-54",B763&gt;35,"36-44",B763&gt;25,"26-35",B763&gt;=18,"18-25")</f>
        <v>18-25</v>
      </c>
      <c r="D763" s="4" t="s">
        <v>66</v>
      </c>
      <c r="E763" s="4" t="s">
        <v>72</v>
      </c>
      <c r="F763" s="4" t="s">
        <v>95</v>
      </c>
      <c r="G763" s="4" t="s">
        <v>68</v>
      </c>
      <c r="H763" s="4" t="s">
        <v>1614</v>
      </c>
      <c r="I763" s="4" t="s">
        <v>164</v>
      </c>
      <c r="J763" s="5">
        <v>218.32</v>
      </c>
      <c r="K763" s="3">
        <v>2</v>
      </c>
      <c r="L763" s="4" t="str">
        <f>IF(AND(J763&gt;350,K763&gt;6), "True","False")</f>
        <v>False</v>
      </c>
      <c r="M763" s="4" t="s">
        <v>83</v>
      </c>
      <c r="N763" s="3">
        <v>5</v>
      </c>
      <c r="O763" s="4" t="str" cm="1">
        <f t="array" ref="O763">_xlfn.IFS(P763&lt;=2,"Poor",P763=3,"Average",P763&gt;=4,"Good")</f>
        <v>Average</v>
      </c>
      <c r="P763" s="3">
        <v>3</v>
      </c>
      <c r="Q763" s="2">
        <v>0</v>
      </c>
      <c r="R763" s="4" t="s">
        <v>72</v>
      </c>
      <c r="S763" s="4" t="s">
        <v>58</v>
      </c>
      <c r="T763" s="3">
        <v>2</v>
      </c>
      <c r="U763" s="4" t="str" cm="1">
        <f t="array" ref="U763">_xlfn.IFS(V763&lt;=4, "Dissatisfied",V763&lt;=7,"Neutral",V763&gt;=8,"Satisfied")</f>
        <v>Neutral</v>
      </c>
      <c r="V763" s="3">
        <v>7</v>
      </c>
      <c r="W763" s="4" t="s">
        <v>59</v>
      </c>
      <c r="X763" s="4" t="s">
        <v>101</v>
      </c>
      <c r="Y763" s="4" t="s">
        <v>86</v>
      </c>
      <c r="Z763" s="1">
        <v>45559</v>
      </c>
      <c r="AA763" s="4" t="str" cm="1">
        <f t="array" ref="AA763">_xlfn.IFS(OR(AB763="December", AB763="February", AB763="January"), "Winter", OR(AB763="March", AB763="April", AB763="May"), "Spring", OR(AB763="June", AB763="July", AB763="August"), "Summer", TRUE, "Autumn")</f>
        <v>Autumn</v>
      </c>
      <c r="AB763" s="7" t="str">
        <f>TEXT(Z763, "mmmm")</f>
        <v>September</v>
      </c>
      <c r="AC763" s="1" t="str">
        <f>TEXT(Z763, "dddd")</f>
        <v>Tuesday</v>
      </c>
      <c r="AD763" s="4" t="s">
        <v>76</v>
      </c>
      <c r="AE763" s="4" t="s">
        <v>76</v>
      </c>
      <c r="AF763" s="4" t="s">
        <v>63</v>
      </c>
      <c r="AG763" s="4" t="s">
        <v>93</v>
      </c>
      <c r="AH763" s="3">
        <v>3</v>
      </c>
    </row>
    <row r="764" spans="1:34">
      <c r="A764" s="4" t="s">
        <v>1615</v>
      </c>
      <c r="B764" s="3">
        <v>18</v>
      </c>
      <c r="C764" s="9" t="str" cm="1">
        <f t="array" ref="C764">_xlfn.IFS(B764&gt;65,"+65",B764&gt;54,"55-65",B764&gt;44,"45-54",B764&gt;35,"36-44",B764&gt;25,"26-35",B764&gt;=18,"18-25")</f>
        <v>18-25</v>
      </c>
      <c r="D764" s="4" t="s">
        <v>66</v>
      </c>
      <c r="E764" s="4" t="s">
        <v>72</v>
      </c>
      <c r="F764" s="4" t="s">
        <v>79</v>
      </c>
      <c r="G764" s="4" t="s">
        <v>80</v>
      </c>
      <c r="H764" s="4" t="s">
        <v>1616</v>
      </c>
      <c r="I764" s="4" t="s">
        <v>118</v>
      </c>
      <c r="J764" s="5">
        <v>151.72999999999999</v>
      </c>
      <c r="K764" s="3">
        <v>3</v>
      </c>
      <c r="L764" s="4" t="str">
        <f>IF(AND(J764&gt;350,K764&gt;6), "True","False")</f>
        <v>False</v>
      </c>
      <c r="M764" s="4" t="s">
        <v>71</v>
      </c>
      <c r="N764" s="3">
        <v>2</v>
      </c>
      <c r="O764" s="4" t="str" cm="1">
        <f t="array" ref="O764">_xlfn.IFS(P764&lt;=2,"Poor",P764=3,"Average",P764&gt;=4,"Good")</f>
        <v>Good</v>
      </c>
      <c r="P764" s="3">
        <v>4</v>
      </c>
      <c r="Q764" s="2">
        <v>1</v>
      </c>
      <c r="R764" s="4" t="s">
        <v>85</v>
      </c>
      <c r="S764" s="4" t="s">
        <v>73</v>
      </c>
      <c r="T764" s="3">
        <v>1</v>
      </c>
      <c r="U764" s="4" t="str" cm="1">
        <f t="array" ref="U764">_xlfn.IFS(V764&lt;=4, "Dissatisfied",V764&lt;=7,"Neutral",V764&gt;=8,"Satisfied")</f>
        <v>Dissatisfied</v>
      </c>
      <c r="V764" s="3">
        <v>3</v>
      </c>
      <c r="W764" s="4" t="s">
        <v>57</v>
      </c>
      <c r="X764" s="4" t="s">
        <v>60</v>
      </c>
      <c r="Y764" s="4" t="s">
        <v>111</v>
      </c>
      <c r="Z764" s="1">
        <v>45559</v>
      </c>
      <c r="AA764" s="4" t="str" cm="1">
        <f t="array" ref="AA764">_xlfn.IFS(OR(AB764="December", AB764="February", AB764="January"), "Winter", OR(AB764="March", AB764="April", AB764="May"), "Spring", OR(AB764="June", AB764="July", AB764="August"), "Summer", TRUE, "Autumn")</f>
        <v>Autumn</v>
      </c>
      <c r="AB764" s="7" t="str">
        <f>TEXT(Z764, "mmmm")</f>
        <v>September</v>
      </c>
      <c r="AC764" s="1" t="str">
        <f>TEXT(Z764, "dddd")</f>
        <v>Tuesday</v>
      </c>
      <c r="AD764" s="4" t="s">
        <v>76</v>
      </c>
      <c r="AE764" s="4" t="s">
        <v>62</v>
      </c>
      <c r="AF764" s="4" t="s">
        <v>102</v>
      </c>
      <c r="AG764" s="4" t="s">
        <v>93</v>
      </c>
      <c r="AH764" s="3">
        <v>11</v>
      </c>
    </row>
    <row r="765" spans="1:34">
      <c r="A765" s="4" t="s">
        <v>1617</v>
      </c>
      <c r="B765" s="3">
        <v>22</v>
      </c>
      <c r="C765" s="9" t="str" cm="1">
        <f t="array" ref="C765">_xlfn.IFS(B765&gt;65,"+65",B765&gt;54,"55-65",B765&gt;44,"45-54",B765&gt;35,"36-44",B765&gt;25,"26-35",B765&gt;=18,"18-25")</f>
        <v>18-25</v>
      </c>
      <c r="D765" s="4" t="s">
        <v>66</v>
      </c>
      <c r="E765" s="4" t="s">
        <v>51</v>
      </c>
      <c r="F765" s="4" t="s">
        <v>95</v>
      </c>
      <c r="G765" s="4" t="s">
        <v>68</v>
      </c>
      <c r="H765" s="4" t="s">
        <v>1207</v>
      </c>
      <c r="I765" s="4" t="s">
        <v>110</v>
      </c>
      <c r="J765" s="5">
        <v>383.13</v>
      </c>
      <c r="K765" s="3">
        <v>3</v>
      </c>
      <c r="L765" s="4" t="str">
        <f>IF(AND(J765&gt;350,K765&gt;6), "True","False")</f>
        <v>False</v>
      </c>
      <c r="M765" s="4" t="s">
        <v>83</v>
      </c>
      <c r="N765" s="3">
        <v>4</v>
      </c>
      <c r="O765" s="4" t="str" cm="1">
        <f t="array" ref="O765">_xlfn.IFS(P765&lt;=2,"Poor",P765=3,"Average",P765&gt;=4,"Good")</f>
        <v>Good</v>
      </c>
      <c r="P765" s="3">
        <v>5</v>
      </c>
      <c r="Q765" s="2">
        <v>0</v>
      </c>
      <c r="R765" s="4" t="s">
        <v>85</v>
      </c>
      <c r="S765" s="4" t="s">
        <v>58</v>
      </c>
      <c r="T765" s="3">
        <v>2</v>
      </c>
      <c r="U765" s="4" t="str" cm="1">
        <f t="array" ref="U765">_xlfn.IFS(V765&lt;=4, "Dissatisfied",V765&lt;=7,"Neutral",V765&gt;=8,"Satisfied")</f>
        <v>Neutral</v>
      </c>
      <c r="V765" s="3">
        <v>6</v>
      </c>
      <c r="W765" s="4" t="s">
        <v>57</v>
      </c>
      <c r="X765" s="4" t="s">
        <v>101</v>
      </c>
      <c r="Y765" s="4" t="s">
        <v>61</v>
      </c>
      <c r="Z765" s="1">
        <v>45560</v>
      </c>
      <c r="AA765" s="4" t="str" cm="1">
        <f t="array" ref="AA765">_xlfn.IFS(OR(AB765="December", AB765="February", AB765="January"), "Winter", OR(AB765="March", AB765="April", AB765="May"), "Spring", OR(AB765="June", AB765="July", AB765="August"), "Summer", TRUE, "Autumn")</f>
        <v>Autumn</v>
      </c>
      <c r="AB765" s="7" t="str">
        <f>TEXT(Z765, "mmmm")</f>
        <v>September</v>
      </c>
      <c r="AC765" s="1" t="str">
        <f>TEXT(Z765, "dddd")</f>
        <v>Wednesday</v>
      </c>
      <c r="AD765" s="4" t="s">
        <v>76</v>
      </c>
      <c r="AE765" s="4" t="s">
        <v>76</v>
      </c>
      <c r="AF765" s="4" t="s">
        <v>63</v>
      </c>
      <c r="AG765" s="4" t="s">
        <v>88</v>
      </c>
      <c r="AH765" s="3">
        <v>7</v>
      </c>
    </row>
    <row r="766" spans="1:34">
      <c r="A766" s="4" t="s">
        <v>1618</v>
      </c>
      <c r="B766" s="3">
        <v>20</v>
      </c>
      <c r="C766" s="9" t="str" cm="1">
        <f t="array" ref="C766">_xlfn.IFS(B766&gt;65,"+65",B766&gt;54,"55-65",B766&gt;44,"45-54",B766&gt;35,"36-44",B766&gt;25,"26-35",B766&gt;=18,"18-25")</f>
        <v>18-25</v>
      </c>
      <c r="D766" s="4" t="s">
        <v>66</v>
      </c>
      <c r="E766" s="4" t="s">
        <v>72</v>
      </c>
      <c r="F766" s="4" t="s">
        <v>95</v>
      </c>
      <c r="G766" s="4" t="s">
        <v>53</v>
      </c>
      <c r="H766" s="4" t="s">
        <v>1619</v>
      </c>
      <c r="I766" s="4" t="s">
        <v>164</v>
      </c>
      <c r="J766" s="5">
        <v>399.58</v>
      </c>
      <c r="K766" s="3">
        <v>6</v>
      </c>
      <c r="L766" s="4" t="str">
        <f>IF(AND(J766&gt;350,K766&gt;6), "True","False")</f>
        <v>False</v>
      </c>
      <c r="M766" s="4" t="s">
        <v>71</v>
      </c>
      <c r="N766" s="3">
        <v>3</v>
      </c>
      <c r="O766" s="4" t="str" cm="1">
        <f t="array" ref="O766">_xlfn.IFS(P766&lt;=2,"Poor",P766=3,"Average",P766&gt;=4,"Good")</f>
        <v>Good</v>
      </c>
      <c r="P766" s="3">
        <v>4</v>
      </c>
      <c r="Q766" s="2">
        <v>0</v>
      </c>
      <c r="R766" s="4" t="s">
        <v>57</v>
      </c>
      <c r="S766" s="4" t="s">
        <v>73</v>
      </c>
      <c r="T766" s="3">
        <v>1</v>
      </c>
      <c r="U766" s="4" t="str" cm="1">
        <f t="array" ref="U766">_xlfn.IFS(V766&lt;=4, "Dissatisfied",V766&lt;=7,"Neutral",V766&gt;=8,"Satisfied")</f>
        <v>Satisfied</v>
      </c>
      <c r="V766" s="3">
        <v>8</v>
      </c>
      <c r="W766" s="4" t="s">
        <v>59</v>
      </c>
      <c r="X766" s="4" t="s">
        <v>74</v>
      </c>
      <c r="Y766" s="4" t="s">
        <v>111</v>
      </c>
      <c r="Z766" s="1">
        <v>45560</v>
      </c>
      <c r="AA766" s="4" t="str" cm="1">
        <f t="array" ref="AA766">_xlfn.IFS(OR(AB766="December", AB766="February", AB766="January"), "Winter", OR(AB766="March", AB766="April", AB766="May"), "Spring", OR(AB766="June", AB766="July", AB766="August"), "Summer", TRUE, "Autumn")</f>
        <v>Autumn</v>
      </c>
      <c r="AB766" s="7" t="str">
        <f>TEXT(Z766, "mmmm")</f>
        <v>September</v>
      </c>
      <c r="AC766" s="1" t="str">
        <f>TEXT(Z766, "dddd")</f>
        <v>Wednesday</v>
      </c>
      <c r="AD766" s="4" t="s">
        <v>62</v>
      </c>
      <c r="AE766" s="4" t="s">
        <v>76</v>
      </c>
      <c r="AF766" s="4" t="s">
        <v>63</v>
      </c>
      <c r="AG766" s="4" t="s">
        <v>64</v>
      </c>
      <c r="AH766" s="3">
        <v>7</v>
      </c>
    </row>
    <row r="767" spans="1:34">
      <c r="A767" s="4" t="s">
        <v>1620</v>
      </c>
      <c r="B767" s="3">
        <v>18</v>
      </c>
      <c r="C767" s="9" t="str" cm="1">
        <f t="array" ref="C767">_xlfn.IFS(B767&gt;65,"+65",B767&gt;54,"55-65",B767&gt;44,"45-54",B767&gt;35,"36-44",B767&gt;25,"26-35",B767&gt;=18,"18-25")</f>
        <v>18-25</v>
      </c>
      <c r="D767" s="4" t="s">
        <v>66</v>
      </c>
      <c r="E767" s="4" t="s">
        <v>51</v>
      </c>
      <c r="F767" s="4" t="s">
        <v>67</v>
      </c>
      <c r="G767" s="4" t="s">
        <v>68</v>
      </c>
      <c r="H767" s="4" t="s">
        <v>1621</v>
      </c>
      <c r="I767" s="4" t="s">
        <v>118</v>
      </c>
      <c r="J767" s="5">
        <v>415.3</v>
      </c>
      <c r="K767" s="3">
        <v>11</v>
      </c>
      <c r="L767" s="4" t="str">
        <f>IF(AND(J767&gt;350,K767&gt;6), "True","False")</f>
        <v>True</v>
      </c>
      <c r="M767" s="4" t="s">
        <v>71</v>
      </c>
      <c r="N767" s="3">
        <v>4</v>
      </c>
      <c r="O767" s="4" t="str" cm="1">
        <f t="array" ref="O767">_xlfn.IFS(P767&lt;=2,"Poor",P767=3,"Average",P767&gt;=4,"Good")</f>
        <v>Poor</v>
      </c>
      <c r="P767" s="3">
        <v>2</v>
      </c>
      <c r="Q767" s="2">
        <v>1</v>
      </c>
      <c r="R767" s="4" t="s">
        <v>59</v>
      </c>
      <c r="S767" s="4" t="s">
        <v>73</v>
      </c>
      <c r="T767" s="3">
        <v>1</v>
      </c>
      <c r="U767" s="4" t="str" cm="1">
        <f t="array" ref="U767">_xlfn.IFS(V767&lt;=4, "Dissatisfied",V767&lt;=7,"Neutral",V767&gt;=8,"Satisfied")</f>
        <v>Satisfied</v>
      </c>
      <c r="V767" s="3">
        <v>9</v>
      </c>
      <c r="W767" s="4" t="s">
        <v>57</v>
      </c>
      <c r="X767" s="4" t="s">
        <v>74</v>
      </c>
      <c r="Y767" s="4" t="s">
        <v>86</v>
      </c>
      <c r="Z767" s="1">
        <v>45560</v>
      </c>
      <c r="AA767" s="4" t="str" cm="1">
        <f t="array" ref="AA767">_xlfn.IFS(OR(AB767="December", AB767="February", AB767="January"), "Winter", OR(AB767="March", AB767="April", AB767="May"), "Spring", OR(AB767="June", AB767="July", AB767="August"), "Summer", TRUE, "Autumn")</f>
        <v>Autumn</v>
      </c>
      <c r="AB767" s="7" t="str">
        <f>TEXT(Z767, "mmmm")</f>
        <v>September</v>
      </c>
      <c r="AC767" s="1" t="str">
        <f>TEXT(Z767, "dddd")</f>
        <v>Wednesday</v>
      </c>
      <c r="AD767" s="4" t="s">
        <v>76</v>
      </c>
      <c r="AE767" s="4" t="s">
        <v>62</v>
      </c>
      <c r="AF767" s="4" t="s">
        <v>92</v>
      </c>
      <c r="AG767" s="4" t="s">
        <v>64</v>
      </c>
      <c r="AH767" s="3">
        <v>2</v>
      </c>
    </row>
    <row r="768" spans="1:34">
      <c r="A768" s="4" t="s">
        <v>1622</v>
      </c>
      <c r="B768" s="3">
        <v>36</v>
      </c>
      <c r="C768" s="9" t="str" cm="1">
        <f t="array" ref="C768">_xlfn.IFS(B768&gt;65,"+65",B768&gt;54,"55-65",B768&gt;44,"45-54",B768&gt;35,"36-44",B768&gt;25,"26-35",B768&gt;=18,"18-25")</f>
        <v>36-44</v>
      </c>
      <c r="D768" s="4" t="s">
        <v>78</v>
      </c>
      <c r="E768" s="4" t="s">
        <v>72</v>
      </c>
      <c r="F768" s="4" t="s">
        <v>79</v>
      </c>
      <c r="G768" s="4" t="s">
        <v>53</v>
      </c>
      <c r="H768" s="4" t="s">
        <v>1623</v>
      </c>
      <c r="I768" s="4" t="s">
        <v>156</v>
      </c>
      <c r="J768" s="5">
        <v>398.97</v>
      </c>
      <c r="K768" s="3">
        <v>3</v>
      </c>
      <c r="L768" s="4" t="str">
        <f>IF(AND(J768&gt;350,K768&gt;6), "True","False")</f>
        <v>False</v>
      </c>
      <c r="M768" s="4" t="s">
        <v>56</v>
      </c>
      <c r="N768" s="3">
        <v>2</v>
      </c>
      <c r="O768" s="4" t="str" cm="1">
        <f t="array" ref="O768">_xlfn.IFS(P768&lt;=2,"Poor",P768=3,"Average",P768&gt;=4,"Good")</f>
        <v>Average</v>
      </c>
      <c r="P768" s="3">
        <v>3</v>
      </c>
      <c r="Q768" s="2">
        <v>1</v>
      </c>
      <c r="R768" s="4" t="s">
        <v>72</v>
      </c>
      <c r="S768" s="4" t="s">
        <v>58</v>
      </c>
      <c r="T768" s="3">
        <v>2</v>
      </c>
      <c r="U768" s="4" t="str" cm="1">
        <f t="array" ref="U768">_xlfn.IFS(V768&lt;=4, "Dissatisfied",V768&lt;=7,"Neutral",V768&gt;=8,"Satisfied")</f>
        <v>Dissatisfied</v>
      </c>
      <c r="V768" s="3">
        <v>3</v>
      </c>
      <c r="W768" s="4" t="s">
        <v>72</v>
      </c>
      <c r="X768" s="4" t="s">
        <v>74</v>
      </c>
      <c r="Y768" s="4" t="s">
        <v>75</v>
      </c>
      <c r="Z768" s="1">
        <v>45561</v>
      </c>
      <c r="AA768" s="4" t="str" cm="1">
        <f t="array" ref="AA768">_xlfn.IFS(OR(AB768="December", AB768="February", AB768="January"), "Winter", OR(AB768="March", AB768="April", AB768="May"), "Spring", OR(AB768="June", AB768="July", AB768="August"), "Summer", TRUE, "Autumn")</f>
        <v>Autumn</v>
      </c>
      <c r="AB768" s="7" t="str">
        <f>TEXT(Z768, "mmmm")</f>
        <v>September</v>
      </c>
      <c r="AC768" s="1" t="str">
        <f>TEXT(Z768, "dddd")</f>
        <v>Thursday</v>
      </c>
      <c r="AD768" s="4" t="s">
        <v>76</v>
      </c>
      <c r="AE768" s="4" t="s">
        <v>76</v>
      </c>
      <c r="AF768" s="4" t="s">
        <v>92</v>
      </c>
      <c r="AG768" s="4" t="s">
        <v>88</v>
      </c>
      <c r="AH768" s="3">
        <v>9</v>
      </c>
    </row>
    <row r="769" spans="1:34">
      <c r="A769" s="4" t="s">
        <v>1624</v>
      </c>
      <c r="B769" s="3">
        <v>35</v>
      </c>
      <c r="C769" s="9" t="str" cm="1">
        <f t="array" ref="C769">_xlfn.IFS(B769&gt;65,"+65",B769&gt;54,"55-65",B769&gt;44,"45-54",B769&gt;35,"36-44",B769&gt;25,"26-35",B769&gt;=18,"18-25")</f>
        <v>26-35</v>
      </c>
      <c r="D769" s="4" t="s">
        <v>456</v>
      </c>
      <c r="E769" s="4" t="s">
        <v>51</v>
      </c>
      <c r="F769" s="4" t="s">
        <v>79</v>
      </c>
      <c r="G769" s="4" t="s">
        <v>80</v>
      </c>
      <c r="H769" s="4" t="s">
        <v>1625</v>
      </c>
      <c r="I769" s="4" t="s">
        <v>133</v>
      </c>
      <c r="J769" s="5">
        <v>364.48</v>
      </c>
      <c r="K769" s="3">
        <v>2</v>
      </c>
      <c r="L769" s="4" t="str">
        <f>IF(AND(J769&gt;350,K769&gt;6), "True","False")</f>
        <v>False</v>
      </c>
      <c r="M769" s="4" t="s">
        <v>83</v>
      </c>
      <c r="N769" s="3">
        <v>3</v>
      </c>
      <c r="O769" s="4" t="str" cm="1">
        <f t="array" ref="O769">_xlfn.IFS(P769&lt;=2,"Poor",P769=3,"Average",P769&gt;=4,"Good")</f>
        <v>Average</v>
      </c>
      <c r="P769" s="3">
        <v>3</v>
      </c>
      <c r="Q769" s="2">
        <v>0.2</v>
      </c>
      <c r="R769" s="4" t="s">
        <v>57</v>
      </c>
      <c r="S769" s="4" t="s">
        <v>73</v>
      </c>
      <c r="T769" s="3">
        <v>2</v>
      </c>
      <c r="U769" s="4" t="str" cm="1">
        <f t="array" ref="U769">_xlfn.IFS(V769&lt;=4, "Dissatisfied",V769&lt;=7,"Neutral",V769&gt;=8,"Satisfied")</f>
        <v>Neutral</v>
      </c>
      <c r="V769" s="3">
        <v>5</v>
      </c>
      <c r="W769" s="4" t="s">
        <v>57</v>
      </c>
      <c r="X769" s="4" t="s">
        <v>60</v>
      </c>
      <c r="Y769" s="4" t="s">
        <v>111</v>
      </c>
      <c r="Z769" s="1">
        <v>45561</v>
      </c>
      <c r="AA769" s="4" t="str" cm="1">
        <f t="array" ref="AA769">_xlfn.IFS(OR(AB769="December", AB769="February", AB769="January"), "Winter", OR(AB769="March", AB769="April", AB769="May"), "Spring", OR(AB769="June", AB769="July", AB769="August"), "Summer", TRUE, "Autumn")</f>
        <v>Autumn</v>
      </c>
      <c r="AB769" s="7" t="str">
        <f>TEXT(Z769, "mmmm")</f>
        <v>September</v>
      </c>
      <c r="AC769" s="1" t="str">
        <f>TEXT(Z769, "dddd")</f>
        <v>Thursday</v>
      </c>
      <c r="AD769" s="4" t="s">
        <v>76</v>
      </c>
      <c r="AE769" s="4" t="s">
        <v>76</v>
      </c>
      <c r="AF769" s="4" t="s">
        <v>87</v>
      </c>
      <c r="AG769" s="4" t="s">
        <v>88</v>
      </c>
      <c r="AH769" s="3">
        <v>13</v>
      </c>
    </row>
    <row r="770" spans="1:34">
      <c r="A770" s="4" t="s">
        <v>1626</v>
      </c>
      <c r="B770" s="3">
        <v>47</v>
      </c>
      <c r="C770" s="9" t="str" cm="1">
        <f t="array" ref="C770">_xlfn.IFS(B770&gt;65,"+65",B770&gt;54,"55-65",B770&gt;44,"45-54",B770&gt;35,"36-44",B770&gt;25,"26-35",B770&gt;=18,"18-25")</f>
        <v>45-54</v>
      </c>
      <c r="D770" s="4" t="s">
        <v>78</v>
      </c>
      <c r="E770" s="4" t="s">
        <v>51</v>
      </c>
      <c r="F770" s="4" t="s">
        <v>79</v>
      </c>
      <c r="G770" s="4" t="s">
        <v>80</v>
      </c>
      <c r="H770" s="4" t="s">
        <v>1627</v>
      </c>
      <c r="I770" s="4" t="s">
        <v>97</v>
      </c>
      <c r="J770" s="5">
        <v>375.7</v>
      </c>
      <c r="K770" s="3">
        <v>6</v>
      </c>
      <c r="L770" s="4" t="str">
        <f>IF(AND(J770&gt;350,K770&gt;6), "True","False")</f>
        <v>False</v>
      </c>
      <c r="M770" s="4" t="s">
        <v>56</v>
      </c>
      <c r="N770" s="3">
        <v>3</v>
      </c>
      <c r="O770" s="4" t="str" cm="1">
        <f t="array" ref="O770">_xlfn.IFS(P770&lt;=2,"Poor",P770=3,"Average",P770&gt;=4,"Good")</f>
        <v>Poor</v>
      </c>
      <c r="P770" s="3">
        <v>1</v>
      </c>
      <c r="Q770" s="2">
        <v>2</v>
      </c>
      <c r="R770" s="4" t="s">
        <v>59</v>
      </c>
      <c r="S770" s="4" t="s">
        <v>73</v>
      </c>
      <c r="T770" s="3">
        <v>2</v>
      </c>
      <c r="U770" s="4" t="str" cm="1">
        <f t="array" ref="U770">_xlfn.IFS(V770&lt;=4, "Dissatisfied",V770&lt;=7,"Neutral",V770&gt;=8,"Satisfied")</f>
        <v>Satisfied</v>
      </c>
      <c r="V770" s="3">
        <v>10</v>
      </c>
      <c r="W770" s="4" t="s">
        <v>85</v>
      </c>
      <c r="X770" s="4" t="s">
        <v>74</v>
      </c>
      <c r="Y770" s="4" t="s">
        <v>111</v>
      </c>
      <c r="Z770" s="1">
        <v>45562</v>
      </c>
      <c r="AA770" s="4" t="str" cm="1">
        <f t="array" ref="AA770">_xlfn.IFS(OR(AB770="December", AB770="February", AB770="January"), "Winter", OR(AB770="March", AB770="April", AB770="May"), "Spring", OR(AB770="June", AB770="July", AB770="August"), "Summer", TRUE, "Autumn")</f>
        <v>Autumn</v>
      </c>
      <c r="AB770" s="7" t="str">
        <f>TEXT(Z770, "mmmm")</f>
        <v>September</v>
      </c>
      <c r="AC770" s="1" t="str">
        <f>TEXT(Z770, "dddd")</f>
        <v>Friday</v>
      </c>
      <c r="AD770" s="4" t="s">
        <v>62</v>
      </c>
      <c r="AE770" s="4" t="s">
        <v>76</v>
      </c>
      <c r="AF770" s="4" t="s">
        <v>102</v>
      </c>
      <c r="AG770" s="4" t="s">
        <v>88</v>
      </c>
      <c r="AH770" s="3">
        <v>10</v>
      </c>
    </row>
    <row r="771" spans="1:34">
      <c r="A771" s="4" t="s">
        <v>1628</v>
      </c>
      <c r="B771" s="3">
        <v>35</v>
      </c>
      <c r="C771" s="9" t="str" cm="1">
        <f t="array" ref="C771">_xlfn.IFS(B771&gt;65,"+65",B771&gt;54,"55-65",B771&gt;44,"45-54",B771&gt;35,"36-44",B771&gt;25,"26-35",B771&gt;=18,"18-25")</f>
        <v>26-35</v>
      </c>
      <c r="D771" s="4" t="s">
        <v>78</v>
      </c>
      <c r="E771" s="4" t="s">
        <v>72</v>
      </c>
      <c r="F771" s="4" t="s">
        <v>67</v>
      </c>
      <c r="G771" s="4" t="s">
        <v>80</v>
      </c>
      <c r="H771" s="4" t="s">
        <v>1629</v>
      </c>
      <c r="I771" s="4" t="s">
        <v>156</v>
      </c>
      <c r="J771" s="5">
        <v>197.7</v>
      </c>
      <c r="K771" s="3">
        <v>7</v>
      </c>
      <c r="L771" s="4" t="str">
        <f>IF(AND(J771&gt;350,K771&gt;6), "True","False")</f>
        <v>False</v>
      </c>
      <c r="M771" s="4" t="s">
        <v>83</v>
      </c>
      <c r="N771" s="3">
        <v>3</v>
      </c>
      <c r="O771" s="4" t="str" cm="1">
        <f t="array" ref="O771">_xlfn.IFS(P771&lt;=2,"Poor",P771=3,"Average",P771&gt;=4,"Good")</f>
        <v>Good</v>
      </c>
      <c r="P771" s="3">
        <v>5</v>
      </c>
      <c r="Q771" s="2">
        <v>2</v>
      </c>
      <c r="R771" s="4" t="s">
        <v>72</v>
      </c>
      <c r="S771" s="4" t="s">
        <v>84</v>
      </c>
      <c r="T771" s="3">
        <v>1</v>
      </c>
      <c r="U771" s="4" t="str" cm="1">
        <f t="array" ref="U771">_xlfn.IFS(V771&lt;=4, "Dissatisfied",V771&lt;=7,"Neutral",V771&gt;=8,"Satisfied")</f>
        <v>Neutral</v>
      </c>
      <c r="V771" s="3">
        <v>6</v>
      </c>
      <c r="W771" s="4" t="s">
        <v>85</v>
      </c>
      <c r="X771" s="4" t="s">
        <v>101</v>
      </c>
      <c r="Y771" s="4" t="s">
        <v>61</v>
      </c>
      <c r="Z771" s="1">
        <v>45562</v>
      </c>
      <c r="AA771" s="4" t="str" cm="1">
        <f t="array" ref="AA771">_xlfn.IFS(OR(AB771="December", AB771="February", AB771="January"), "Winter", OR(AB771="March", AB771="April", AB771="May"), "Spring", OR(AB771="June", AB771="July", AB771="August"), "Summer", TRUE, "Autumn")</f>
        <v>Autumn</v>
      </c>
      <c r="AB771" s="7" t="str">
        <f>TEXT(Z771, "mmmm")</f>
        <v>September</v>
      </c>
      <c r="AC771" s="1" t="str">
        <f>TEXT(Z771, "dddd")</f>
        <v>Friday</v>
      </c>
      <c r="AD771" s="4" t="s">
        <v>76</v>
      </c>
      <c r="AE771" s="4" t="s">
        <v>76</v>
      </c>
      <c r="AF771" s="4" t="s">
        <v>63</v>
      </c>
      <c r="AG771" s="4" t="s">
        <v>64</v>
      </c>
      <c r="AH771" s="3">
        <v>9</v>
      </c>
    </row>
    <row r="772" spans="1:34">
      <c r="A772" s="4" t="s">
        <v>1630</v>
      </c>
      <c r="B772" s="3">
        <v>45</v>
      </c>
      <c r="C772" s="9" t="str" cm="1">
        <f t="array" ref="C772">_xlfn.IFS(B772&gt;65,"+65",B772&gt;54,"55-65",B772&gt;44,"45-54",B772&gt;35,"36-44",B772&gt;25,"26-35",B772&gt;=18,"18-25")</f>
        <v>45-54</v>
      </c>
      <c r="D772" s="4" t="s">
        <v>66</v>
      </c>
      <c r="E772" s="4" t="s">
        <v>72</v>
      </c>
      <c r="F772" s="4" t="s">
        <v>79</v>
      </c>
      <c r="G772" s="4" t="s">
        <v>68</v>
      </c>
      <c r="H772" s="4" t="s">
        <v>1631</v>
      </c>
      <c r="I772" s="4" t="s">
        <v>234</v>
      </c>
      <c r="J772" s="5">
        <v>161.34</v>
      </c>
      <c r="K772" s="3">
        <v>3</v>
      </c>
      <c r="L772" s="4" t="str">
        <f>IF(AND(J772&gt;350,K772&gt;6), "True","False")</f>
        <v>False</v>
      </c>
      <c r="M772" s="4" t="s">
        <v>83</v>
      </c>
      <c r="N772" s="3">
        <v>2</v>
      </c>
      <c r="O772" s="4" t="str" cm="1">
        <f t="array" ref="O772">_xlfn.IFS(P772&lt;=2,"Poor",P772=3,"Average",P772&gt;=4,"Good")</f>
        <v>Average</v>
      </c>
      <c r="P772" s="3">
        <v>3</v>
      </c>
      <c r="Q772" s="2">
        <v>2</v>
      </c>
      <c r="R772" s="4" t="s">
        <v>72</v>
      </c>
      <c r="S772" s="4" t="s">
        <v>73</v>
      </c>
      <c r="T772" s="3">
        <v>1</v>
      </c>
      <c r="U772" s="4" t="str" cm="1">
        <f t="array" ref="U772">_xlfn.IFS(V772&lt;=4, "Dissatisfied",V772&lt;=7,"Neutral",V772&gt;=8,"Satisfied")</f>
        <v>Satisfied</v>
      </c>
      <c r="V772" s="3">
        <v>8</v>
      </c>
      <c r="W772" s="4" t="s">
        <v>85</v>
      </c>
      <c r="X772" s="4" t="s">
        <v>74</v>
      </c>
      <c r="Y772" s="4" t="s">
        <v>119</v>
      </c>
      <c r="Z772" s="1">
        <v>45563</v>
      </c>
      <c r="AA772" s="4" t="str" cm="1">
        <f t="array" ref="AA772">_xlfn.IFS(OR(AB772="December", AB772="February", AB772="January"), "Winter", OR(AB772="March", AB772="April", AB772="May"), "Spring", OR(AB772="June", AB772="July", AB772="August"), "Summer", TRUE, "Autumn")</f>
        <v>Autumn</v>
      </c>
      <c r="AB772" s="7" t="str">
        <f>TEXT(Z772, "mmmm")</f>
        <v>September</v>
      </c>
      <c r="AC772" s="1" t="str">
        <f>TEXT(Z772, "dddd")</f>
        <v>Saturday</v>
      </c>
      <c r="AD772" s="4" t="s">
        <v>62</v>
      </c>
      <c r="AE772" s="4" t="s">
        <v>76</v>
      </c>
      <c r="AF772" s="4" t="s">
        <v>92</v>
      </c>
      <c r="AG772" s="4" t="s">
        <v>88</v>
      </c>
      <c r="AH772" s="3">
        <v>4</v>
      </c>
    </row>
    <row r="773" spans="1:34">
      <c r="A773" s="4" t="s">
        <v>1632</v>
      </c>
      <c r="B773" s="3">
        <v>31</v>
      </c>
      <c r="C773" s="9" t="str" cm="1">
        <f t="array" ref="C773">_xlfn.IFS(B773&gt;65,"+65",B773&gt;54,"55-65",B773&gt;44,"45-54",B773&gt;35,"36-44",B773&gt;25,"26-35",B773&gt;=18,"18-25")</f>
        <v>26-35</v>
      </c>
      <c r="D773" s="4" t="s">
        <v>225</v>
      </c>
      <c r="E773" s="4" t="s">
        <v>72</v>
      </c>
      <c r="F773" s="4" t="s">
        <v>95</v>
      </c>
      <c r="G773" s="4" t="s">
        <v>68</v>
      </c>
      <c r="H773" s="4" t="s">
        <v>1633</v>
      </c>
      <c r="I773" s="4" t="s">
        <v>146</v>
      </c>
      <c r="J773" s="5">
        <v>142.43</v>
      </c>
      <c r="K773" s="3">
        <v>3</v>
      </c>
      <c r="L773" s="4" t="str">
        <f>IF(AND(J773&gt;350,K773&gt;6), "True","False")</f>
        <v>False</v>
      </c>
      <c r="M773" s="4" t="s">
        <v>71</v>
      </c>
      <c r="N773" s="3">
        <v>2</v>
      </c>
      <c r="O773" s="4" t="str" cm="1">
        <f t="array" ref="O773">_xlfn.IFS(P773&lt;=2,"Poor",P773=3,"Average",P773&gt;=4,"Good")</f>
        <v>Good</v>
      </c>
      <c r="P773" s="3">
        <v>5</v>
      </c>
      <c r="Q773" s="2">
        <v>2</v>
      </c>
      <c r="R773" s="4" t="s">
        <v>72</v>
      </c>
      <c r="S773" s="4" t="s">
        <v>73</v>
      </c>
      <c r="T773" s="3">
        <v>1</v>
      </c>
      <c r="U773" s="4" t="str" cm="1">
        <f t="array" ref="U773">_xlfn.IFS(V773&lt;=4, "Dissatisfied",V773&lt;=7,"Neutral",V773&gt;=8,"Satisfied")</f>
        <v>Satisfied</v>
      </c>
      <c r="V773" s="3">
        <v>9</v>
      </c>
      <c r="W773" s="4" t="s">
        <v>57</v>
      </c>
      <c r="X773" s="4" t="s">
        <v>101</v>
      </c>
      <c r="Y773" s="4" t="s">
        <v>86</v>
      </c>
      <c r="Z773" s="1">
        <v>45563</v>
      </c>
      <c r="AA773" s="4" t="str" cm="1">
        <f t="array" ref="AA773">_xlfn.IFS(OR(AB773="December", AB773="February", AB773="January"), "Winter", OR(AB773="March", AB773="April", AB773="May"), "Spring", OR(AB773="June", AB773="July", AB773="August"), "Summer", TRUE, "Autumn")</f>
        <v>Autumn</v>
      </c>
      <c r="AB773" s="7" t="str">
        <f>TEXT(Z773, "mmmm")</f>
        <v>September</v>
      </c>
      <c r="AC773" s="1" t="str">
        <f>TEXT(Z773, "dddd")</f>
        <v>Saturday</v>
      </c>
      <c r="AD773" s="4" t="s">
        <v>62</v>
      </c>
      <c r="AE773" s="4" t="s">
        <v>76</v>
      </c>
      <c r="AF773" s="4" t="s">
        <v>87</v>
      </c>
      <c r="AG773" s="4" t="s">
        <v>93</v>
      </c>
      <c r="AH773" s="3">
        <v>8</v>
      </c>
    </row>
    <row r="774" spans="1:34">
      <c r="A774" s="4" t="s">
        <v>1634</v>
      </c>
      <c r="B774" s="3">
        <v>26</v>
      </c>
      <c r="C774" s="9" t="str" cm="1">
        <f t="array" ref="C774">_xlfn.IFS(B774&gt;65,"+65",B774&gt;54,"55-65",B774&gt;44,"45-54",B774&gt;35,"36-44",B774&gt;25,"26-35",B774&gt;=18,"18-25")</f>
        <v>26-35</v>
      </c>
      <c r="D774" s="4" t="s">
        <v>66</v>
      </c>
      <c r="E774" s="4" t="s">
        <v>72</v>
      </c>
      <c r="F774" s="4" t="s">
        <v>95</v>
      </c>
      <c r="G774" s="4" t="s">
        <v>68</v>
      </c>
      <c r="H774" s="4" t="s">
        <v>1635</v>
      </c>
      <c r="I774" s="4" t="s">
        <v>234</v>
      </c>
      <c r="J774" s="5">
        <v>482.5</v>
      </c>
      <c r="K774" s="3">
        <v>11</v>
      </c>
      <c r="L774" s="4" t="str">
        <f>IF(AND(J774&gt;350,K774&gt;6), "True","False")</f>
        <v>True</v>
      </c>
      <c r="M774" s="4" t="s">
        <v>83</v>
      </c>
      <c r="N774" s="3">
        <v>1</v>
      </c>
      <c r="O774" s="4" t="str" cm="1">
        <f t="array" ref="O774">_xlfn.IFS(P774&lt;=2,"Poor",P774=3,"Average",P774&gt;=4,"Good")</f>
        <v>Poor</v>
      </c>
      <c r="P774" s="3">
        <v>1</v>
      </c>
      <c r="Q774" s="2">
        <v>1</v>
      </c>
      <c r="R774" s="4" t="s">
        <v>57</v>
      </c>
      <c r="S774" s="4" t="s">
        <v>73</v>
      </c>
      <c r="T774" s="3">
        <v>2</v>
      </c>
      <c r="U774" s="4" t="str" cm="1">
        <f t="array" ref="U774">_xlfn.IFS(V774&lt;=4, "Dissatisfied",V774&lt;=7,"Neutral",V774&gt;=8,"Satisfied")</f>
        <v>Dissatisfied</v>
      </c>
      <c r="V774" s="3">
        <v>1</v>
      </c>
      <c r="W774" s="4" t="s">
        <v>57</v>
      </c>
      <c r="X774" s="4" t="s">
        <v>60</v>
      </c>
      <c r="Y774" s="4" t="s">
        <v>61</v>
      </c>
      <c r="Z774" s="1">
        <v>45563</v>
      </c>
      <c r="AA774" s="4" t="str" cm="1">
        <f t="array" ref="AA774">_xlfn.IFS(OR(AB774="December", AB774="February", AB774="January"), "Winter", OR(AB774="March", AB774="April", AB774="May"), "Spring", OR(AB774="June", AB774="July", AB774="August"), "Summer", TRUE, "Autumn")</f>
        <v>Autumn</v>
      </c>
      <c r="AB774" s="7" t="str">
        <f>TEXT(Z774, "mmmm")</f>
        <v>September</v>
      </c>
      <c r="AC774" s="1" t="str">
        <f>TEXT(Z774, "dddd")</f>
        <v>Saturday</v>
      </c>
      <c r="AD774" s="4" t="s">
        <v>62</v>
      </c>
      <c r="AE774" s="4" t="s">
        <v>62</v>
      </c>
      <c r="AF774" s="4" t="s">
        <v>63</v>
      </c>
      <c r="AG774" s="4" t="s">
        <v>88</v>
      </c>
      <c r="AH774" s="3">
        <v>13</v>
      </c>
    </row>
    <row r="775" spans="1:34">
      <c r="A775" s="4" t="s">
        <v>1636</v>
      </c>
      <c r="B775" s="3">
        <v>25</v>
      </c>
      <c r="C775" s="9" t="str" cm="1">
        <f t="array" ref="C775">_xlfn.IFS(B775&gt;65,"+65",B775&gt;54,"55-65",B775&gt;44,"45-54",B775&gt;35,"36-44",B775&gt;25,"26-35",B775&gt;=18,"18-25")</f>
        <v>18-25</v>
      </c>
      <c r="D775" s="4" t="s">
        <v>50</v>
      </c>
      <c r="E775" s="4" t="s">
        <v>51</v>
      </c>
      <c r="F775" s="4" t="s">
        <v>67</v>
      </c>
      <c r="G775" s="4" t="s">
        <v>53</v>
      </c>
      <c r="H775" s="4" t="s">
        <v>1637</v>
      </c>
      <c r="I775" s="4" t="s">
        <v>234</v>
      </c>
      <c r="J775" s="5">
        <v>293.99</v>
      </c>
      <c r="K775" s="3">
        <v>10</v>
      </c>
      <c r="L775" s="4" t="str">
        <f>IF(AND(J775&gt;350,K775&gt;6), "True","False")</f>
        <v>False</v>
      </c>
      <c r="M775" s="4" t="s">
        <v>83</v>
      </c>
      <c r="N775" s="3">
        <v>3</v>
      </c>
      <c r="O775" s="4" t="str" cm="1">
        <f t="array" ref="O775">_xlfn.IFS(P775&lt;=2,"Poor",P775=3,"Average",P775&gt;=4,"Good")</f>
        <v>Good</v>
      </c>
      <c r="P775" s="3">
        <v>4</v>
      </c>
      <c r="Q775" s="2">
        <v>0</v>
      </c>
      <c r="R775" s="4" t="s">
        <v>57</v>
      </c>
      <c r="S775" s="4" t="s">
        <v>84</v>
      </c>
      <c r="T775" s="3">
        <v>2</v>
      </c>
      <c r="U775" s="4" t="str" cm="1">
        <f t="array" ref="U775">_xlfn.IFS(V775&lt;=4, "Dissatisfied",V775&lt;=7,"Neutral",V775&gt;=8,"Satisfied")</f>
        <v>Neutral</v>
      </c>
      <c r="V775" s="3">
        <v>7</v>
      </c>
      <c r="W775" s="4" t="s">
        <v>57</v>
      </c>
      <c r="X775" s="4" t="s">
        <v>74</v>
      </c>
      <c r="Y775" s="4" t="s">
        <v>119</v>
      </c>
      <c r="Z775" s="1">
        <v>45564</v>
      </c>
      <c r="AA775" s="4" t="str" cm="1">
        <f t="array" ref="AA775">_xlfn.IFS(OR(AB775="December", AB775="February", AB775="January"), "Winter", OR(AB775="March", AB775="April", AB775="May"), "Spring", OR(AB775="June", AB775="July", AB775="August"), "Summer", TRUE, "Autumn")</f>
        <v>Autumn</v>
      </c>
      <c r="AB775" s="7" t="str">
        <f>TEXT(Z775, "mmmm")</f>
        <v>September</v>
      </c>
      <c r="AC775" s="1" t="str">
        <f>TEXT(Z775, "dddd")</f>
        <v>Sunday</v>
      </c>
      <c r="AD775" s="4" t="s">
        <v>76</v>
      </c>
      <c r="AE775" s="4" t="s">
        <v>62</v>
      </c>
      <c r="AF775" s="4" t="s">
        <v>102</v>
      </c>
      <c r="AG775" s="4" t="s">
        <v>88</v>
      </c>
      <c r="AH775" s="3">
        <v>5</v>
      </c>
    </row>
    <row r="776" spans="1:34">
      <c r="A776" s="4" t="s">
        <v>1638</v>
      </c>
      <c r="B776" s="3">
        <v>22</v>
      </c>
      <c r="C776" s="9" t="str" cm="1">
        <f t="array" ref="C776">_xlfn.IFS(B776&gt;65,"+65",B776&gt;54,"55-65",B776&gt;44,"45-54",B776&gt;35,"36-44",B776&gt;25,"26-35",B776&gt;=18,"18-25")</f>
        <v>18-25</v>
      </c>
      <c r="D776" s="4" t="s">
        <v>66</v>
      </c>
      <c r="E776" s="4" t="s">
        <v>51</v>
      </c>
      <c r="F776" s="4" t="s">
        <v>95</v>
      </c>
      <c r="G776" s="4" t="s">
        <v>68</v>
      </c>
      <c r="H776" s="4" t="s">
        <v>1639</v>
      </c>
      <c r="I776" s="4" t="s">
        <v>118</v>
      </c>
      <c r="J776" s="5">
        <v>308.54000000000002</v>
      </c>
      <c r="K776" s="3">
        <v>3</v>
      </c>
      <c r="L776" s="4" t="str">
        <f>IF(AND(J776&gt;350,K776&gt;6), "True","False")</f>
        <v>False</v>
      </c>
      <c r="M776" s="4" t="s">
        <v>83</v>
      </c>
      <c r="N776" s="3">
        <v>1</v>
      </c>
      <c r="O776" s="4" t="str" cm="1">
        <f t="array" ref="O776">_xlfn.IFS(P776&lt;=2,"Poor",P776=3,"Average",P776&gt;=4,"Good")</f>
        <v>Average</v>
      </c>
      <c r="P776" s="3">
        <v>3</v>
      </c>
      <c r="Q776" s="2">
        <v>0</v>
      </c>
      <c r="R776" s="4" t="s">
        <v>72</v>
      </c>
      <c r="S776" s="4" t="s">
        <v>58</v>
      </c>
      <c r="T776" s="3">
        <v>1</v>
      </c>
      <c r="U776" s="4" t="str" cm="1">
        <f t="array" ref="U776">_xlfn.IFS(V776&lt;=4, "Dissatisfied",V776&lt;=7,"Neutral",V776&gt;=8,"Satisfied")</f>
        <v>Neutral</v>
      </c>
      <c r="V776" s="3">
        <v>5</v>
      </c>
      <c r="W776" s="4" t="s">
        <v>72</v>
      </c>
      <c r="X776" s="4" t="s">
        <v>101</v>
      </c>
      <c r="Y776" s="4" t="s">
        <v>119</v>
      </c>
      <c r="Z776" s="1">
        <v>45564</v>
      </c>
      <c r="AA776" s="4" t="str" cm="1">
        <f t="array" ref="AA776">_xlfn.IFS(OR(AB776="December", AB776="February", AB776="January"), "Winter", OR(AB776="March", AB776="April", AB776="May"), "Spring", OR(AB776="June", AB776="July", AB776="August"), "Summer", TRUE, "Autumn")</f>
        <v>Autumn</v>
      </c>
      <c r="AB776" s="7" t="str">
        <f>TEXT(Z776, "mmmm")</f>
        <v>September</v>
      </c>
      <c r="AC776" s="1" t="str">
        <f>TEXT(Z776, "dddd")</f>
        <v>Sunday</v>
      </c>
      <c r="AD776" s="4" t="s">
        <v>76</v>
      </c>
      <c r="AE776" s="4" t="s">
        <v>62</v>
      </c>
      <c r="AF776" s="4" t="s">
        <v>102</v>
      </c>
      <c r="AG776" s="4" t="s">
        <v>64</v>
      </c>
      <c r="AH776" s="3">
        <v>7</v>
      </c>
    </row>
    <row r="777" spans="1:34">
      <c r="A777" s="4" t="s">
        <v>1640</v>
      </c>
      <c r="B777" s="3">
        <v>19</v>
      </c>
      <c r="C777" s="9" t="str" cm="1">
        <f t="array" ref="C777">_xlfn.IFS(B777&gt;65,"+65",B777&gt;54,"55-65",B777&gt;44,"45-54",B777&gt;35,"36-44",B777&gt;25,"26-35",B777&gt;=18,"18-25")</f>
        <v>18-25</v>
      </c>
      <c r="D777" s="4" t="s">
        <v>66</v>
      </c>
      <c r="E777" s="4" t="s">
        <v>72</v>
      </c>
      <c r="F777" s="4" t="s">
        <v>67</v>
      </c>
      <c r="G777" s="4" t="s">
        <v>68</v>
      </c>
      <c r="H777" s="4" t="s">
        <v>1641</v>
      </c>
      <c r="I777" s="4" t="s">
        <v>91</v>
      </c>
      <c r="J777" s="5">
        <v>459.39</v>
      </c>
      <c r="K777" s="3">
        <v>6</v>
      </c>
      <c r="L777" s="4" t="str">
        <f>IF(AND(J777&gt;350,K777&gt;6), "True","False")</f>
        <v>False</v>
      </c>
      <c r="M777" s="4" t="s">
        <v>83</v>
      </c>
      <c r="N777" s="3">
        <v>2</v>
      </c>
      <c r="O777" s="4" t="str" cm="1">
        <f t="array" ref="O777">_xlfn.IFS(P777&lt;=2,"Poor",P777=3,"Average",P777&gt;=4,"Good")</f>
        <v>Poor</v>
      </c>
      <c r="P777" s="3">
        <v>2</v>
      </c>
      <c r="Q777" s="2">
        <v>0.3</v>
      </c>
      <c r="R777" s="4" t="s">
        <v>59</v>
      </c>
      <c r="S777" s="4" t="s">
        <v>73</v>
      </c>
      <c r="T777" s="3">
        <v>2</v>
      </c>
      <c r="U777" s="4" t="str" cm="1">
        <f t="array" ref="U777">_xlfn.IFS(V777&lt;=4, "Dissatisfied",V777&lt;=7,"Neutral",V777&gt;=8,"Satisfied")</f>
        <v>Dissatisfied</v>
      </c>
      <c r="V777" s="3">
        <v>4</v>
      </c>
      <c r="W777" s="4" t="s">
        <v>72</v>
      </c>
      <c r="X777" s="4" t="s">
        <v>74</v>
      </c>
      <c r="Y777" s="4" t="s">
        <v>119</v>
      </c>
      <c r="Z777" s="1">
        <v>45564</v>
      </c>
      <c r="AA777" s="4" t="str" cm="1">
        <f t="array" ref="AA777">_xlfn.IFS(OR(AB777="December", AB777="February", AB777="January"), "Winter", OR(AB777="March", AB777="April", AB777="May"), "Spring", OR(AB777="June", AB777="July", AB777="August"), "Summer", TRUE, "Autumn")</f>
        <v>Autumn</v>
      </c>
      <c r="AB777" s="7" t="str">
        <f>TEXT(Z777, "mmmm")</f>
        <v>September</v>
      </c>
      <c r="AC777" s="1" t="str">
        <f>TEXT(Z777, "dddd")</f>
        <v>Sunday</v>
      </c>
      <c r="AD777" s="4" t="s">
        <v>76</v>
      </c>
      <c r="AE777" s="4" t="s">
        <v>76</v>
      </c>
      <c r="AF777" s="4" t="s">
        <v>87</v>
      </c>
      <c r="AG777" s="4" t="s">
        <v>88</v>
      </c>
      <c r="AH777" s="3">
        <v>14</v>
      </c>
    </row>
    <row r="778" spans="1:34">
      <c r="A778" s="4" t="s">
        <v>1642</v>
      </c>
      <c r="B778" s="3">
        <v>49</v>
      </c>
      <c r="C778" s="9" t="str" cm="1">
        <f t="array" ref="C778">_xlfn.IFS(B778&gt;65,"+65",B778&gt;54,"55-65",B778&gt;44,"45-54",B778&gt;35,"36-44",B778&gt;25,"26-35",B778&gt;=18,"18-25")</f>
        <v>45-54</v>
      </c>
      <c r="D778" s="4" t="s">
        <v>66</v>
      </c>
      <c r="E778" s="4" t="s">
        <v>51</v>
      </c>
      <c r="F778" s="4" t="s">
        <v>52</v>
      </c>
      <c r="G778" s="4" t="s">
        <v>53</v>
      </c>
      <c r="H778" s="4" t="s">
        <v>1643</v>
      </c>
      <c r="I778" s="4" t="s">
        <v>118</v>
      </c>
      <c r="J778" s="5">
        <v>362.3</v>
      </c>
      <c r="K778" s="3">
        <v>7</v>
      </c>
      <c r="L778" s="4" t="str">
        <f>IF(AND(J778&gt;350,K778&gt;6), "True","False")</f>
        <v>True</v>
      </c>
      <c r="M778" s="4" t="s">
        <v>56</v>
      </c>
      <c r="N778" s="3">
        <v>4</v>
      </c>
      <c r="O778" s="4" t="str" cm="1">
        <f t="array" ref="O778">_xlfn.IFS(P778&lt;=2,"Poor",P778=3,"Average",P778&gt;=4,"Good")</f>
        <v>Poor</v>
      </c>
      <c r="P778" s="3">
        <v>2</v>
      </c>
      <c r="Q778" s="2">
        <v>0.2</v>
      </c>
      <c r="R778" s="4" t="s">
        <v>59</v>
      </c>
      <c r="S778" s="4" t="s">
        <v>58</v>
      </c>
      <c r="T778" s="3">
        <v>0</v>
      </c>
      <c r="U778" s="4" t="str" cm="1">
        <f t="array" ref="U778">_xlfn.IFS(V778&lt;=4, "Dissatisfied",V778&lt;=7,"Neutral",V778&gt;=8,"Satisfied")</f>
        <v>Dissatisfied</v>
      </c>
      <c r="V778" s="3">
        <v>4</v>
      </c>
      <c r="W778" s="4" t="s">
        <v>59</v>
      </c>
      <c r="X778" s="4" t="s">
        <v>74</v>
      </c>
      <c r="Y778" s="4" t="s">
        <v>111</v>
      </c>
      <c r="Z778" s="1">
        <v>45565</v>
      </c>
      <c r="AA778" s="4" t="str" cm="1">
        <f t="array" ref="AA778">_xlfn.IFS(OR(AB778="December", AB778="February", AB778="January"), "Winter", OR(AB778="March", AB778="April", AB778="May"), "Spring", OR(AB778="June", AB778="July", AB778="August"), "Summer", TRUE, "Autumn")</f>
        <v>Autumn</v>
      </c>
      <c r="AB778" s="7" t="str">
        <f>TEXT(Z778, "mmmm")</f>
        <v>September</v>
      </c>
      <c r="AC778" s="1" t="str">
        <f>TEXT(Z778, "dddd")</f>
        <v>Monday</v>
      </c>
      <c r="AD778" s="4" t="s">
        <v>62</v>
      </c>
      <c r="AE778" s="4" t="s">
        <v>62</v>
      </c>
      <c r="AF778" s="4" t="s">
        <v>87</v>
      </c>
      <c r="AG778" s="4" t="s">
        <v>64</v>
      </c>
      <c r="AH778" s="3">
        <v>6</v>
      </c>
    </row>
    <row r="779" spans="1:34">
      <c r="A779" s="4" t="s">
        <v>1644</v>
      </c>
      <c r="B779" s="3">
        <v>48</v>
      </c>
      <c r="C779" s="9" t="str" cm="1">
        <f t="array" ref="C779">_xlfn.IFS(B779&gt;65,"+65",B779&gt;54,"55-65",B779&gt;44,"45-54",B779&gt;35,"36-44",B779&gt;25,"26-35",B779&gt;=18,"18-25")</f>
        <v>45-54</v>
      </c>
      <c r="D779" s="4" t="s">
        <v>456</v>
      </c>
      <c r="E779" s="4" t="s">
        <v>72</v>
      </c>
      <c r="F779" s="4" t="s">
        <v>67</v>
      </c>
      <c r="G779" s="4" t="s">
        <v>80</v>
      </c>
      <c r="H779" s="4" t="s">
        <v>1645</v>
      </c>
      <c r="I779" s="4" t="s">
        <v>55</v>
      </c>
      <c r="J779" s="5">
        <v>70.42</v>
      </c>
      <c r="K779" s="3">
        <v>11</v>
      </c>
      <c r="L779" s="4" t="str">
        <f>IF(AND(J779&gt;350,K779&gt;6), "True","False")</f>
        <v>False</v>
      </c>
      <c r="M779" s="4" t="s">
        <v>56</v>
      </c>
      <c r="N779" s="3">
        <v>4</v>
      </c>
      <c r="O779" s="4" t="str" cm="1">
        <f t="array" ref="O779">_xlfn.IFS(P779&lt;=2,"Poor",P779=3,"Average",P779&gt;=4,"Good")</f>
        <v>Good</v>
      </c>
      <c r="P779" s="3">
        <v>5</v>
      </c>
      <c r="Q779" s="2">
        <v>1</v>
      </c>
      <c r="R779" s="4" t="s">
        <v>72</v>
      </c>
      <c r="S779" s="4" t="s">
        <v>58</v>
      </c>
      <c r="T779" s="3">
        <v>2</v>
      </c>
      <c r="U779" s="4" t="str" cm="1">
        <f t="array" ref="U779">_xlfn.IFS(V779&lt;=4, "Dissatisfied",V779&lt;=7,"Neutral",V779&gt;=8,"Satisfied")</f>
        <v>Neutral</v>
      </c>
      <c r="V779" s="3">
        <v>7</v>
      </c>
      <c r="W779" s="4" t="s">
        <v>59</v>
      </c>
      <c r="X779" s="4" t="s">
        <v>101</v>
      </c>
      <c r="Y779" s="4" t="s">
        <v>111</v>
      </c>
      <c r="Z779" s="1">
        <v>45566</v>
      </c>
      <c r="AA779" s="4" t="str" cm="1">
        <f t="array" ref="AA779">_xlfn.IFS(OR(AB779="December", AB779="February", AB779="January"), "Winter", OR(AB779="March", AB779="April", AB779="May"), "Spring", OR(AB779="June", AB779="July", AB779="August"), "Summer", TRUE, "Autumn")</f>
        <v>Autumn</v>
      </c>
      <c r="AB779" s="7" t="str">
        <f>TEXT(Z779, "mmmm")</f>
        <v>October</v>
      </c>
      <c r="AC779" s="1" t="str">
        <f>TEXT(Z779, "dddd")</f>
        <v>Tuesday</v>
      </c>
      <c r="AD779" s="4" t="s">
        <v>76</v>
      </c>
      <c r="AE779" s="4" t="s">
        <v>62</v>
      </c>
      <c r="AF779" s="4" t="s">
        <v>63</v>
      </c>
      <c r="AG779" s="4" t="s">
        <v>93</v>
      </c>
      <c r="AH779" s="3">
        <v>14</v>
      </c>
    </row>
    <row r="780" spans="1:34">
      <c r="A780" s="4" t="s">
        <v>1646</v>
      </c>
      <c r="B780" s="3">
        <v>40</v>
      </c>
      <c r="C780" s="9" t="str" cm="1">
        <f t="array" ref="C780">_xlfn.IFS(B780&gt;65,"+65",B780&gt;54,"55-65",B780&gt;44,"45-54",B780&gt;35,"36-44",B780&gt;25,"26-35",B780&gt;=18,"18-25")</f>
        <v>36-44</v>
      </c>
      <c r="D780" s="4" t="s">
        <v>456</v>
      </c>
      <c r="E780" s="4" t="s">
        <v>72</v>
      </c>
      <c r="F780" s="4" t="s">
        <v>52</v>
      </c>
      <c r="G780" s="4" t="s">
        <v>53</v>
      </c>
      <c r="H780" s="4" t="s">
        <v>1647</v>
      </c>
      <c r="I780" s="4" t="s">
        <v>156</v>
      </c>
      <c r="J780" s="5">
        <v>249.02</v>
      </c>
      <c r="K780" s="3">
        <v>11</v>
      </c>
      <c r="L780" s="4" t="str">
        <f>IF(AND(J780&gt;350,K780&gt;6), "True","False")</f>
        <v>False</v>
      </c>
      <c r="M780" s="4" t="s">
        <v>83</v>
      </c>
      <c r="N780" s="3">
        <v>3</v>
      </c>
      <c r="O780" s="4" t="str" cm="1">
        <f t="array" ref="O780">_xlfn.IFS(P780&lt;=2,"Poor",P780=3,"Average",P780&gt;=4,"Good")</f>
        <v>Poor</v>
      </c>
      <c r="P780" s="3">
        <v>2</v>
      </c>
      <c r="Q780" s="2">
        <v>0.3</v>
      </c>
      <c r="R780" s="4" t="s">
        <v>85</v>
      </c>
      <c r="S780" s="4" t="s">
        <v>58</v>
      </c>
      <c r="T780" s="3">
        <v>1</v>
      </c>
      <c r="U780" s="4" t="str" cm="1">
        <f t="array" ref="U780">_xlfn.IFS(V780&lt;=4, "Dissatisfied",V780&lt;=7,"Neutral",V780&gt;=8,"Satisfied")</f>
        <v>Dissatisfied</v>
      </c>
      <c r="V780" s="3">
        <v>1</v>
      </c>
      <c r="W780" s="4" t="s">
        <v>85</v>
      </c>
      <c r="X780" s="4" t="s">
        <v>60</v>
      </c>
      <c r="Y780" s="4" t="s">
        <v>86</v>
      </c>
      <c r="Z780" s="1">
        <v>45566</v>
      </c>
      <c r="AA780" s="4" t="str" cm="1">
        <f t="array" ref="AA780">_xlfn.IFS(OR(AB780="December", AB780="February", AB780="January"), "Winter", OR(AB780="March", AB780="April", AB780="May"), "Spring", OR(AB780="June", AB780="July", AB780="August"), "Summer", TRUE, "Autumn")</f>
        <v>Autumn</v>
      </c>
      <c r="AB780" s="7" t="str">
        <f>TEXT(Z780, "mmmm")</f>
        <v>October</v>
      </c>
      <c r="AC780" s="1" t="str">
        <f>TEXT(Z780, "dddd")</f>
        <v>Tuesday</v>
      </c>
      <c r="AD780" s="4" t="s">
        <v>62</v>
      </c>
      <c r="AE780" s="4" t="s">
        <v>62</v>
      </c>
      <c r="AF780" s="4" t="s">
        <v>87</v>
      </c>
      <c r="AG780" s="4" t="s">
        <v>93</v>
      </c>
      <c r="AH780" s="3">
        <v>14</v>
      </c>
    </row>
    <row r="781" spans="1:34">
      <c r="A781" s="4" t="s">
        <v>1648</v>
      </c>
      <c r="B781" s="3">
        <v>23</v>
      </c>
      <c r="C781" s="9" t="str" cm="1">
        <f t="array" ref="C781">_xlfn.IFS(B781&gt;65,"+65",B781&gt;54,"55-65",B781&gt;44,"45-54",B781&gt;35,"36-44",B781&gt;25,"26-35",B781&gt;=18,"18-25")</f>
        <v>18-25</v>
      </c>
      <c r="D781" s="4" t="s">
        <v>78</v>
      </c>
      <c r="E781" s="4" t="s">
        <v>51</v>
      </c>
      <c r="F781" s="4" t="s">
        <v>52</v>
      </c>
      <c r="G781" s="4" t="s">
        <v>68</v>
      </c>
      <c r="H781" s="4" t="s">
        <v>1649</v>
      </c>
      <c r="I781" s="4" t="s">
        <v>105</v>
      </c>
      <c r="J781" s="5">
        <v>246.41</v>
      </c>
      <c r="K781" s="3">
        <v>7</v>
      </c>
      <c r="L781" s="4" t="str">
        <f>IF(AND(J781&gt;350,K781&gt;6), "True","False")</f>
        <v>False</v>
      </c>
      <c r="M781" s="4" t="s">
        <v>71</v>
      </c>
      <c r="N781" s="3">
        <v>2</v>
      </c>
      <c r="O781" s="4" t="str" cm="1">
        <f t="array" ref="O781">_xlfn.IFS(P781&lt;=2,"Poor",P781=3,"Average",P781&gt;=4,"Good")</f>
        <v>Good</v>
      </c>
      <c r="P781" s="3">
        <v>4</v>
      </c>
      <c r="Q781" s="2">
        <v>0</v>
      </c>
      <c r="R781" s="4" t="s">
        <v>57</v>
      </c>
      <c r="S781" s="4" t="s">
        <v>84</v>
      </c>
      <c r="T781" s="3">
        <v>2</v>
      </c>
      <c r="U781" s="4" t="str" cm="1">
        <f t="array" ref="U781">_xlfn.IFS(V781&lt;=4, "Dissatisfied",V781&lt;=7,"Neutral",V781&gt;=8,"Satisfied")</f>
        <v>Satisfied</v>
      </c>
      <c r="V781" s="3">
        <v>8</v>
      </c>
      <c r="W781" s="4" t="s">
        <v>59</v>
      </c>
      <c r="X781" s="4" t="s">
        <v>60</v>
      </c>
      <c r="Y781" s="4" t="s">
        <v>61</v>
      </c>
      <c r="Z781" s="1">
        <v>45566</v>
      </c>
      <c r="AA781" s="4" t="str" cm="1">
        <f t="array" ref="AA781">_xlfn.IFS(OR(AB781="December", AB781="February", AB781="January"), "Winter", OR(AB781="March", AB781="April", AB781="May"), "Spring", OR(AB781="June", AB781="July", AB781="August"), "Summer", TRUE, "Autumn")</f>
        <v>Autumn</v>
      </c>
      <c r="AB781" s="7" t="str">
        <f>TEXT(Z781, "mmmm")</f>
        <v>October</v>
      </c>
      <c r="AC781" s="1" t="str">
        <f>TEXT(Z781, "dddd")</f>
        <v>Tuesday</v>
      </c>
      <c r="AD781" s="4" t="s">
        <v>62</v>
      </c>
      <c r="AE781" s="4" t="s">
        <v>76</v>
      </c>
      <c r="AF781" s="4" t="s">
        <v>63</v>
      </c>
      <c r="AG781" s="4" t="s">
        <v>64</v>
      </c>
      <c r="AH781" s="3">
        <v>11</v>
      </c>
    </row>
    <row r="782" spans="1:34">
      <c r="A782" s="4" t="s">
        <v>1650</v>
      </c>
      <c r="B782" s="3">
        <v>50</v>
      </c>
      <c r="C782" s="9" t="str" cm="1">
        <f t="array" ref="C782">_xlfn.IFS(B782&gt;65,"+65",B782&gt;54,"55-65",B782&gt;44,"45-54",B782&gt;35,"36-44",B782&gt;25,"26-35",B782&gt;=18,"18-25")</f>
        <v>45-54</v>
      </c>
      <c r="D782" s="4" t="s">
        <v>66</v>
      </c>
      <c r="E782" s="4" t="s">
        <v>72</v>
      </c>
      <c r="F782" s="4" t="s">
        <v>79</v>
      </c>
      <c r="G782" s="4" t="s">
        <v>53</v>
      </c>
      <c r="H782" s="4" t="s">
        <v>1651</v>
      </c>
      <c r="I782" s="4" t="s">
        <v>91</v>
      </c>
      <c r="J782" s="5">
        <v>97.97</v>
      </c>
      <c r="K782" s="3">
        <v>2</v>
      </c>
      <c r="L782" s="4" t="str">
        <f>IF(AND(J782&gt;350,K782&gt;6), "True","False")</f>
        <v>False</v>
      </c>
      <c r="M782" s="4" t="s">
        <v>71</v>
      </c>
      <c r="N782" s="3">
        <v>5</v>
      </c>
      <c r="O782" s="4" t="str" cm="1">
        <f t="array" ref="O782">_xlfn.IFS(P782&lt;=2,"Poor",P782=3,"Average",P782&gt;=4,"Good")</f>
        <v>Good</v>
      </c>
      <c r="P782" s="3">
        <v>5</v>
      </c>
      <c r="Q782" s="2">
        <v>1</v>
      </c>
      <c r="R782" s="4" t="s">
        <v>59</v>
      </c>
      <c r="S782" s="4" t="s">
        <v>84</v>
      </c>
      <c r="T782" s="3">
        <v>0</v>
      </c>
      <c r="U782" s="4" t="str" cm="1">
        <f t="array" ref="U782">_xlfn.IFS(V782&lt;=4, "Dissatisfied",V782&lt;=7,"Neutral",V782&gt;=8,"Satisfied")</f>
        <v>Satisfied</v>
      </c>
      <c r="V782" s="3">
        <v>10</v>
      </c>
      <c r="W782" s="4" t="s">
        <v>57</v>
      </c>
      <c r="X782" s="4" t="s">
        <v>101</v>
      </c>
      <c r="Y782" s="4" t="s">
        <v>119</v>
      </c>
      <c r="Z782" s="1">
        <v>45568</v>
      </c>
      <c r="AA782" s="4" t="str" cm="1">
        <f t="array" ref="AA782">_xlfn.IFS(OR(AB782="December", AB782="February", AB782="January"), "Winter", OR(AB782="March", AB782="April", AB782="May"), "Spring", OR(AB782="June", AB782="July", AB782="August"), "Summer", TRUE, "Autumn")</f>
        <v>Autumn</v>
      </c>
      <c r="AB782" s="7" t="str">
        <f>TEXT(Z782, "mmmm")</f>
        <v>October</v>
      </c>
      <c r="AC782" s="1" t="str">
        <f>TEXT(Z782, "dddd")</f>
        <v>Thursday</v>
      </c>
      <c r="AD782" s="4" t="s">
        <v>62</v>
      </c>
      <c r="AE782" s="4" t="s">
        <v>76</v>
      </c>
      <c r="AF782" s="4" t="s">
        <v>87</v>
      </c>
      <c r="AG782" s="4" t="s">
        <v>88</v>
      </c>
      <c r="AH782" s="3">
        <v>1</v>
      </c>
    </row>
    <row r="783" spans="1:34">
      <c r="A783" s="4" t="s">
        <v>1652</v>
      </c>
      <c r="B783" s="3">
        <v>49</v>
      </c>
      <c r="C783" s="9" t="str" cm="1">
        <f t="array" ref="C783">_xlfn.IFS(B783&gt;65,"+65",B783&gt;54,"55-65",B783&gt;44,"45-54",B783&gt;35,"36-44",B783&gt;25,"26-35",B783&gt;=18,"18-25")</f>
        <v>45-54</v>
      </c>
      <c r="D783" s="4" t="s">
        <v>66</v>
      </c>
      <c r="E783" s="4" t="s">
        <v>51</v>
      </c>
      <c r="F783" s="4" t="s">
        <v>95</v>
      </c>
      <c r="G783" s="4" t="s">
        <v>80</v>
      </c>
      <c r="H783" s="4" t="s">
        <v>1580</v>
      </c>
      <c r="I783" s="4" t="s">
        <v>110</v>
      </c>
      <c r="J783" s="5">
        <v>61.71</v>
      </c>
      <c r="K783" s="3">
        <v>6</v>
      </c>
      <c r="L783" s="4" t="str">
        <f>IF(AND(J783&gt;350,K783&gt;6), "True","False")</f>
        <v>False</v>
      </c>
      <c r="M783" s="4" t="s">
        <v>83</v>
      </c>
      <c r="N783" s="3">
        <v>2</v>
      </c>
      <c r="O783" s="4" t="str" cm="1">
        <f t="array" ref="O783">_xlfn.IFS(P783&lt;=2,"Poor",P783=3,"Average",P783&gt;=4,"Good")</f>
        <v>Good</v>
      </c>
      <c r="P783" s="3">
        <v>5</v>
      </c>
      <c r="Q783" s="2">
        <v>1</v>
      </c>
      <c r="R783" s="4" t="s">
        <v>59</v>
      </c>
      <c r="S783" s="4" t="s">
        <v>73</v>
      </c>
      <c r="T783" s="3">
        <v>2</v>
      </c>
      <c r="U783" s="4" t="str" cm="1">
        <f t="array" ref="U783">_xlfn.IFS(V783&lt;=4, "Dissatisfied",V783&lt;=7,"Neutral",V783&gt;=8,"Satisfied")</f>
        <v>Neutral</v>
      </c>
      <c r="V783" s="3">
        <v>7</v>
      </c>
      <c r="W783" s="4" t="s">
        <v>59</v>
      </c>
      <c r="X783" s="4" t="s">
        <v>74</v>
      </c>
      <c r="Y783" s="4" t="s">
        <v>61</v>
      </c>
      <c r="Z783" s="1">
        <v>45568</v>
      </c>
      <c r="AA783" s="4" t="str" cm="1">
        <f t="array" ref="AA783">_xlfn.IFS(OR(AB783="December", AB783="February", AB783="January"), "Winter", OR(AB783="March", AB783="April", AB783="May"), "Spring", OR(AB783="June", AB783="July", AB783="August"), "Summer", TRUE, "Autumn")</f>
        <v>Autumn</v>
      </c>
      <c r="AB783" s="7" t="str">
        <f>TEXT(Z783, "mmmm")</f>
        <v>October</v>
      </c>
      <c r="AC783" s="1" t="str">
        <f>TEXT(Z783, "dddd")</f>
        <v>Thursday</v>
      </c>
      <c r="AD783" s="4" t="s">
        <v>76</v>
      </c>
      <c r="AE783" s="4" t="s">
        <v>76</v>
      </c>
      <c r="AF783" s="4" t="s">
        <v>92</v>
      </c>
      <c r="AG783" s="4" t="s">
        <v>88</v>
      </c>
      <c r="AH783" s="3">
        <v>12</v>
      </c>
    </row>
    <row r="784" spans="1:34">
      <c r="A784" s="4" t="s">
        <v>1653</v>
      </c>
      <c r="B784" s="3">
        <v>43</v>
      </c>
      <c r="C784" s="9" t="str" cm="1">
        <f t="array" ref="C784">_xlfn.IFS(B784&gt;65,"+65",B784&gt;54,"55-65",B784&gt;44,"45-54",B784&gt;35,"36-44",B784&gt;25,"26-35",B784&gt;=18,"18-25")</f>
        <v>36-44</v>
      </c>
      <c r="D784" s="4" t="s">
        <v>78</v>
      </c>
      <c r="E784" s="4" t="s">
        <v>72</v>
      </c>
      <c r="F784" s="4" t="s">
        <v>95</v>
      </c>
      <c r="G784" s="4" t="s">
        <v>80</v>
      </c>
      <c r="H784" s="4" t="s">
        <v>1654</v>
      </c>
      <c r="I784" s="4" t="s">
        <v>133</v>
      </c>
      <c r="J784" s="5">
        <v>294.61</v>
      </c>
      <c r="K784" s="3">
        <v>6</v>
      </c>
      <c r="L784" s="4" t="str">
        <f>IF(AND(J784&gt;350,K784&gt;6), "True","False")</f>
        <v>False</v>
      </c>
      <c r="M784" s="4" t="s">
        <v>71</v>
      </c>
      <c r="N784" s="3">
        <v>2</v>
      </c>
      <c r="O784" s="4" t="str" cm="1">
        <f t="array" ref="O784">_xlfn.IFS(P784&lt;=2,"Poor",P784=3,"Average",P784&gt;=4,"Good")</f>
        <v>Poor</v>
      </c>
      <c r="P784" s="3">
        <v>1</v>
      </c>
      <c r="Q784" s="2">
        <v>0</v>
      </c>
      <c r="R784" s="4" t="s">
        <v>57</v>
      </c>
      <c r="S784" s="4" t="s">
        <v>73</v>
      </c>
      <c r="T784" s="3">
        <v>0</v>
      </c>
      <c r="U784" s="4" t="str" cm="1">
        <f t="array" ref="U784">_xlfn.IFS(V784&lt;=4, "Dissatisfied",V784&lt;=7,"Neutral",V784&gt;=8,"Satisfied")</f>
        <v>Dissatisfied</v>
      </c>
      <c r="V784" s="3">
        <v>2</v>
      </c>
      <c r="W784" s="4" t="s">
        <v>57</v>
      </c>
      <c r="X784" s="4" t="s">
        <v>101</v>
      </c>
      <c r="Y784" s="4" t="s">
        <v>86</v>
      </c>
      <c r="Z784" s="1">
        <v>45568</v>
      </c>
      <c r="AA784" s="4" t="str" cm="1">
        <f t="array" ref="AA784">_xlfn.IFS(OR(AB784="December", AB784="February", AB784="January"), "Winter", OR(AB784="March", AB784="April", AB784="May"), "Spring", OR(AB784="June", AB784="July", AB784="August"), "Summer", TRUE, "Autumn")</f>
        <v>Autumn</v>
      </c>
      <c r="AB784" s="7" t="str">
        <f>TEXT(Z784, "mmmm")</f>
        <v>October</v>
      </c>
      <c r="AC784" s="1" t="str">
        <f>TEXT(Z784, "dddd")</f>
        <v>Thursday</v>
      </c>
      <c r="AD784" s="4" t="s">
        <v>76</v>
      </c>
      <c r="AE784" s="4" t="s">
        <v>62</v>
      </c>
      <c r="AF784" s="4" t="s">
        <v>102</v>
      </c>
      <c r="AG784" s="4" t="s">
        <v>93</v>
      </c>
      <c r="AH784" s="3">
        <v>4</v>
      </c>
    </row>
    <row r="785" spans="1:34">
      <c r="A785" s="4" t="s">
        <v>1655</v>
      </c>
      <c r="B785" s="3">
        <v>41</v>
      </c>
      <c r="C785" s="9" t="str" cm="1">
        <f t="array" ref="C785">_xlfn.IFS(B785&gt;65,"+65",B785&gt;54,"55-65",B785&gt;44,"45-54",B785&gt;35,"36-44",B785&gt;25,"26-35",B785&gt;=18,"18-25")</f>
        <v>36-44</v>
      </c>
      <c r="D785" s="4" t="s">
        <v>456</v>
      </c>
      <c r="E785" s="4" t="s">
        <v>51</v>
      </c>
      <c r="F785" s="4" t="s">
        <v>95</v>
      </c>
      <c r="G785" s="4" t="s">
        <v>68</v>
      </c>
      <c r="H785" s="4" t="s">
        <v>1656</v>
      </c>
      <c r="I785" s="4" t="s">
        <v>82</v>
      </c>
      <c r="J785" s="5">
        <v>54.74</v>
      </c>
      <c r="K785" s="3">
        <v>4</v>
      </c>
      <c r="L785" s="4" t="str">
        <f>IF(AND(J785&gt;350,K785&gt;6), "True","False")</f>
        <v>False</v>
      </c>
      <c r="M785" s="4" t="s">
        <v>71</v>
      </c>
      <c r="N785" s="3">
        <v>1</v>
      </c>
      <c r="O785" s="4" t="str" cm="1">
        <f t="array" ref="O785">_xlfn.IFS(P785&lt;=2,"Poor",P785=3,"Average",P785&gt;=4,"Good")</f>
        <v>Poor</v>
      </c>
      <c r="P785" s="3">
        <v>2</v>
      </c>
      <c r="Q785" s="2">
        <v>0</v>
      </c>
      <c r="R785" s="4" t="s">
        <v>57</v>
      </c>
      <c r="S785" s="4" t="s">
        <v>84</v>
      </c>
      <c r="T785" s="3">
        <v>0</v>
      </c>
      <c r="U785" s="4" t="str" cm="1">
        <f t="array" ref="U785">_xlfn.IFS(V785&lt;=4, "Dissatisfied",V785&lt;=7,"Neutral",V785&gt;=8,"Satisfied")</f>
        <v>Dissatisfied</v>
      </c>
      <c r="V785" s="3">
        <v>4</v>
      </c>
      <c r="W785" s="4" t="s">
        <v>59</v>
      </c>
      <c r="X785" s="4" t="s">
        <v>60</v>
      </c>
      <c r="Y785" s="4" t="s">
        <v>86</v>
      </c>
      <c r="Z785" s="1">
        <v>45568</v>
      </c>
      <c r="AA785" s="4" t="str" cm="1">
        <f t="array" ref="AA785">_xlfn.IFS(OR(AB785="December", AB785="February", AB785="January"), "Winter", OR(AB785="March", AB785="April", AB785="May"), "Spring", OR(AB785="June", AB785="July", AB785="August"), "Summer", TRUE, "Autumn")</f>
        <v>Autumn</v>
      </c>
      <c r="AB785" s="7" t="str">
        <f>TEXT(Z785, "mmmm")</f>
        <v>October</v>
      </c>
      <c r="AC785" s="1" t="str">
        <f>TEXT(Z785, "dddd")</f>
        <v>Thursday</v>
      </c>
      <c r="AD785" s="4" t="s">
        <v>62</v>
      </c>
      <c r="AE785" s="4" t="s">
        <v>62</v>
      </c>
      <c r="AF785" s="4" t="s">
        <v>92</v>
      </c>
      <c r="AG785" s="4" t="s">
        <v>88</v>
      </c>
      <c r="AH785" s="3">
        <v>14</v>
      </c>
    </row>
    <row r="786" spans="1:34">
      <c r="A786" s="4" t="s">
        <v>1657</v>
      </c>
      <c r="B786" s="3">
        <v>38</v>
      </c>
      <c r="C786" s="9" t="str" cm="1">
        <f t="array" ref="C786">_xlfn.IFS(B786&gt;65,"+65",B786&gt;54,"55-65",B786&gt;44,"45-54",B786&gt;35,"36-44",B786&gt;25,"26-35",B786&gt;=18,"18-25")</f>
        <v>36-44</v>
      </c>
      <c r="D786" s="4" t="s">
        <v>225</v>
      </c>
      <c r="E786" s="4" t="s">
        <v>51</v>
      </c>
      <c r="F786" s="4" t="s">
        <v>67</v>
      </c>
      <c r="G786" s="4" t="s">
        <v>68</v>
      </c>
      <c r="H786" s="4" t="s">
        <v>1658</v>
      </c>
      <c r="I786" s="4" t="s">
        <v>146</v>
      </c>
      <c r="J786" s="5">
        <v>374.36</v>
      </c>
      <c r="K786" s="3">
        <v>4</v>
      </c>
      <c r="L786" s="4" t="str">
        <f>IF(AND(J786&gt;350,K786&gt;6), "True","False")</f>
        <v>False</v>
      </c>
      <c r="M786" s="4" t="s">
        <v>56</v>
      </c>
      <c r="N786" s="3">
        <v>2</v>
      </c>
      <c r="O786" s="4" t="str" cm="1">
        <f t="array" ref="O786">_xlfn.IFS(P786&lt;=2,"Poor",P786=3,"Average",P786&gt;=4,"Good")</f>
        <v>Poor</v>
      </c>
      <c r="P786" s="3">
        <v>2</v>
      </c>
      <c r="Q786" s="2">
        <v>0</v>
      </c>
      <c r="R786" s="4" t="s">
        <v>57</v>
      </c>
      <c r="S786" s="4" t="s">
        <v>84</v>
      </c>
      <c r="T786" s="3">
        <v>1</v>
      </c>
      <c r="U786" s="4" t="str" cm="1">
        <f t="array" ref="U786">_xlfn.IFS(V786&lt;=4, "Dissatisfied",V786&lt;=7,"Neutral",V786&gt;=8,"Satisfied")</f>
        <v>Satisfied</v>
      </c>
      <c r="V786" s="3">
        <v>9</v>
      </c>
      <c r="W786" s="4" t="s">
        <v>57</v>
      </c>
      <c r="X786" s="4" t="s">
        <v>60</v>
      </c>
      <c r="Y786" s="4" t="s">
        <v>111</v>
      </c>
      <c r="Z786" s="1">
        <v>45568</v>
      </c>
      <c r="AA786" s="4" t="str" cm="1">
        <f t="array" ref="AA786">_xlfn.IFS(OR(AB786="December", AB786="February", AB786="January"), "Winter", OR(AB786="March", AB786="April", AB786="May"), "Spring", OR(AB786="June", AB786="July", AB786="August"), "Summer", TRUE, "Autumn")</f>
        <v>Autumn</v>
      </c>
      <c r="AB786" s="7" t="str">
        <f>TEXT(Z786, "mmmm")</f>
        <v>October</v>
      </c>
      <c r="AC786" s="1" t="str">
        <f>TEXT(Z786, "dddd")</f>
        <v>Thursday</v>
      </c>
      <c r="AD786" s="4" t="s">
        <v>76</v>
      </c>
      <c r="AE786" s="4" t="s">
        <v>76</v>
      </c>
      <c r="AF786" s="4" t="s">
        <v>102</v>
      </c>
      <c r="AG786" s="4" t="s">
        <v>64</v>
      </c>
      <c r="AH786" s="3">
        <v>1</v>
      </c>
    </row>
    <row r="787" spans="1:34">
      <c r="A787" s="4" t="s">
        <v>1659</v>
      </c>
      <c r="B787" s="3">
        <v>27</v>
      </c>
      <c r="C787" s="9" t="str" cm="1">
        <f t="array" ref="C787">_xlfn.IFS(B787&gt;65,"+65",B787&gt;54,"55-65",B787&gt;44,"45-54",B787&gt;35,"36-44",B787&gt;25,"26-35",B787&gt;=18,"18-25")</f>
        <v>26-35</v>
      </c>
      <c r="D787" s="4" t="s">
        <v>78</v>
      </c>
      <c r="E787" s="4" t="s">
        <v>72</v>
      </c>
      <c r="F787" s="4" t="s">
        <v>95</v>
      </c>
      <c r="G787" s="4" t="s">
        <v>53</v>
      </c>
      <c r="H787" s="4" t="s">
        <v>1660</v>
      </c>
      <c r="I787" s="4" t="s">
        <v>146</v>
      </c>
      <c r="J787" s="5">
        <v>122.99</v>
      </c>
      <c r="K787" s="3">
        <v>12</v>
      </c>
      <c r="L787" s="4" t="str">
        <f>IF(AND(J787&gt;350,K787&gt;6), "True","False")</f>
        <v>False</v>
      </c>
      <c r="M787" s="4" t="s">
        <v>71</v>
      </c>
      <c r="N787" s="3">
        <v>1</v>
      </c>
      <c r="O787" s="4" t="str" cm="1">
        <f t="array" ref="O787">_xlfn.IFS(P787&lt;=2,"Poor",P787=3,"Average",P787&gt;=4,"Good")</f>
        <v>Good</v>
      </c>
      <c r="P787" s="3">
        <v>5</v>
      </c>
      <c r="Q787" s="2">
        <v>1</v>
      </c>
      <c r="R787" s="4" t="s">
        <v>72</v>
      </c>
      <c r="S787" s="4" t="s">
        <v>73</v>
      </c>
      <c r="T787" s="3">
        <v>1</v>
      </c>
      <c r="U787" s="4" t="str" cm="1">
        <f t="array" ref="U787">_xlfn.IFS(V787&lt;=4, "Dissatisfied",V787&lt;=7,"Neutral",V787&gt;=8,"Satisfied")</f>
        <v>Satisfied</v>
      </c>
      <c r="V787" s="3">
        <v>8</v>
      </c>
      <c r="W787" s="4" t="s">
        <v>57</v>
      </c>
      <c r="X787" s="4" t="s">
        <v>101</v>
      </c>
      <c r="Y787" s="4" t="s">
        <v>61</v>
      </c>
      <c r="Z787" s="1">
        <v>45568</v>
      </c>
      <c r="AA787" s="4" t="str" cm="1">
        <f t="array" ref="AA787">_xlfn.IFS(OR(AB787="December", AB787="February", AB787="January"), "Winter", OR(AB787="March", AB787="April", AB787="May"), "Spring", OR(AB787="June", AB787="July", AB787="August"), "Summer", TRUE, "Autumn")</f>
        <v>Autumn</v>
      </c>
      <c r="AB787" s="7" t="str">
        <f>TEXT(Z787, "mmmm")</f>
        <v>October</v>
      </c>
      <c r="AC787" s="1" t="str">
        <f>TEXT(Z787, "dddd")</f>
        <v>Thursday</v>
      </c>
      <c r="AD787" s="4" t="s">
        <v>62</v>
      </c>
      <c r="AE787" s="4" t="s">
        <v>76</v>
      </c>
      <c r="AF787" s="4" t="s">
        <v>87</v>
      </c>
      <c r="AG787" s="4" t="s">
        <v>88</v>
      </c>
      <c r="AH787" s="3">
        <v>1</v>
      </c>
    </row>
    <row r="788" spans="1:34">
      <c r="A788" s="4" t="s">
        <v>1661</v>
      </c>
      <c r="B788" s="3">
        <v>47</v>
      </c>
      <c r="C788" s="9" t="str" cm="1">
        <f t="array" ref="C788">_xlfn.IFS(B788&gt;65,"+65",B788&gt;54,"55-65",B788&gt;44,"45-54",B788&gt;35,"36-44",B788&gt;25,"26-35",B788&gt;=18,"18-25")</f>
        <v>45-54</v>
      </c>
      <c r="D788" s="4" t="s">
        <v>78</v>
      </c>
      <c r="E788" s="4" t="s">
        <v>51</v>
      </c>
      <c r="F788" s="4" t="s">
        <v>79</v>
      </c>
      <c r="G788" s="4" t="s">
        <v>68</v>
      </c>
      <c r="H788" s="4" t="s">
        <v>1662</v>
      </c>
      <c r="I788" s="4" t="s">
        <v>156</v>
      </c>
      <c r="J788" s="5">
        <v>85.61</v>
      </c>
      <c r="K788" s="3">
        <v>2</v>
      </c>
      <c r="L788" s="4" t="str">
        <f>IF(AND(J788&gt;350,K788&gt;6), "True","False")</f>
        <v>False</v>
      </c>
      <c r="M788" s="4" t="s">
        <v>56</v>
      </c>
      <c r="N788" s="3">
        <v>4</v>
      </c>
      <c r="O788" s="4" t="str" cm="1">
        <f t="array" ref="O788">_xlfn.IFS(P788&lt;=2,"Poor",P788=3,"Average",P788&gt;=4,"Good")</f>
        <v>Poor</v>
      </c>
      <c r="P788" s="3">
        <v>2</v>
      </c>
      <c r="Q788" s="2">
        <v>1</v>
      </c>
      <c r="R788" s="4" t="s">
        <v>72</v>
      </c>
      <c r="S788" s="4" t="s">
        <v>58</v>
      </c>
      <c r="T788" s="3">
        <v>1</v>
      </c>
      <c r="U788" s="4" t="str" cm="1">
        <f t="array" ref="U788">_xlfn.IFS(V788&lt;=4, "Dissatisfied",V788&lt;=7,"Neutral",V788&gt;=8,"Satisfied")</f>
        <v>Dissatisfied</v>
      </c>
      <c r="V788" s="3">
        <v>3</v>
      </c>
      <c r="W788" s="4" t="s">
        <v>59</v>
      </c>
      <c r="X788" s="4" t="s">
        <v>101</v>
      </c>
      <c r="Y788" s="4" t="s">
        <v>111</v>
      </c>
      <c r="Z788" s="1">
        <v>45569</v>
      </c>
      <c r="AA788" s="4" t="str" cm="1">
        <f t="array" ref="AA788">_xlfn.IFS(OR(AB788="December", AB788="February", AB788="January"), "Winter", OR(AB788="March", AB788="April", AB788="May"), "Spring", OR(AB788="June", AB788="July", AB788="August"), "Summer", TRUE, "Autumn")</f>
        <v>Autumn</v>
      </c>
      <c r="AB788" s="7" t="str">
        <f>TEXT(Z788, "mmmm")</f>
        <v>October</v>
      </c>
      <c r="AC788" s="1" t="str">
        <f>TEXT(Z788, "dddd")</f>
        <v>Friday</v>
      </c>
      <c r="AD788" s="4" t="s">
        <v>62</v>
      </c>
      <c r="AE788" s="4" t="s">
        <v>62</v>
      </c>
      <c r="AF788" s="4" t="s">
        <v>63</v>
      </c>
      <c r="AG788" s="4" t="s">
        <v>64</v>
      </c>
      <c r="AH788" s="3">
        <v>5</v>
      </c>
    </row>
    <row r="789" spans="1:34">
      <c r="A789" s="4" t="s">
        <v>1663</v>
      </c>
      <c r="B789" s="3">
        <v>29</v>
      </c>
      <c r="C789" s="9" t="str" cm="1">
        <f t="array" ref="C789">_xlfn.IFS(B789&gt;65,"+65",B789&gt;54,"55-65",B789&gt;44,"45-54",B789&gt;35,"36-44",B789&gt;25,"26-35",B789&gt;=18,"18-25")</f>
        <v>26-35</v>
      </c>
      <c r="D789" s="4" t="s">
        <v>78</v>
      </c>
      <c r="E789" s="4" t="s">
        <v>51</v>
      </c>
      <c r="F789" s="4" t="s">
        <v>52</v>
      </c>
      <c r="G789" s="4" t="s">
        <v>68</v>
      </c>
      <c r="H789" s="4" t="s">
        <v>218</v>
      </c>
      <c r="I789" s="4" t="s">
        <v>118</v>
      </c>
      <c r="J789" s="5">
        <v>101.31</v>
      </c>
      <c r="K789" s="3">
        <v>6</v>
      </c>
      <c r="L789" s="4" t="str">
        <f>IF(AND(J789&gt;350,K789&gt;6), "True","False")</f>
        <v>False</v>
      </c>
      <c r="M789" s="4" t="s">
        <v>83</v>
      </c>
      <c r="N789" s="3">
        <v>3</v>
      </c>
      <c r="O789" s="4" t="str" cm="1">
        <f t="array" ref="O789">_xlfn.IFS(P789&lt;=2,"Poor",P789=3,"Average",P789&gt;=4,"Good")</f>
        <v>Poor</v>
      </c>
      <c r="P789" s="3">
        <v>1</v>
      </c>
      <c r="Q789" s="2">
        <v>1</v>
      </c>
      <c r="R789" s="4" t="s">
        <v>72</v>
      </c>
      <c r="S789" s="4" t="s">
        <v>84</v>
      </c>
      <c r="T789" s="3">
        <v>0</v>
      </c>
      <c r="U789" s="4" t="str" cm="1">
        <f t="array" ref="U789">_xlfn.IFS(V789&lt;=4, "Dissatisfied",V789&lt;=7,"Neutral",V789&gt;=8,"Satisfied")</f>
        <v>Dissatisfied</v>
      </c>
      <c r="V789" s="3">
        <v>1</v>
      </c>
      <c r="W789" s="4" t="s">
        <v>57</v>
      </c>
      <c r="X789" s="4" t="s">
        <v>60</v>
      </c>
      <c r="Y789" s="4" t="s">
        <v>111</v>
      </c>
      <c r="Z789" s="1">
        <v>45569</v>
      </c>
      <c r="AA789" s="4" t="str" cm="1">
        <f t="array" ref="AA789">_xlfn.IFS(OR(AB789="December", AB789="February", AB789="January"), "Winter", OR(AB789="March", AB789="April", AB789="May"), "Spring", OR(AB789="June", AB789="July", AB789="August"), "Summer", TRUE, "Autumn")</f>
        <v>Autumn</v>
      </c>
      <c r="AB789" s="7" t="str">
        <f>TEXT(Z789, "mmmm")</f>
        <v>October</v>
      </c>
      <c r="AC789" s="1" t="str">
        <f>TEXT(Z789, "dddd")</f>
        <v>Friday</v>
      </c>
      <c r="AD789" s="4" t="s">
        <v>62</v>
      </c>
      <c r="AE789" s="4" t="s">
        <v>62</v>
      </c>
      <c r="AF789" s="4" t="s">
        <v>63</v>
      </c>
      <c r="AG789" s="4" t="s">
        <v>93</v>
      </c>
      <c r="AH789" s="3">
        <v>10</v>
      </c>
    </row>
    <row r="790" spans="1:34">
      <c r="A790" s="4" t="s">
        <v>1664</v>
      </c>
      <c r="B790" s="3">
        <v>49</v>
      </c>
      <c r="C790" s="9" t="str" cm="1">
        <f t="array" ref="C790">_xlfn.IFS(B790&gt;65,"+65",B790&gt;54,"55-65",B790&gt;44,"45-54",B790&gt;35,"36-44",B790&gt;25,"26-35",B790&gt;=18,"18-25")</f>
        <v>45-54</v>
      </c>
      <c r="D790" s="4" t="s">
        <v>66</v>
      </c>
      <c r="E790" s="4" t="s">
        <v>72</v>
      </c>
      <c r="F790" s="4" t="s">
        <v>52</v>
      </c>
      <c r="G790" s="4" t="s">
        <v>80</v>
      </c>
      <c r="H790" s="4" t="s">
        <v>1665</v>
      </c>
      <c r="I790" s="4" t="s">
        <v>151</v>
      </c>
      <c r="J790" s="5">
        <v>411.62</v>
      </c>
      <c r="K790" s="3">
        <v>6</v>
      </c>
      <c r="L790" s="4" t="str">
        <f>IF(AND(J790&gt;350,K790&gt;6), "True","False")</f>
        <v>False</v>
      </c>
      <c r="M790" s="4" t="s">
        <v>83</v>
      </c>
      <c r="N790" s="3">
        <v>2</v>
      </c>
      <c r="O790" s="4" t="str" cm="1">
        <f t="array" ref="O790">_xlfn.IFS(P790&lt;=2,"Poor",P790=3,"Average",P790&gt;=4,"Good")</f>
        <v>Poor</v>
      </c>
      <c r="P790" s="3">
        <v>1</v>
      </c>
      <c r="Q790" s="2">
        <v>0</v>
      </c>
      <c r="R790" s="4" t="s">
        <v>85</v>
      </c>
      <c r="S790" s="4" t="s">
        <v>84</v>
      </c>
      <c r="T790" s="3">
        <v>2</v>
      </c>
      <c r="U790" s="4" t="str" cm="1">
        <f t="array" ref="U790">_xlfn.IFS(V790&lt;=4, "Dissatisfied",V790&lt;=7,"Neutral",V790&gt;=8,"Satisfied")</f>
        <v>Neutral</v>
      </c>
      <c r="V790" s="3">
        <v>7</v>
      </c>
      <c r="W790" s="4" t="s">
        <v>85</v>
      </c>
      <c r="X790" s="4" t="s">
        <v>74</v>
      </c>
      <c r="Y790" s="4" t="s">
        <v>86</v>
      </c>
      <c r="Z790" s="1">
        <v>45570</v>
      </c>
      <c r="AA790" s="4" t="str" cm="1">
        <f t="array" ref="AA790">_xlfn.IFS(OR(AB790="December", AB790="February", AB790="January"), "Winter", OR(AB790="March", AB790="April", AB790="May"), "Spring", OR(AB790="June", AB790="July", AB790="August"), "Summer", TRUE, "Autumn")</f>
        <v>Autumn</v>
      </c>
      <c r="AB790" s="7" t="str">
        <f>TEXT(Z790, "mmmm")</f>
        <v>October</v>
      </c>
      <c r="AC790" s="1" t="str">
        <f>TEXT(Z790, "dddd")</f>
        <v>Saturday</v>
      </c>
      <c r="AD790" s="4" t="s">
        <v>62</v>
      </c>
      <c r="AE790" s="4" t="s">
        <v>76</v>
      </c>
      <c r="AF790" s="4" t="s">
        <v>102</v>
      </c>
      <c r="AG790" s="4" t="s">
        <v>93</v>
      </c>
      <c r="AH790" s="3">
        <v>12</v>
      </c>
    </row>
    <row r="791" spans="1:34">
      <c r="A791" s="4" t="s">
        <v>1666</v>
      </c>
      <c r="B791" s="3">
        <v>27</v>
      </c>
      <c r="C791" s="9" t="str" cm="1">
        <f t="array" ref="C791">_xlfn.IFS(B791&gt;65,"+65",B791&gt;54,"55-65",B791&gt;44,"45-54",B791&gt;35,"36-44",B791&gt;25,"26-35",B791&gt;=18,"18-25")</f>
        <v>26-35</v>
      </c>
      <c r="D791" s="4" t="s">
        <v>78</v>
      </c>
      <c r="E791" s="4" t="s">
        <v>72</v>
      </c>
      <c r="F791" s="4" t="s">
        <v>52</v>
      </c>
      <c r="G791" s="4" t="s">
        <v>53</v>
      </c>
      <c r="H791" s="4" t="s">
        <v>1667</v>
      </c>
      <c r="I791" s="4" t="s">
        <v>275</v>
      </c>
      <c r="J791" s="5">
        <v>242.57</v>
      </c>
      <c r="K791" s="3">
        <v>7</v>
      </c>
      <c r="L791" s="4" t="str">
        <f>IF(AND(J791&gt;350,K791&gt;6), "True","False")</f>
        <v>False</v>
      </c>
      <c r="M791" s="4" t="s">
        <v>71</v>
      </c>
      <c r="N791" s="3">
        <v>1</v>
      </c>
      <c r="O791" s="4" t="str" cm="1">
        <f t="array" ref="O791">_xlfn.IFS(P791&lt;=2,"Poor",P791=3,"Average",P791&gt;=4,"Good")</f>
        <v>Poor</v>
      </c>
      <c r="P791" s="3">
        <v>1</v>
      </c>
      <c r="Q791" s="2">
        <v>1</v>
      </c>
      <c r="R791" s="4" t="s">
        <v>59</v>
      </c>
      <c r="S791" s="4" t="s">
        <v>58</v>
      </c>
      <c r="T791" s="3">
        <v>0</v>
      </c>
      <c r="U791" s="4" t="str" cm="1">
        <f t="array" ref="U791">_xlfn.IFS(V791&lt;=4, "Dissatisfied",V791&lt;=7,"Neutral",V791&gt;=8,"Satisfied")</f>
        <v>Satisfied</v>
      </c>
      <c r="V791" s="3">
        <v>10</v>
      </c>
      <c r="W791" s="4" t="s">
        <v>59</v>
      </c>
      <c r="X791" s="4" t="s">
        <v>60</v>
      </c>
      <c r="Y791" s="4" t="s">
        <v>86</v>
      </c>
      <c r="Z791" s="1">
        <v>45570</v>
      </c>
      <c r="AA791" s="4" t="str" cm="1">
        <f t="array" ref="AA791">_xlfn.IFS(OR(AB791="December", AB791="February", AB791="January"), "Winter", OR(AB791="March", AB791="April", AB791="May"), "Spring", OR(AB791="June", AB791="July", AB791="August"), "Summer", TRUE, "Autumn")</f>
        <v>Autumn</v>
      </c>
      <c r="AB791" s="7" t="str">
        <f>TEXT(Z791, "mmmm")</f>
        <v>October</v>
      </c>
      <c r="AC791" s="1" t="str">
        <f>TEXT(Z791, "dddd")</f>
        <v>Saturday</v>
      </c>
      <c r="AD791" s="4" t="s">
        <v>62</v>
      </c>
      <c r="AE791" s="4" t="s">
        <v>76</v>
      </c>
      <c r="AF791" s="4" t="s">
        <v>102</v>
      </c>
      <c r="AG791" s="4" t="s">
        <v>88</v>
      </c>
      <c r="AH791" s="3">
        <v>1</v>
      </c>
    </row>
    <row r="792" spans="1:34">
      <c r="A792" s="4" t="s">
        <v>1668</v>
      </c>
      <c r="B792" s="3">
        <v>21</v>
      </c>
      <c r="C792" s="9" t="str" cm="1">
        <f t="array" ref="C792">_xlfn.IFS(B792&gt;65,"+65",B792&gt;54,"55-65",B792&gt;44,"45-54",B792&gt;35,"36-44",B792&gt;25,"26-35",B792&gt;=18,"18-25")</f>
        <v>18-25</v>
      </c>
      <c r="D792" s="4" t="s">
        <v>66</v>
      </c>
      <c r="E792" s="4" t="s">
        <v>72</v>
      </c>
      <c r="F792" s="4" t="s">
        <v>95</v>
      </c>
      <c r="G792" s="4" t="s">
        <v>53</v>
      </c>
      <c r="H792" s="4" t="s">
        <v>1669</v>
      </c>
      <c r="I792" s="4" t="s">
        <v>82</v>
      </c>
      <c r="J792" s="5">
        <v>162.31</v>
      </c>
      <c r="K792" s="3">
        <v>8</v>
      </c>
      <c r="L792" s="4" t="str">
        <f>IF(AND(J792&gt;350,K792&gt;6), "True","False")</f>
        <v>False</v>
      </c>
      <c r="M792" s="4" t="s">
        <v>71</v>
      </c>
      <c r="N792" s="3">
        <v>5</v>
      </c>
      <c r="O792" s="4" t="str" cm="1">
        <f t="array" ref="O792">_xlfn.IFS(P792&lt;=2,"Poor",P792=3,"Average",P792&gt;=4,"Good")</f>
        <v>Poor</v>
      </c>
      <c r="P792" s="3">
        <v>1</v>
      </c>
      <c r="Q792" s="2">
        <v>1</v>
      </c>
      <c r="R792" s="4" t="s">
        <v>72</v>
      </c>
      <c r="S792" s="4" t="s">
        <v>73</v>
      </c>
      <c r="T792" s="3">
        <v>1</v>
      </c>
      <c r="U792" s="4" t="str" cm="1">
        <f t="array" ref="U792">_xlfn.IFS(V792&lt;=4, "Dissatisfied",V792&lt;=7,"Neutral",V792&gt;=8,"Satisfied")</f>
        <v>Dissatisfied</v>
      </c>
      <c r="V792" s="3">
        <v>2</v>
      </c>
      <c r="W792" s="4" t="s">
        <v>85</v>
      </c>
      <c r="X792" s="4" t="s">
        <v>74</v>
      </c>
      <c r="Y792" s="4" t="s">
        <v>119</v>
      </c>
      <c r="Z792" s="1">
        <v>45570</v>
      </c>
      <c r="AA792" s="4" t="str" cm="1">
        <f t="array" ref="AA792">_xlfn.IFS(OR(AB792="December", AB792="February", AB792="January"), "Winter", OR(AB792="March", AB792="April", AB792="May"), "Spring", OR(AB792="June", AB792="July", AB792="August"), "Summer", TRUE, "Autumn")</f>
        <v>Autumn</v>
      </c>
      <c r="AB792" s="7" t="str">
        <f>TEXT(Z792, "mmmm")</f>
        <v>October</v>
      </c>
      <c r="AC792" s="1" t="str">
        <f>TEXT(Z792, "dddd")</f>
        <v>Saturday</v>
      </c>
      <c r="AD792" s="4" t="s">
        <v>76</v>
      </c>
      <c r="AE792" s="4" t="s">
        <v>76</v>
      </c>
      <c r="AF792" s="4" t="s">
        <v>63</v>
      </c>
      <c r="AG792" s="4" t="s">
        <v>88</v>
      </c>
      <c r="AH792" s="3">
        <v>11</v>
      </c>
    </row>
    <row r="793" spans="1:34">
      <c r="A793" s="4" t="s">
        <v>1670</v>
      </c>
      <c r="B793" s="3">
        <v>19</v>
      </c>
      <c r="C793" s="9" t="str" cm="1">
        <f t="array" ref="C793">_xlfn.IFS(B793&gt;65,"+65",B793&gt;54,"55-65",B793&gt;44,"45-54",B793&gt;35,"36-44",B793&gt;25,"26-35",B793&gt;=18,"18-25")</f>
        <v>18-25</v>
      </c>
      <c r="D793" s="4" t="s">
        <v>232</v>
      </c>
      <c r="E793" s="4" t="s">
        <v>72</v>
      </c>
      <c r="F793" s="4" t="s">
        <v>79</v>
      </c>
      <c r="G793" s="4" t="s">
        <v>80</v>
      </c>
      <c r="H793" s="4" t="s">
        <v>1671</v>
      </c>
      <c r="I793" s="4" t="s">
        <v>100</v>
      </c>
      <c r="J793" s="5">
        <v>333.32</v>
      </c>
      <c r="K793" s="3">
        <v>8</v>
      </c>
      <c r="L793" s="4" t="str">
        <f>IF(AND(J793&gt;350,K793&gt;6), "True","False")</f>
        <v>False</v>
      </c>
      <c r="M793" s="4" t="s">
        <v>56</v>
      </c>
      <c r="N793" s="3">
        <v>1</v>
      </c>
      <c r="O793" s="4" t="str" cm="1">
        <f t="array" ref="O793">_xlfn.IFS(P793&lt;=2,"Poor",P793=3,"Average",P793&gt;=4,"Good")</f>
        <v>Good</v>
      </c>
      <c r="P793" s="3">
        <v>5</v>
      </c>
      <c r="Q793" s="2">
        <v>0</v>
      </c>
      <c r="R793" s="4" t="s">
        <v>59</v>
      </c>
      <c r="S793" s="4" t="s">
        <v>73</v>
      </c>
      <c r="T793" s="3">
        <v>0</v>
      </c>
      <c r="U793" s="4" t="str" cm="1">
        <f t="array" ref="U793">_xlfn.IFS(V793&lt;=4, "Dissatisfied",V793&lt;=7,"Neutral",V793&gt;=8,"Satisfied")</f>
        <v>Dissatisfied</v>
      </c>
      <c r="V793" s="3">
        <v>3</v>
      </c>
      <c r="W793" s="4" t="s">
        <v>72</v>
      </c>
      <c r="X793" s="4" t="s">
        <v>60</v>
      </c>
      <c r="Y793" s="4" t="s">
        <v>119</v>
      </c>
      <c r="Z793" s="1">
        <v>45570</v>
      </c>
      <c r="AA793" s="4" t="str" cm="1">
        <f t="array" ref="AA793">_xlfn.IFS(OR(AB793="December", AB793="February", AB793="January"), "Winter", OR(AB793="March", AB793="April", AB793="May"), "Spring", OR(AB793="June", AB793="July", AB793="August"), "Summer", TRUE, "Autumn")</f>
        <v>Autumn</v>
      </c>
      <c r="AB793" s="7" t="str">
        <f>TEXT(Z793, "mmmm")</f>
        <v>October</v>
      </c>
      <c r="AC793" s="1" t="str">
        <f>TEXT(Z793, "dddd")</f>
        <v>Saturday</v>
      </c>
      <c r="AD793" s="4" t="s">
        <v>62</v>
      </c>
      <c r="AE793" s="4" t="s">
        <v>76</v>
      </c>
      <c r="AF793" s="4" t="s">
        <v>87</v>
      </c>
      <c r="AG793" s="4" t="s">
        <v>88</v>
      </c>
      <c r="AH793" s="3">
        <v>3</v>
      </c>
    </row>
    <row r="794" spans="1:34">
      <c r="A794" s="4" t="s">
        <v>1672</v>
      </c>
      <c r="B794" s="3">
        <v>42</v>
      </c>
      <c r="C794" s="9" t="str" cm="1">
        <f t="array" ref="C794">_xlfn.IFS(B794&gt;65,"+65",B794&gt;54,"55-65",B794&gt;44,"45-54",B794&gt;35,"36-44",B794&gt;25,"26-35",B794&gt;=18,"18-25")</f>
        <v>36-44</v>
      </c>
      <c r="D794" s="4" t="s">
        <v>78</v>
      </c>
      <c r="E794" s="4" t="s">
        <v>72</v>
      </c>
      <c r="F794" s="4" t="s">
        <v>52</v>
      </c>
      <c r="G794" s="4" t="s">
        <v>80</v>
      </c>
      <c r="H794" s="4" t="s">
        <v>1673</v>
      </c>
      <c r="I794" s="4" t="s">
        <v>97</v>
      </c>
      <c r="J794" s="5">
        <v>393.45</v>
      </c>
      <c r="K794" s="3">
        <v>12</v>
      </c>
      <c r="L794" s="4" t="str">
        <f>IF(AND(J794&gt;350,K794&gt;6), "True","False")</f>
        <v>True</v>
      </c>
      <c r="M794" s="4" t="s">
        <v>71</v>
      </c>
      <c r="N794" s="3">
        <v>3</v>
      </c>
      <c r="O794" s="4" t="str" cm="1">
        <f t="array" ref="O794">_xlfn.IFS(P794&lt;=2,"Poor",P794=3,"Average",P794&gt;=4,"Good")</f>
        <v>Poor</v>
      </c>
      <c r="P794" s="3">
        <v>1</v>
      </c>
      <c r="Q794" s="2">
        <v>0</v>
      </c>
      <c r="R794" s="4" t="s">
        <v>59</v>
      </c>
      <c r="S794" s="4" t="s">
        <v>84</v>
      </c>
      <c r="T794" s="3">
        <v>2</v>
      </c>
      <c r="U794" s="4" t="str" cm="1">
        <f t="array" ref="U794">_xlfn.IFS(V794&lt;=4, "Dissatisfied",V794&lt;=7,"Neutral",V794&gt;=8,"Satisfied")</f>
        <v>Satisfied</v>
      </c>
      <c r="V794" s="3">
        <v>10</v>
      </c>
      <c r="W794" s="4" t="s">
        <v>85</v>
      </c>
      <c r="X794" s="4" t="s">
        <v>101</v>
      </c>
      <c r="Y794" s="4" t="s">
        <v>119</v>
      </c>
      <c r="Z794" s="1">
        <v>45571</v>
      </c>
      <c r="AA794" s="4" t="str" cm="1">
        <f t="array" ref="AA794">_xlfn.IFS(OR(AB794="December", AB794="February", AB794="January"), "Winter", OR(AB794="March", AB794="April", AB794="May"), "Spring", OR(AB794="June", AB794="July", AB794="August"), "Summer", TRUE, "Autumn")</f>
        <v>Autumn</v>
      </c>
      <c r="AB794" s="7" t="str">
        <f>TEXT(Z794, "mmmm")</f>
        <v>October</v>
      </c>
      <c r="AC794" s="1" t="str">
        <f>TEXT(Z794, "dddd")</f>
        <v>Sunday</v>
      </c>
      <c r="AD794" s="4" t="s">
        <v>76</v>
      </c>
      <c r="AE794" s="4" t="s">
        <v>76</v>
      </c>
      <c r="AF794" s="4" t="s">
        <v>63</v>
      </c>
      <c r="AG794" s="4" t="s">
        <v>93</v>
      </c>
      <c r="AH794" s="3">
        <v>12</v>
      </c>
    </row>
    <row r="795" spans="1:34">
      <c r="A795" s="4" t="s">
        <v>1674</v>
      </c>
      <c r="B795" s="3">
        <v>39</v>
      </c>
      <c r="C795" s="9" t="str" cm="1">
        <f t="array" ref="C795">_xlfn.IFS(B795&gt;65,"+65",B795&gt;54,"55-65",B795&gt;44,"45-54",B795&gt;35,"36-44",B795&gt;25,"26-35",B795&gt;=18,"18-25")</f>
        <v>36-44</v>
      </c>
      <c r="D795" s="4" t="s">
        <v>66</v>
      </c>
      <c r="E795" s="4" t="s">
        <v>51</v>
      </c>
      <c r="F795" s="4" t="s">
        <v>52</v>
      </c>
      <c r="G795" s="4" t="s">
        <v>68</v>
      </c>
      <c r="H795" s="4" t="s">
        <v>1675</v>
      </c>
      <c r="I795" s="4" t="s">
        <v>100</v>
      </c>
      <c r="J795" s="5">
        <v>85.03</v>
      </c>
      <c r="K795" s="3">
        <v>9</v>
      </c>
      <c r="L795" s="4" t="str">
        <f>IF(AND(J795&gt;350,K795&gt;6), "True","False")</f>
        <v>False</v>
      </c>
      <c r="M795" s="4" t="s">
        <v>71</v>
      </c>
      <c r="N795" s="3">
        <v>5</v>
      </c>
      <c r="O795" s="4" t="str" cm="1">
        <f t="array" ref="O795">_xlfn.IFS(P795&lt;=2,"Poor",P795=3,"Average",P795&gt;=4,"Good")</f>
        <v>Good</v>
      </c>
      <c r="P795" s="3">
        <v>4</v>
      </c>
      <c r="Q795" s="2">
        <v>1</v>
      </c>
      <c r="R795" s="4" t="s">
        <v>85</v>
      </c>
      <c r="S795" s="4" t="s">
        <v>58</v>
      </c>
      <c r="T795" s="3">
        <v>0</v>
      </c>
      <c r="U795" s="4" t="str" cm="1">
        <f t="array" ref="U795">_xlfn.IFS(V795&lt;=4, "Dissatisfied",V795&lt;=7,"Neutral",V795&gt;=8,"Satisfied")</f>
        <v>Satisfied</v>
      </c>
      <c r="V795" s="3">
        <v>9</v>
      </c>
      <c r="W795" s="4" t="s">
        <v>72</v>
      </c>
      <c r="X795" s="4" t="s">
        <v>60</v>
      </c>
      <c r="Y795" s="4" t="s">
        <v>119</v>
      </c>
      <c r="Z795" s="1">
        <v>45571</v>
      </c>
      <c r="AA795" s="4" t="str" cm="1">
        <f t="array" ref="AA795">_xlfn.IFS(OR(AB795="December", AB795="February", AB795="January"), "Winter", OR(AB795="March", AB795="April", AB795="May"), "Spring", OR(AB795="June", AB795="July", AB795="August"), "Summer", TRUE, "Autumn")</f>
        <v>Autumn</v>
      </c>
      <c r="AB795" s="7" t="str">
        <f>TEXT(Z795, "mmmm")</f>
        <v>October</v>
      </c>
      <c r="AC795" s="1" t="str">
        <f>TEXT(Z795, "dddd")</f>
        <v>Sunday</v>
      </c>
      <c r="AD795" s="4" t="s">
        <v>62</v>
      </c>
      <c r="AE795" s="4" t="s">
        <v>62</v>
      </c>
      <c r="AF795" s="4" t="s">
        <v>102</v>
      </c>
      <c r="AG795" s="4" t="s">
        <v>93</v>
      </c>
      <c r="AH795" s="3">
        <v>8</v>
      </c>
    </row>
    <row r="796" spans="1:34">
      <c r="A796" s="4" t="s">
        <v>1676</v>
      </c>
      <c r="B796" s="3">
        <v>27</v>
      </c>
      <c r="C796" s="9" t="str" cm="1">
        <f t="array" ref="C796">_xlfn.IFS(B796&gt;65,"+65",B796&gt;54,"55-65",B796&gt;44,"45-54",B796&gt;35,"36-44",B796&gt;25,"26-35",B796&gt;=18,"18-25")</f>
        <v>26-35</v>
      </c>
      <c r="D796" s="4" t="s">
        <v>66</v>
      </c>
      <c r="E796" s="4" t="s">
        <v>51</v>
      </c>
      <c r="F796" s="4" t="s">
        <v>67</v>
      </c>
      <c r="G796" s="4" t="s">
        <v>68</v>
      </c>
      <c r="H796" s="4" t="s">
        <v>1677</v>
      </c>
      <c r="I796" s="4" t="s">
        <v>110</v>
      </c>
      <c r="J796" s="5">
        <v>291.08999999999997</v>
      </c>
      <c r="K796" s="3">
        <v>11</v>
      </c>
      <c r="L796" s="4" t="str">
        <f>IF(AND(J796&gt;350,K796&gt;6), "True","False")</f>
        <v>False</v>
      </c>
      <c r="M796" s="4" t="s">
        <v>56</v>
      </c>
      <c r="N796" s="3">
        <v>2</v>
      </c>
      <c r="O796" s="4" t="str" cm="1">
        <f t="array" ref="O796">_xlfn.IFS(P796&lt;=2,"Poor",P796=3,"Average",P796&gt;=4,"Good")</f>
        <v>Poor</v>
      </c>
      <c r="P796" s="3">
        <v>2</v>
      </c>
      <c r="Q796" s="2">
        <v>2</v>
      </c>
      <c r="R796" s="4" t="s">
        <v>57</v>
      </c>
      <c r="S796" s="4" t="s">
        <v>84</v>
      </c>
      <c r="T796" s="3">
        <v>0</v>
      </c>
      <c r="U796" s="4" t="str" cm="1">
        <f t="array" ref="U796">_xlfn.IFS(V796&lt;=4, "Dissatisfied",V796&lt;=7,"Neutral",V796&gt;=8,"Satisfied")</f>
        <v>Satisfied</v>
      </c>
      <c r="V796" s="3">
        <v>9</v>
      </c>
      <c r="W796" s="4" t="s">
        <v>72</v>
      </c>
      <c r="X796" s="4" t="s">
        <v>60</v>
      </c>
      <c r="Y796" s="4" t="s">
        <v>86</v>
      </c>
      <c r="Z796" s="1">
        <v>45571</v>
      </c>
      <c r="AA796" s="4" t="str" cm="1">
        <f t="array" ref="AA796">_xlfn.IFS(OR(AB796="December", AB796="February", AB796="January"), "Winter", OR(AB796="March", AB796="April", AB796="May"), "Spring", OR(AB796="June", AB796="July", AB796="August"), "Summer", TRUE, "Autumn")</f>
        <v>Autumn</v>
      </c>
      <c r="AB796" s="7" t="str">
        <f>TEXT(Z796, "mmmm")</f>
        <v>October</v>
      </c>
      <c r="AC796" s="1" t="str">
        <f>TEXT(Z796, "dddd")</f>
        <v>Sunday</v>
      </c>
      <c r="AD796" s="4" t="s">
        <v>62</v>
      </c>
      <c r="AE796" s="4" t="s">
        <v>76</v>
      </c>
      <c r="AF796" s="4" t="s">
        <v>63</v>
      </c>
      <c r="AG796" s="4" t="s">
        <v>88</v>
      </c>
      <c r="AH796" s="3">
        <v>1</v>
      </c>
    </row>
    <row r="797" spans="1:34">
      <c r="A797" s="4" t="s">
        <v>1678</v>
      </c>
      <c r="B797" s="3">
        <v>50</v>
      </c>
      <c r="C797" s="9" t="str" cm="1">
        <f t="array" ref="C797">_xlfn.IFS(B797&gt;65,"+65",B797&gt;54,"55-65",B797&gt;44,"45-54",B797&gt;35,"36-44",B797&gt;25,"26-35",B797&gt;=18,"18-25")</f>
        <v>45-54</v>
      </c>
      <c r="D797" s="4" t="s">
        <v>456</v>
      </c>
      <c r="E797" s="4" t="s">
        <v>72</v>
      </c>
      <c r="F797" s="4" t="s">
        <v>67</v>
      </c>
      <c r="G797" s="4" t="s">
        <v>80</v>
      </c>
      <c r="H797" s="4" t="s">
        <v>1679</v>
      </c>
      <c r="I797" s="4" t="s">
        <v>156</v>
      </c>
      <c r="J797" s="5">
        <v>123.73</v>
      </c>
      <c r="K797" s="3">
        <v>9</v>
      </c>
      <c r="L797" s="4" t="str">
        <f>IF(AND(J797&gt;350,K797&gt;6), "True","False")</f>
        <v>False</v>
      </c>
      <c r="M797" s="4" t="s">
        <v>56</v>
      </c>
      <c r="N797" s="3">
        <v>1</v>
      </c>
      <c r="O797" s="4" t="str" cm="1">
        <f t="array" ref="O797">_xlfn.IFS(P797&lt;=2,"Poor",P797=3,"Average",P797&gt;=4,"Good")</f>
        <v>Good</v>
      </c>
      <c r="P797" s="3">
        <v>4</v>
      </c>
      <c r="Q797" s="2">
        <v>0</v>
      </c>
      <c r="R797" s="4" t="s">
        <v>72</v>
      </c>
      <c r="S797" s="4" t="s">
        <v>58</v>
      </c>
      <c r="T797" s="3">
        <v>2</v>
      </c>
      <c r="U797" s="4" t="str" cm="1">
        <f t="array" ref="U797">_xlfn.IFS(V797&lt;=4, "Dissatisfied",V797&lt;=7,"Neutral",V797&gt;=8,"Satisfied")</f>
        <v>Neutral</v>
      </c>
      <c r="V797" s="3">
        <v>5</v>
      </c>
      <c r="W797" s="4" t="s">
        <v>72</v>
      </c>
      <c r="X797" s="4" t="s">
        <v>60</v>
      </c>
      <c r="Y797" s="4" t="s">
        <v>119</v>
      </c>
      <c r="Z797" s="1">
        <v>45572</v>
      </c>
      <c r="AA797" s="4" t="str" cm="1">
        <f t="array" ref="AA797">_xlfn.IFS(OR(AB797="December", AB797="February", AB797="January"), "Winter", OR(AB797="March", AB797="April", AB797="May"), "Spring", OR(AB797="June", AB797="July", AB797="August"), "Summer", TRUE, "Autumn")</f>
        <v>Autumn</v>
      </c>
      <c r="AB797" s="7" t="str">
        <f>TEXT(Z797, "mmmm")</f>
        <v>October</v>
      </c>
      <c r="AC797" s="1" t="str">
        <f>TEXT(Z797, "dddd")</f>
        <v>Monday</v>
      </c>
      <c r="AD797" s="4" t="s">
        <v>76</v>
      </c>
      <c r="AE797" s="4" t="s">
        <v>62</v>
      </c>
      <c r="AF797" s="4" t="s">
        <v>63</v>
      </c>
      <c r="AG797" s="4" t="s">
        <v>88</v>
      </c>
      <c r="AH797" s="3">
        <v>10</v>
      </c>
    </row>
    <row r="798" spans="1:34">
      <c r="A798" s="4" t="s">
        <v>1680</v>
      </c>
      <c r="B798" s="3">
        <v>37</v>
      </c>
      <c r="C798" s="9" t="str" cm="1">
        <f t="array" ref="C798">_xlfn.IFS(B798&gt;65,"+65",B798&gt;54,"55-65",B798&gt;44,"45-54",B798&gt;35,"36-44",B798&gt;25,"26-35",B798&gt;=18,"18-25")</f>
        <v>36-44</v>
      </c>
      <c r="D798" s="4" t="s">
        <v>78</v>
      </c>
      <c r="E798" s="4" t="s">
        <v>72</v>
      </c>
      <c r="F798" s="4" t="s">
        <v>52</v>
      </c>
      <c r="G798" s="4" t="s">
        <v>53</v>
      </c>
      <c r="H798" s="4" t="s">
        <v>1681</v>
      </c>
      <c r="I798" s="4" t="s">
        <v>97</v>
      </c>
      <c r="J798" s="5">
        <v>183.86</v>
      </c>
      <c r="K798" s="3">
        <v>5</v>
      </c>
      <c r="L798" s="4" t="str">
        <f>IF(AND(J798&gt;350,K798&gt;6), "True","False")</f>
        <v>False</v>
      </c>
      <c r="M798" s="4" t="s">
        <v>83</v>
      </c>
      <c r="N798" s="3">
        <v>1</v>
      </c>
      <c r="O798" s="4" t="str" cm="1">
        <f t="array" ref="O798">_xlfn.IFS(P798&lt;=2,"Poor",P798=3,"Average",P798&gt;=4,"Good")</f>
        <v>Poor</v>
      </c>
      <c r="P798" s="3">
        <v>1</v>
      </c>
      <c r="Q798" s="2">
        <v>2</v>
      </c>
      <c r="R798" s="4" t="s">
        <v>85</v>
      </c>
      <c r="S798" s="4" t="s">
        <v>58</v>
      </c>
      <c r="T798" s="3">
        <v>1</v>
      </c>
      <c r="U798" s="4" t="str" cm="1">
        <f t="array" ref="U798">_xlfn.IFS(V798&lt;=4, "Dissatisfied",V798&lt;=7,"Neutral",V798&gt;=8,"Satisfied")</f>
        <v>Dissatisfied</v>
      </c>
      <c r="V798" s="3">
        <v>4</v>
      </c>
      <c r="W798" s="4" t="s">
        <v>59</v>
      </c>
      <c r="X798" s="4" t="s">
        <v>60</v>
      </c>
      <c r="Y798" s="4" t="s">
        <v>75</v>
      </c>
      <c r="Z798" s="1">
        <v>45572</v>
      </c>
      <c r="AA798" s="4" t="str" cm="1">
        <f t="array" ref="AA798">_xlfn.IFS(OR(AB798="December", AB798="February", AB798="January"), "Winter", OR(AB798="March", AB798="April", AB798="May"), "Spring", OR(AB798="June", AB798="July", AB798="August"), "Summer", TRUE, "Autumn")</f>
        <v>Autumn</v>
      </c>
      <c r="AB798" s="7" t="str">
        <f>TEXT(Z798, "mmmm")</f>
        <v>October</v>
      </c>
      <c r="AC798" s="1" t="str">
        <f>TEXT(Z798, "dddd")</f>
        <v>Monday</v>
      </c>
      <c r="AD798" s="4" t="s">
        <v>76</v>
      </c>
      <c r="AE798" s="4" t="s">
        <v>62</v>
      </c>
      <c r="AF798" s="4" t="s">
        <v>102</v>
      </c>
      <c r="AG798" s="4" t="s">
        <v>64</v>
      </c>
      <c r="AH798" s="3">
        <v>3</v>
      </c>
    </row>
    <row r="799" spans="1:34">
      <c r="A799" s="4" t="s">
        <v>1682</v>
      </c>
      <c r="B799" s="3">
        <v>25</v>
      </c>
      <c r="C799" s="9" t="str" cm="1">
        <f t="array" ref="C799">_xlfn.IFS(B799&gt;65,"+65",B799&gt;54,"55-65",B799&gt;44,"45-54",B799&gt;35,"36-44",B799&gt;25,"26-35",B799&gt;=18,"18-25")</f>
        <v>18-25</v>
      </c>
      <c r="D799" s="4" t="s">
        <v>456</v>
      </c>
      <c r="E799" s="4" t="s">
        <v>72</v>
      </c>
      <c r="F799" s="4" t="s">
        <v>67</v>
      </c>
      <c r="G799" s="4" t="s">
        <v>53</v>
      </c>
      <c r="H799" s="4" t="s">
        <v>1683</v>
      </c>
      <c r="I799" s="4" t="s">
        <v>70</v>
      </c>
      <c r="J799" s="5">
        <v>418.83</v>
      </c>
      <c r="K799" s="3">
        <v>7</v>
      </c>
      <c r="L799" s="4" t="str">
        <f>IF(AND(J799&gt;350,K799&gt;6), "True","False")</f>
        <v>True</v>
      </c>
      <c r="M799" s="4" t="s">
        <v>56</v>
      </c>
      <c r="N799" s="3">
        <v>2</v>
      </c>
      <c r="O799" s="4" t="str" cm="1">
        <f t="array" ref="O799">_xlfn.IFS(P799&lt;=2,"Poor",P799=3,"Average",P799&gt;=4,"Good")</f>
        <v>Good</v>
      </c>
      <c r="P799" s="3">
        <v>5</v>
      </c>
      <c r="Q799" s="2">
        <v>1</v>
      </c>
      <c r="R799" s="4" t="s">
        <v>57</v>
      </c>
      <c r="S799" s="4" t="s">
        <v>84</v>
      </c>
      <c r="T799" s="3">
        <v>1</v>
      </c>
      <c r="U799" s="4" t="str" cm="1">
        <f t="array" ref="U799">_xlfn.IFS(V799&lt;=4, "Dissatisfied",V799&lt;=7,"Neutral",V799&gt;=8,"Satisfied")</f>
        <v>Neutral</v>
      </c>
      <c r="V799" s="3">
        <v>5</v>
      </c>
      <c r="W799" s="4" t="s">
        <v>85</v>
      </c>
      <c r="X799" s="4" t="s">
        <v>74</v>
      </c>
      <c r="Y799" s="4" t="s">
        <v>86</v>
      </c>
      <c r="Z799" s="1">
        <v>45572</v>
      </c>
      <c r="AA799" s="4" t="str" cm="1">
        <f t="array" ref="AA799">_xlfn.IFS(OR(AB799="December", AB799="February", AB799="January"), "Winter", OR(AB799="March", AB799="April", AB799="May"), "Spring", OR(AB799="June", AB799="July", AB799="August"), "Summer", TRUE, "Autumn")</f>
        <v>Autumn</v>
      </c>
      <c r="AB799" s="7" t="str">
        <f>TEXT(Z799, "mmmm")</f>
        <v>October</v>
      </c>
      <c r="AC799" s="1" t="str">
        <f>TEXT(Z799, "dddd")</f>
        <v>Monday</v>
      </c>
      <c r="AD799" s="4" t="s">
        <v>62</v>
      </c>
      <c r="AE799" s="4" t="s">
        <v>76</v>
      </c>
      <c r="AF799" s="4" t="s">
        <v>63</v>
      </c>
      <c r="AG799" s="4" t="s">
        <v>88</v>
      </c>
      <c r="AH799" s="3">
        <v>13</v>
      </c>
    </row>
    <row r="800" spans="1:34">
      <c r="A800" s="4" t="s">
        <v>1684</v>
      </c>
      <c r="B800" s="3">
        <v>33</v>
      </c>
      <c r="C800" s="9" t="str" cm="1">
        <f t="array" ref="C800">_xlfn.IFS(B800&gt;65,"+65",B800&gt;54,"55-65",B800&gt;44,"45-54",B800&gt;35,"36-44",B800&gt;25,"26-35",B800&gt;=18,"18-25")</f>
        <v>26-35</v>
      </c>
      <c r="D800" s="4" t="s">
        <v>78</v>
      </c>
      <c r="E800" s="4" t="s">
        <v>51</v>
      </c>
      <c r="F800" s="4" t="s">
        <v>95</v>
      </c>
      <c r="G800" s="4" t="s">
        <v>53</v>
      </c>
      <c r="H800" s="4" t="s">
        <v>1685</v>
      </c>
      <c r="I800" s="4" t="s">
        <v>275</v>
      </c>
      <c r="J800" s="5">
        <v>139.83000000000001</v>
      </c>
      <c r="K800" s="3">
        <v>12</v>
      </c>
      <c r="L800" s="4" t="str">
        <f>IF(AND(J800&gt;350,K800&gt;6), "True","False")</f>
        <v>False</v>
      </c>
      <c r="M800" s="4" t="s">
        <v>56</v>
      </c>
      <c r="N800" s="3">
        <v>2</v>
      </c>
      <c r="O800" s="4" t="str" cm="1">
        <f t="array" ref="O800">_xlfn.IFS(P800&lt;=2,"Poor",P800=3,"Average",P800&gt;=4,"Good")</f>
        <v>Good</v>
      </c>
      <c r="P800" s="3">
        <v>4</v>
      </c>
      <c r="Q800" s="2">
        <v>2</v>
      </c>
      <c r="R800" s="4" t="s">
        <v>57</v>
      </c>
      <c r="S800" s="4" t="s">
        <v>58</v>
      </c>
      <c r="T800" s="3">
        <v>0</v>
      </c>
      <c r="U800" s="4" t="str" cm="1">
        <f t="array" ref="U800">_xlfn.IFS(V800&lt;=4, "Dissatisfied",V800&lt;=7,"Neutral",V800&gt;=8,"Satisfied")</f>
        <v>Dissatisfied</v>
      </c>
      <c r="V800" s="3">
        <v>1</v>
      </c>
      <c r="W800" s="4" t="s">
        <v>57</v>
      </c>
      <c r="X800" s="4" t="s">
        <v>74</v>
      </c>
      <c r="Y800" s="4" t="s">
        <v>61</v>
      </c>
      <c r="Z800" s="1">
        <v>45573</v>
      </c>
      <c r="AA800" s="4" t="str" cm="1">
        <f t="array" ref="AA800">_xlfn.IFS(OR(AB800="December", AB800="February", AB800="January"), "Winter", OR(AB800="March", AB800="April", AB800="May"), "Spring", OR(AB800="June", AB800="July", AB800="August"), "Summer", TRUE, "Autumn")</f>
        <v>Autumn</v>
      </c>
      <c r="AB800" s="7" t="str">
        <f>TEXT(Z800, "mmmm")</f>
        <v>October</v>
      </c>
      <c r="AC800" s="1" t="str">
        <f>TEXT(Z800, "dddd")</f>
        <v>Tuesday</v>
      </c>
      <c r="AD800" s="4" t="s">
        <v>76</v>
      </c>
      <c r="AE800" s="4" t="s">
        <v>76</v>
      </c>
      <c r="AF800" s="4" t="s">
        <v>92</v>
      </c>
      <c r="AG800" s="4" t="s">
        <v>93</v>
      </c>
      <c r="AH800" s="3">
        <v>10</v>
      </c>
    </row>
    <row r="801" spans="1:34">
      <c r="A801" s="4" t="s">
        <v>1686</v>
      </c>
      <c r="B801" s="3">
        <v>21</v>
      </c>
      <c r="C801" s="9" t="str" cm="1">
        <f t="array" ref="C801">_xlfn.IFS(B801&gt;65,"+65",B801&gt;54,"55-65",B801&gt;44,"45-54",B801&gt;35,"36-44",B801&gt;25,"26-35",B801&gt;=18,"18-25")</f>
        <v>18-25</v>
      </c>
      <c r="D801" s="4" t="s">
        <v>78</v>
      </c>
      <c r="E801" s="4" t="s">
        <v>51</v>
      </c>
      <c r="F801" s="4" t="s">
        <v>95</v>
      </c>
      <c r="G801" s="4" t="s">
        <v>68</v>
      </c>
      <c r="H801" s="4" t="s">
        <v>1687</v>
      </c>
      <c r="I801" s="4" t="s">
        <v>234</v>
      </c>
      <c r="J801" s="5">
        <v>487.25</v>
      </c>
      <c r="K801" s="3">
        <v>4</v>
      </c>
      <c r="L801" s="4" t="str">
        <f>IF(AND(J801&gt;350,K801&gt;6), "True","False")</f>
        <v>False</v>
      </c>
      <c r="M801" s="4" t="s">
        <v>56</v>
      </c>
      <c r="N801" s="3">
        <v>3</v>
      </c>
      <c r="O801" s="4" t="str" cm="1">
        <f t="array" ref="O801">_xlfn.IFS(P801&lt;=2,"Poor",P801=3,"Average",P801&gt;=4,"Good")</f>
        <v>Poor</v>
      </c>
      <c r="P801" s="3">
        <v>2</v>
      </c>
      <c r="Q801" s="2">
        <v>1</v>
      </c>
      <c r="R801" s="4" t="s">
        <v>72</v>
      </c>
      <c r="S801" s="4" t="s">
        <v>73</v>
      </c>
      <c r="T801" s="3">
        <v>0</v>
      </c>
      <c r="U801" s="4" t="str" cm="1">
        <f t="array" ref="U801">_xlfn.IFS(V801&lt;=4, "Dissatisfied",V801&lt;=7,"Neutral",V801&gt;=8,"Satisfied")</f>
        <v>Dissatisfied</v>
      </c>
      <c r="V801" s="3">
        <v>4</v>
      </c>
      <c r="W801" s="4" t="s">
        <v>72</v>
      </c>
      <c r="X801" s="4" t="s">
        <v>101</v>
      </c>
      <c r="Y801" s="4" t="s">
        <v>61</v>
      </c>
      <c r="Z801" s="1">
        <v>45573</v>
      </c>
      <c r="AA801" s="4" t="str" cm="1">
        <f t="array" ref="AA801">_xlfn.IFS(OR(AB801="December", AB801="February", AB801="January"), "Winter", OR(AB801="March", AB801="April", AB801="May"), "Spring", OR(AB801="June", AB801="July", AB801="August"), "Summer", TRUE, "Autumn")</f>
        <v>Autumn</v>
      </c>
      <c r="AB801" s="7" t="str">
        <f>TEXT(Z801, "mmmm")</f>
        <v>October</v>
      </c>
      <c r="AC801" s="1" t="str">
        <f>TEXT(Z801, "dddd")</f>
        <v>Tuesday</v>
      </c>
      <c r="AD801" s="4" t="s">
        <v>76</v>
      </c>
      <c r="AE801" s="4" t="s">
        <v>76</v>
      </c>
      <c r="AF801" s="4" t="s">
        <v>102</v>
      </c>
      <c r="AG801" s="4" t="s">
        <v>64</v>
      </c>
      <c r="AH801" s="3">
        <v>1</v>
      </c>
    </row>
    <row r="802" spans="1:34">
      <c r="A802" s="4" t="s">
        <v>1688</v>
      </c>
      <c r="B802" s="3">
        <v>48</v>
      </c>
      <c r="C802" s="9" t="str" cm="1">
        <f t="array" ref="C802">_xlfn.IFS(B802&gt;65,"+65",B802&gt;54,"55-65",B802&gt;44,"45-54",B802&gt;35,"36-44",B802&gt;25,"26-35",B802&gt;=18,"18-25")</f>
        <v>45-54</v>
      </c>
      <c r="D802" s="4" t="s">
        <v>66</v>
      </c>
      <c r="E802" s="4" t="s">
        <v>51</v>
      </c>
      <c r="F802" s="4" t="s">
        <v>67</v>
      </c>
      <c r="G802" s="4" t="s">
        <v>68</v>
      </c>
      <c r="H802" s="4" t="s">
        <v>1689</v>
      </c>
      <c r="I802" s="4" t="s">
        <v>234</v>
      </c>
      <c r="J802" s="5">
        <v>228.68</v>
      </c>
      <c r="K802" s="3">
        <v>3</v>
      </c>
      <c r="L802" s="4" t="str">
        <f>IF(AND(J802&gt;350,K802&gt;6), "True","False")</f>
        <v>False</v>
      </c>
      <c r="M802" s="4" t="s">
        <v>83</v>
      </c>
      <c r="N802" s="3">
        <v>2</v>
      </c>
      <c r="O802" s="4" t="str" cm="1">
        <f t="array" ref="O802">_xlfn.IFS(P802&lt;=2,"Poor",P802=3,"Average",P802&gt;=4,"Good")</f>
        <v>Poor</v>
      </c>
      <c r="P802" s="3">
        <v>1</v>
      </c>
      <c r="Q802" s="2">
        <v>2</v>
      </c>
      <c r="R802" s="4" t="s">
        <v>59</v>
      </c>
      <c r="S802" s="4" t="s">
        <v>73</v>
      </c>
      <c r="T802" s="3">
        <v>1</v>
      </c>
      <c r="U802" s="4" t="str" cm="1">
        <f t="array" ref="U802">_xlfn.IFS(V802&lt;=4, "Dissatisfied",V802&lt;=7,"Neutral",V802&gt;=8,"Satisfied")</f>
        <v>Dissatisfied</v>
      </c>
      <c r="V802" s="3">
        <v>4</v>
      </c>
      <c r="W802" s="4" t="s">
        <v>57</v>
      </c>
      <c r="X802" s="4" t="s">
        <v>74</v>
      </c>
      <c r="Y802" s="4" t="s">
        <v>75</v>
      </c>
      <c r="Z802" s="1">
        <v>45574</v>
      </c>
      <c r="AA802" s="4" t="str" cm="1">
        <f t="array" ref="AA802">_xlfn.IFS(OR(AB802="December", AB802="February", AB802="January"), "Winter", OR(AB802="March", AB802="April", AB802="May"), "Spring", OR(AB802="June", AB802="July", AB802="August"), "Summer", TRUE, "Autumn")</f>
        <v>Autumn</v>
      </c>
      <c r="AB802" s="7" t="str">
        <f>TEXT(Z802, "mmmm")</f>
        <v>October</v>
      </c>
      <c r="AC802" s="1" t="str">
        <f>TEXT(Z802, "dddd")</f>
        <v>Wednesday</v>
      </c>
      <c r="AD802" s="4" t="s">
        <v>62</v>
      </c>
      <c r="AE802" s="4" t="s">
        <v>76</v>
      </c>
      <c r="AF802" s="4" t="s">
        <v>87</v>
      </c>
      <c r="AG802" s="4" t="s">
        <v>64</v>
      </c>
      <c r="AH802" s="3">
        <v>4</v>
      </c>
    </row>
    <row r="803" spans="1:34">
      <c r="A803" s="4" t="s">
        <v>1690</v>
      </c>
      <c r="B803" s="3">
        <v>44</v>
      </c>
      <c r="C803" s="9" t="str" cm="1">
        <f t="array" ref="C803">_xlfn.IFS(B803&gt;65,"+65",B803&gt;54,"55-65",B803&gt;44,"45-54",B803&gt;35,"36-44",B803&gt;25,"26-35",B803&gt;=18,"18-25")</f>
        <v>36-44</v>
      </c>
      <c r="D803" s="4" t="s">
        <v>66</v>
      </c>
      <c r="E803" s="4" t="s">
        <v>72</v>
      </c>
      <c r="F803" s="4" t="s">
        <v>52</v>
      </c>
      <c r="G803" s="4" t="s">
        <v>68</v>
      </c>
      <c r="H803" s="4" t="s">
        <v>1691</v>
      </c>
      <c r="I803" s="4" t="s">
        <v>118</v>
      </c>
      <c r="J803" s="5">
        <v>459.3</v>
      </c>
      <c r="K803" s="3">
        <v>9</v>
      </c>
      <c r="L803" s="4" t="str">
        <f>IF(AND(J803&gt;350,K803&gt;6), "True","False")</f>
        <v>True</v>
      </c>
      <c r="M803" s="4" t="s">
        <v>56</v>
      </c>
      <c r="N803" s="3">
        <v>4</v>
      </c>
      <c r="O803" s="4" t="str" cm="1">
        <f t="array" ref="O803">_xlfn.IFS(P803&lt;=2,"Poor",P803=3,"Average",P803&gt;=4,"Good")</f>
        <v>Good</v>
      </c>
      <c r="P803" s="3">
        <v>4</v>
      </c>
      <c r="Q803" s="2">
        <v>1</v>
      </c>
      <c r="R803" s="4" t="s">
        <v>57</v>
      </c>
      <c r="S803" s="4" t="s">
        <v>84</v>
      </c>
      <c r="T803" s="3">
        <v>2</v>
      </c>
      <c r="U803" s="4" t="str" cm="1">
        <f t="array" ref="U803">_xlfn.IFS(V803&lt;=4, "Dissatisfied",V803&lt;=7,"Neutral",V803&gt;=8,"Satisfied")</f>
        <v>Neutral</v>
      </c>
      <c r="V803" s="3">
        <v>5</v>
      </c>
      <c r="W803" s="4" t="s">
        <v>85</v>
      </c>
      <c r="X803" s="4" t="s">
        <v>101</v>
      </c>
      <c r="Y803" s="4" t="s">
        <v>111</v>
      </c>
      <c r="Z803" s="1">
        <v>45574</v>
      </c>
      <c r="AA803" s="4" t="str" cm="1">
        <f t="array" ref="AA803">_xlfn.IFS(OR(AB803="December", AB803="February", AB803="January"), "Winter", OR(AB803="March", AB803="April", AB803="May"), "Spring", OR(AB803="June", AB803="July", AB803="August"), "Summer", TRUE, "Autumn")</f>
        <v>Autumn</v>
      </c>
      <c r="AB803" s="7" t="str">
        <f>TEXT(Z803, "mmmm")</f>
        <v>October</v>
      </c>
      <c r="AC803" s="1" t="str">
        <f>TEXT(Z803, "dddd")</f>
        <v>Wednesday</v>
      </c>
      <c r="AD803" s="4" t="s">
        <v>76</v>
      </c>
      <c r="AE803" s="4" t="s">
        <v>62</v>
      </c>
      <c r="AF803" s="4" t="s">
        <v>87</v>
      </c>
      <c r="AG803" s="4" t="s">
        <v>88</v>
      </c>
      <c r="AH803" s="3">
        <v>1</v>
      </c>
    </row>
    <row r="804" spans="1:34">
      <c r="A804" s="4" t="s">
        <v>1692</v>
      </c>
      <c r="B804" s="3">
        <v>32</v>
      </c>
      <c r="C804" s="9" t="str" cm="1">
        <f t="array" ref="C804">_xlfn.IFS(B804&gt;65,"+65",B804&gt;54,"55-65",B804&gt;44,"45-54",B804&gt;35,"36-44",B804&gt;25,"26-35",B804&gt;=18,"18-25")</f>
        <v>26-35</v>
      </c>
      <c r="D804" s="4" t="s">
        <v>66</v>
      </c>
      <c r="E804" s="4" t="s">
        <v>51</v>
      </c>
      <c r="F804" s="4" t="s">
        <v>52</v>
      </c>
      <c r="G804" s="4" t="s">
        <v>53</v>
      </c>
      <c r="H804" s="4" t="s">
        <v>1693</v>
      </c>
      <c r="I804" s="4" t="s">
        <v>146</v>
      </c>
      <c r="J804" s="5">
        <v>251.54</v>
      </c>
      <c r="K804" s="3">
        <v>9</v>
      </c>
      <c r="L804" s="4" t="str">
        <f>IF(AND(J804&gt;350,K804&gt;6), "True","False")</f>
        <v>False</v>
      </c>
      <c r="M804" s="4" t="s">
        <v>56</v>
      </c>
      <c r="N804" s="3">
        <v>5</v>
      </c>
      <c r="O804" s="4" t="str" cm="1">
        <f t="array" ref="O804">_xlfn.IFS(P804&lt;=2,"Poor",P804=3,"Average",P804&gt;=4,"Good")</f>
        <v>Poor</v>
      </c>
      <c r="P804" s="3">
        <v>1</v>
      </c>
      <c r="Q804" s="2">
        <v>0</v>
      </c>
      <c r="R804" s="4" t="s">
        <v>72</v>
      </c>
      <c r="S804" s="4" t="s">
        <v>58</v>
      </c>
      <c r="T804" s="3">
        <v>2</v>
      </c>
      <c r="U804" s="4" t="str" cm="1">
        <f t="array" ref="U804">_xlfn.IFS(V804&lt;=4, "Dissatisfied",V804&lt;=7,"Neutral",V804&gt;=8,"Satisfied")</f>
        <v>Satisfied</v>
      </c>
      <c r="V804" s="3">
        <v>10</v>
      </c>
      <c r="W804" s="4" t="s">
        <v>59</v>
      </c>
      <c r="X804" s="4" t="s">
        <v>101</v>
      </c>
      <c r="Y804" s="4" t="s">
        <v>86</v>
      </c>
      <c r="Z804" s="1">
        <v>45574</v>
      </c>
      <c r="AA804" s="4" t="str" cm="1">
        <f t="array" ref="AA804">_xlfn.IFS(OR(AB804="December", AB804="February", AB804="January"), "Winter", OR(AB804="March", AB804="April", AB804="May"), "Spring", OR(AB804="June", AB804="July", AB804="August"), "Summer", TRUE, "Autumn")</f>
        <v>Autumn</v>
      </c>
      <c r="AB804" s="7" t="str">
        <f>TEXT(Z804, "mmmm")</f>
        <v>October</v>
      </c>
      <c r="AC804" s="1" t="str">
        <f>TEXT(Z804, "dddd")</f>
        <v>Wednesday</v>
      </c>
      <c r="AD804" s="4" t="s">
        <v>62</v>
      </c>
      <c r="AE804" s="4" t="s">
        <v>76</v>
      </c>
      <c r="AF804" s="4" t="s">
        <v>92</v>
      </c>
      <c r="AG804" s="4" t="s">
        <v>88</v>
      </c>
      <c r="AH804" s="3">
        <v>1</v>
      </c>
    </row>
    <row r="805" spans="1:34">
      <c r="A805" s="4" t="s">
        <v>1694</v>
      </c>
      <c r="B805" s="3">
        <v>19</v>
      </c>
      <c r="C805" s="9" t="str" cm="1">
        <f t="array" ref="C805">_xlfn.IFS(B805&gt;65,"+65",B805&gt;54,"55-65",B805&gt;44,"45-54",B805&gt;35,"36-44",B805&gt;25,"26-35",B805&gt;=18,"18-25")</f>
        <v>18-25</v>
      </c>
      <c r="D805" s="4" t="s">
        <v>66</v>
      </c>
      <c r="E805" s="4" t="s">
        <v>72</v>
      </c>
      <c r="F805" s="4" t="s">
        <v>95</v>
      </c>
      <c r="G805" s="4" t="s">
        <v>80</v>
      </c>
      <c r="H805" s="4" t="s">
        <v>1695</v>
      </c>
      <c r="I805" s="4" t="s">
        <v>110</v>
      </c>
      <c r="J805" s="5">
        <v>111.75</v>
      </c>
      <c r="K805" s="3">
        <v>4</v>
      </c>
      <c r="L805" s="4" t="str">
        <f>IF(AND(J805&gt;350,K805&gt;6), "True","False")</f>
        <v>False</v>
      </c>
      <c r="M805" s="4" t="s">
        <v>71</v>
      </c>
      <c r="N805" s="3">
        <v>1</v>
      </c>
      <c r="O805" s="4" t="str" cm="1">
        <f t="array" ref="O805">_xlfn.IFS(P805&lt;=2,"Poor",P805=3,"Average",P805&gt;=4,"Good")</f>
        <v>Good</v>
      </c>
      <c r="P805" s="3">
        <v>4</v>
      </c>
      <c r="Q805" s="2">
        <v>0</v>
      </c>
      <c r="R805" s="4" t="s">
        <v>72</v>
      </c>
      <c r="S805" s="4" t="s">
        <v>58</v>
      </c>
      <c r="T805" s="3">
        <v>1</v>
      </c>
      <c r="U805" s="4" t="str" cm="1">
        <f t="array" ref="U805">_xlfn.IFS(V805&lt;=4, "Dissatisfied",V805&lt;=7,"Neutral",V805&gt;=8,"Satisfied")</f>
        <v>Neutral</v>
      </c>
      <c r="V805" s="3">
        <v>6</v>
      </c>
      <c r="W805" s="4" t="s">
        <v>72</v>
      </c>
      <c r="X805" s="4" t="s">
        <v>74</v>
      </c>
      <c r="Y805" s="4" t="s">
        <v>75</v>
      </c>
      <c r="Z805" s="1">
        <v>45575</v>
      </c>
      <c r="AA805" s="4" t="str" cm="1">
        <f t="array" ref="AA805">_xlfn.IFS(OR(AB805="December", AB805="February", AB805="January"), "Winter", OR(AB805="March", AB805="April", AB805="May"), "Spring", OR(AB805="June", AB805="July", AB805="August"), "Summer", TRUE, "Autumn")</f>
        <v>Autumn</v>
      </c>
      <c r="AB805" s="7" t="str">
        <f>TEXT(Z805, "mmmm")</f>
        <v>October</v>
      </c>
      <c r="AC805" s="1" t="str">
        <f>TEXT(Z805, "dddd")</f>
        <v>Thursday</v>
      </c>
      <c r="AD805" s="4" t="s">
        <v>76</v>
      </c>
      <c r="AE805" s="4" t="s">
        <v>62</v>
      </c>
      <c r="AF805" s="4" t="s">
        <v>92</v>
      </c>
      <c r="AG805" s="4" t="s">
        <v>64</v>
      </c>
      <c r="AH805" s="3">
        <v>8</v>
      </c>
    </row>
    <row r="806" spans="1:34">
      <c r="A806" s="4" t="s">
        <v>1696</v>
      </c>
      <c r="B806" s="3">
        <v>43</v>
      </c>
      <c r="C806" s="9" t="str" cm="1">
        <f t="array" ref="C806">_xlfn.IFS(B806&gt;65,"+65",B806&gt;54,"55-65",B806&gt;44,"45-54",B806&gt;35,"36-44",B806&gt;25,"26-35",B806&gt;=18,"18-25")</f>
        <v>36-44</v>
      </c>
      <c r="D806" s="4" t="s">
        <v>66</v>
      </c>
      <c r="E806" s="4" t="s">
        <v>72</v>
      </c>
      <c r="F806" s="4" t="s">
        <v>95</v>
      </c>
      <c r="G806" s="4" t="s">
        <v>80</v>
      </c>
      <c r="H806" s="4" t="s">
        <v>1697</v>
      </c>
      <c r="I806" s="4" t="s">
        <v>82</v>
      </c>
      <c r="J806" s="5">
        <v>141.63</v>
      </c>
      <c r="K806" s="3">
        <v>3</v>
      </c>
      <c r="L806" s="4" t="str">
        <f>IF(AND(J806&gt;350,K806&gt;6), "True","False")</f>
        <v>False</v>
      </c>
      <c r="M806" s="4" t="s">
        <v>56</v>
      </c>
      <c r="N806" s="3">
        <v>4</v>
      </c>
      <c r="O806" s="4" t="str" cm="1">
        <f t="array" ref="O806">_xlfn.IFS(P806&lt;=2,"Poor",P806=3,"Average",P806&gt;=4,"Good")</f>
        <v>Poor</v>
      </c>
      <c r="P806" s="3">
        <v>1</v>
      </c>
      <c r="Q806" s="2">
        <v>1</v>
      </c>
      <c r="R806" s="4" t="s">
        <v>57</v>
      </c>
      <c r="S806" s="4" t="s">
        <v>84</v>
      </c>
      <c r="T806" s="3">
        <v>1</v>
      </c>
      <c r="U806" s="4" t="str" cm="1">
        <f t="array" ref="U806">_xlfn.IFS(V806&lt;=4, "Dissatisfied",V806&lt;=7,"Neutral",V806&gt;=8,"Satisfied")</f>
        <v>Satisfied</v>
      </c>
      <c r="V806" s="3">
        <v>8</v>
      </c>
      <c r="W806" s="4" t="s">
        <v>59</v>
      </c>
      <c r="X806" s="4" t="s">
        <v>60</v>
      </c>
      <c r="Y806" s="4" t="s">
        <v>61</v>
      </c>
      <c r="Z806" s="1">
        <v>45576</v>
      </c>
      <c r="AA806" s="4" t="str" cm="1">
        <f t="array" ref="AA806">_xlfn.IFS(OR(AB806="December", AB806="February", AB806="January"), "Winter", OR(AB806="March", AB806="April", AB806="May"), "Spring", OR(AB806="June", AB806="July", AB806="August"), "Summer", TRUE, "Autumn")</f>
        <v>Autumn</v>
      </c>
      <c r="AB806" s="7" t="str">
        <f>TEXT(Z806, "mmmm")</f>
        <v>October</v>
      </c>
      <c r="AC806" s="1" t="str">
        <f>TEXT(Z806, "dddd")</f>
        <v>Friday</v>
      </c>
      <c r="AD806" s="4" t="s">
        <v>62</v>
      </c>
      <c r="AE806" s="4" t="s">
        <v>62</v>
      </c>
      <c r="AF806" s="4" t="s">
        <v>87</v>
      </c>
      <c r="AG806" s="4" t="s">
        <v>93</v>
      </c>
      <c r="AH806" s="3">
        <v>11</v>
      </c>
    </row>
    <row r="807" spans="1:34">
      <c r="A807" s="4" t="s">
        <v>1698</v>
      </c>
      <c r="B807" s="3">
        <v>32</v>
      </c>
      <c r="C807" s="9" t="str" cm="1">
        <f t="array" ref="C807">_xlfn.IFS(B807&gt;65,"+65",B807&gt;54,"55-65",B807&gt;44,"45-54",B807&gt;35,"36-44",B807&gt;25,"26-35",B807&gt;=18,"18-25")</f>
        <v>26-35</v>
      </c>
      <c r="D807" s="4" t="s">
        <v>66</v>
      </c>
      <c r="E807" s="4" t="s">
        <v>72</v>
      </c>
      <c r="F807" s="4" t="s">
        <v>95</v>
      </c>
      <c r="G807" s="4" t="s">
        <v>80</v>
      </c>
      <c r="H807" s="4" t="s">
        <v>1699</v>
      </c>
      <c r="I807" s="4" t="s">
        <v>105</v>
      </c>
      <c r="J807" s="5">
        <v>162.24</v>
      </c>
      <c r="K807" s="3">
        <v>7</v>
      </c>
      <c r="L807" s="4" t="str">
        <f>IF(AND(J807&gt;350,K807&gt;6), "True","False")</f>
        <v>False</v>
      </c>
      <c r="M807" s="4" t="s">
        <v>71</v>
      </c>
      <c r="N807" s="3">
        <v>5</v>
      </c>
      <c r="O807" s="4" t="str" cm="1">
        <f t="array" ref="O807">_xlfn.IFS(P807&lt;=2,"Poor",P807=3,"Average",P807&gt;=4,"Good")</f>
        <v>Average</v>
      </c>
      <c r="P807" s="3">
        <v>3</v>
      </c>
      <c r="Q807" s="2">
        <v>1</v>
      </c>
      <c r="R807" s="4" t="s">
        <v>57</v>
      </c>
      <c r="S807" s="4" t="s">
        <v>73</v>
      </c>
      <c r="T807" s="3">
        <v>2</v>
      </c>
      <c r="U807" s="4" t="str" cm="1">
        <f t="array" ref="U807">_xlfn.IFS(V807&lt;=4, "Dissatisfied",V807&lt;=7,"Neutral",V807&gt;=8,"Satisfied")</f>
        <v>Neutral</v>
      </c>
      <c r="V807" s="3">
        <v>6</v>
      </c>
      <c r="W807" s="4" t="s">
        <v>59</v>
      </c>
      <c r="X807" s="4" t="s">
        <v>60</v>
      </c>
      <c r="Y807" s="4" t="s">
        <v>86</v>
      </c>
      <c r="Z807" s="1">
        <v>45576</v>
      </c>
      <c r="AA807" s="4" t="str" cm="1">
        <f t="array" ref="AA807">_xlfn.IFS(OR(AB807="December", AB807="February", AB807="January"), "Winter", OR(AB807="March", AB807="April", AB807="May"), "Spring", OR(AB807="June", AB807="July", AB807="August"), "Summer", TRUE, "Autumn")</f>
        <v>Autumn</v>
      </c>
      <c r="AB807" s="7" t="str">
        <f>TEXT(Z807, "mmmm")</f>
        <v>October</v>
      </c>
      <c r="AC807" s="1" t="str">
        <f>TEXT(Z807, "dddd")</f>
        <v>Friday</v>
      </c>
      <c r="AD807" s="4" t="s">
        <v>76</v>
      </c>
      <c r="AE807" s="4" t="s">
        <v>76</v>
      </c>
      <c r="AF807" s="4" t="s">
        <v>102</v>
      </c>
      <c r="AG807" s="4" t="s">
        <v>93</v>
      </c>
      <c r="AH807" s="3">
        <v>7</v>
      </c>
    </row>
    <row r="808" spans="1:34">
      <c r="A808" s="4" t="s">
        <v>1700</v>
      </c>
      <c r="B808" s="3">
        <v>43</v>
      </c>
      <c r="C808" s="9" t="str" cm="1">
        <f t="array" ref="C808">_xlfn.IFS(B808&gt;65,"+65",B808&gt;54,"55-65",B808&gt;44,"45-54",B808&gt;35,"36-44",B808&gt;25,"26-35",B808&gt;=18,"18-25")</f>
        <v>36-44</v>
      </c>
      <c r="D808" s="4" t="s">
        <v>66</v>
      </c>
      <c r="E808" s="4" t="s">
        <v>51</v>
      </c>
      <c r="F808" s="4" t="s">
        <v>79</v>
      </c>
      <c r="G808" s="4" t="s">
        <v>80</v>
      </c>
      <c r="H808" s="4" t="s">
        <v>1701</v>
      </c>
      <c r="I808" s="4" t="s">
        <v>172</v>
      </c>
      <c r="J808" s="5">
        <v>209.62</v>
      </c>
      <c r="K808" s="3">
        <v>12</v>
      </c>
      <c r="L808" s="4" t="str">
        <f>IF(AND(J808&gt;350,K808&gt;6), "True","False")</f>
        <v>False</v>
      </c>
      <c r="M808" s="4" t="s">
        <v>83</v>
      </c>
      <c r="N808" s="3">
        <v>1</v>
      </c>
      <c r="O808" s="4" t="str" cm="1">
        <f t="array" ref="O808">_xlfn.IFS(P808&lt;=2,"Poor",P808=3,"Average",P808&gt;=4,"Good")</f>
        <v>Poor</v>
      </c>
      <c r="P808" s="3">
        <v>2</v>
      </c>
      <c r="Q808" s="2">
        <v>1</v>
      </c>
      <c r="R808" s="4" t="s">
        <v>85</v>
      </c>
      <c r="S808" s="4" t="s">
        <v>73</v>
      </c>
      <c r="T808" s="3">
        <v>0</v>
      </c>
      <c r="U808" s="4" t="str" cm="1">
        <f t="array" ref="U808">_xlfn.IFS(V808&lt;=4, "Dissatisfied",V808&lt;=7,"Neutral",V808&gt;=8,"Satisfied")</f>
        <v>Neutral</v>
      </c>
      <c r="V808" s="3">
        <v>7</v>
      </c>
      <c r="W808" s="4" t="s">
        <v>85</v>
      </c>
      <c r="X808" s="4" t="s">
        <v>74</v>
      </c>
      <c r="Y808" s="4" t="s">
        <v>111</v>
      </c>
      <c r="Z808" s="1">
        <v>45577</v>
      </c>
      <c r="AA808" s="4" t="str" cm="1">
        <f t="array" ref="AA808">_xlfn.IFS(OR(AB808="December", AB808="February", AB808="January"), "Winter", OR(AB808="March", AB808="April", AB808="May"), "Spring", OR(AB808="June", AB808="July", AB808="August"), "Summer", TRUE, "Autumn")</f>
        <v>Autumn</v>
      </c>
      <c r="AB808" s="7" t="str">
        <f>TEXT(Z808, "mmmm")</f>
        <v>October</v>
      </c>
      <c r="AC808" s="1" t="str">
        <f>TEXT(Z808, "dddd")</f>
        <v>Saturday</v>
      </c>
      <c r="AD808" s="4" t="s">
        <v>62</v>
      </c>
      <c r="AE808" s="4" t="s">
        <v>76</v>
      </c>
      <c r="AF808" s="4" t="s">
        <v>87</v>
      </c>
      <c r="AG808" s="4" t="s">
        <v>64</v>
      </c>
      <c r="AH808" s="3">
        <v>9</v>
      </c>
    </row>
    <row r="809" spans="1:34">
      <c r="A809" s="4" t="s">
        <v>1702</v>
      </c>
      <c r="B809" s="3">
        <v>28</v>
      </c>
      <c r="C809" s="9" t="str" cm="1">
        <f t="array" ref="C809">_xlfn.IFS(B809&gt;65,"+65",B809&gt;54,"55-65",B809&gt;44,"45-54",B809&gt;35,"36-44",B809&gt;25,"26-35",B809&gt;=18,"18-25")</f>
        <v>26-35</v>
      </c>
      <c r="D809" s="4" t="s">
        <v>78</v>
      </c>
      <c r="E809" s="4" t="s">
        <v>72</v>
      </c>
      <c r="F809" s="4" t="s">
        <v>67</v>
      </c>
      <c r="G809" s="4" t="s">
        <v>80</v>
      </c>
      <c r="H809" s="4" t="s">
        <v>1703</v>
      </c>
      <c r="I809" s="4" t="s">
        <v>169</v>
      </c>
      <c r="J809" s="5">
        <v>356.87</v>
      </c>
      <c r="K809" s="3">
        <v>12</v>
      </c>
      <c r="L809" s="4" t="str">
        <f>IF(AND(J809&gt;350,K809&gt;6), "True","False")</f>
        <v>True</v>
      </c>
      <c r="M809" s="4" t="s">
        <v>83</v>
      </c>
      <c r="N809" s="3">
        <v>1</v>
      </c>
      <c r="O809" s="4" t="str" cm="1">
        <f t="array" ref="O809">_xlfn.IFS(P809&lt;=2,"Poor",P809=3,"Average",P809&gt;=4,"Good")</f>
        <v>Good</v>
      </c>
      <c r="P809" s="3">
        <v>4</v>
      </c>
      <c r="Q809" s="2">
        <v>0</v>
      </c>
      <c r="R809" s="4" t="s">
        <v>72</v>
      </c>
      <c r="S809" s="4" t="s">
        <v>58</v>
      </c>
      <c r="T809" s="3">
        <v>1</v>
      </c>
      <c r="U809" s="4" t="str" cm="1">
        <f t="array" ref="U809">_xlfn.IFS(V809&lt;=4, "Dissatisfied",V809&lt;=7,"Neutral",V809&gt;=8,"Satisfied")</f>
        <v>Satisfied</v>
      </c>
      <c r="V809" s="3">
        <v>9</v>
      </c>
      <c r="W809" s="4" t="s">
        <v>85</v>
      </c>
      <c r="X809" s="4" t="s">
        <v>60</v>
      </c>
      <c r="Y809" s="4" t="s">
        <v>75</v>
      </c>
      <c r="Z809" s="1">
        <v>45577</v>
      </c>
      <c r="AA809" s="4" t="str" cm="1">
        <f t="array" ref="AA809">_xlfn.IFS(OR(AB809="December", AB809="February", AB809="January"), "Winter", OR(AB809="March", AB809="April", AB809="May"), "Spring", OR(AB809="June", AB809="July", AB809="August"), "Summer", TRUE, "Autumn")</f>
        <v>Autumn</v>
      </c>
      <c r="AB809" s="7" t="str">
        <f>TEXT(Z809, "mmmm")</f>
        <v>October</v>
      </c>
      <c r="AC809" s="1" t="str">
        <f>TEXT(Z809, "dddd")</f>
        <v>Saturday</v>
      </c>
      <c r="AD809" s="4" t="s">
        <v>76</v>
      </c>
      <c r="AE809" s="4" t="s">
        <v>62</v>
      </c>
      <c r="AF809" s="4" t="s">
        <v>92</v>
      </c>
      <c r="AG809" s="4" t="s">
        <v>64</v>
      </c>
      <c r="AH809" s="3">
        <v>10</v>
      </c>
    </row>
    <row r="810" spans="1:34">
      <c r="A810" s="4" t="s">
        <v>1704</v>
      </c>
      <c r="B810" s="3">
        <v>19</v>
      </c>
      <c r="C810" s="9" t="str" cm="1">
        <f t="array" ref="C810">_xlfn.IFS(B810&gt;65,"+65",B810&gt;54,"55-65",B810&gt;44,"45-54",B810&gt;35,"36-44",B810&gt;25,"26-35",B810&gt;=18,"18-25")</f>
        <v>18-25</v>
      </c>
      <c r="D810" s="4" t="s">
        <v>78</v>
      </c>
      <c r="E810" s="4" t="s">
        <v>72</v>
      </c>
      <c r="F810" s="4" t="s">
        <v>79</v>
      </c>
      <c r="G810" s="4" t="s">
        <v>53</v>
      </c>
      <c r="H810" s="4" t="s">
        <v>1705</v>
      </c>
      <c r="I810" s="4" t="s">
        <v>194</v>
      </c>
      <c r="J810" s="5">
        <v>206.32</v>
      </c>
      <c r="K810" s="3">
        <v>5</v>
      </c>
      <c r="L810" s="4" t="str">
        <f>IF(AND(J810&gt;350,K810&gt;6), "True","False")</f>
        <v>False</v>
      </c>
      <c r="M810" s="4" t="s">
        <v>56</v>
      </c>
      <c r="N810" s="3">
        <v>3</v>
      </c>
      <c r="O810" s="4" t="str" cm="1">
        <f t="array" ref="O810">_xlfn.IFS(P810&lt;=2,"Poor",P810=3,"Average",P810&gt;=4,"Good")</f>
        <v>Average</v>
      </c>
      <c r="P810" s="3">
        <v>3</v>
      </c>
      <c r="Q810" s="2">
        <v>1</v>
      </c>
      <c r="R810" s="4" t="s">
        <v>59</v>
      </c>
      <c r="S810" s="4" t="s">
        <v>58</v>
      </c>
      <c r="T810" s="3">
        <v>0</v>
      </c>
      <c r="U810" s="4" t="str" cm="1">
        <f t="array" ref="U810">_xlfn.IFS(V810&lt;=4, "Dissatisfied",V810&lt;=7,"Neutral",V810&gt;=8,"Satisfied")</f>
        <v>Dissatisfied</v>
      </c>
      <c r="V810" s="3">
        <v>4</v>
      </c>
      <c r="W810" s="4" t="s">
        <v>57</v>
      </c>
      <c r="X810" s="4" t="s">
        <v>101</v>
      </c>
      <c r="Y810" s="4" t="s">
        <v>86</v>
      </c>
      <c r="Z810" s="1">
        <v>45577</v>
      </c>
      <c r="AA810" s="4" t="str" cm="1">
        <f t="array" ref="AA810">_xlfn.IFS(OR(AB810="December", AB810="February", AB810="January"), "Winter", OR(AB810="March", AB810="April", AB810="May"), "Spring", OR(AB810="June", AB810="July", AB810="August"), "Summer", TRUE, "Autumn")</f>
        <v>Autumn</v>
      </c>
      <c r="AB810" s="7" t="str">
        <f>TEXT(Z810, "mmmm")</f>
        <v>October</v>
      </c>
      <c r="AC810" s="1" t="str">
        <f>TEXT(Z810, "dddd")</f>
        <v>Saturday</v>
      </c>
      <c r="AD810" s="4" t="s">
        <v>62</v>
      </c>
      <c r="AE810" s="4" t="s">
        <v>76</v>
      </c>
      <c r="AF810" s="4" t="s">
        <v>102</v>
      </c>
      <c r="AG810" s="4" t="s">
        <v>93</v>
      </c>
      <c r="AH810" s="3">
        <v>12</v>
      </c>
    </row>
    <row r="811" spans="1:34">
      <c r="A811" s="4" t="s">
        <v>1706</v>
      </c>
      <c r="B811" s="3">
        <v>31</v>
      </c>
      <c r="C811" s="9" t="str" cm="1">
        <f t="array" ref="C811">_xlfn.IFS(B811&gt;65,"+65",B811&gt;54,"55-65",B811&gt;44,"45-54",B811&gt;35,"36-44",B811&gt;25,"26-35",B811&gt;=18,"18-25")</f>
        <v>26-35</v>
      </c>
      <c r="D811" s="4" t="s">
        <v>232</v>
      </c>
      <c r="E811" s="4" t="s">
        <v>51</v>
      </c>
      <c r="F811" s="4" t="s">
        <v>67</v>
      </c>
      <c r="G811" s="4" t="s">
        <v>80</v>
      </c>
      <c r="H811" s="4" t="s">
        <v>1707</v>
      </c>
      <c r="I811" s="4" t="s">
        <v>146</v>
      </c>
      <c r="J811" s="5">
        <v>447.53</v>
      </c>
      <c r="K811" s="3">
        <v>4</v>
      </c>
      <c r="L811" s="4" t="str">
        <f>IF(AND(J811&gt;350,K811&gt;6), "True","False")</f>
        <v>False</v>
      </c>
      <c r="M811" s="4" t="s">
        <v>56</v>
      </c>
      <c r="N811" s="3">
        <v>2</v>
      </c>
      <c r="O811" s="4" t="str" cm="1">
        <f t="array" ref="O811">_xlfn.IFS(P811&lt;=2,"Poor",P811=3,"Average",P811&gt;=4,"Good")</f>
        <v>Poor</v>
      </c>
      <c r="P811" s="3">
        <v>1</v>
      </c>
      <c r="Q811" s="2">
        <v>2</v>
      </c>
      <c r="R811" s="4" t="s">
        <v>72</v>
      </c>
      <c r="S811" s="4" t="s">
        <v>84</v>
      </c>
      <c r="T811" s="3">
        <v>1</v>
      </c>
      <c r="U811" s="4" t="str" cm="1">
        <f t="array" ref="U811">_xlfn.IFS(V811&lt;=4, "Dissatisfied",V811&lt;=7,"Neutral",V811&gt;=8,"Satisfied")</f>
        <v>Neutral</v>
      </c>
      <c r="V811" s="3">
        <v>6</v>
      </c>
      <c r="W811" s="4" t="s">
        <v>57</v>
      </c>
      <c r="X811" s="4" t="s">
        <v>60</v>
      </c>
      <c r="Y811" s="4" t="s">
        <v>86</v>
      </c>
      <c r="Z811" s="1">
        <v>45578</v>
      </c>
      <c r="AA811" s="4" t="str" cm="1">
        <f t="array" ref="AA811">_xlfn.IFS(OR(AB811="December", AB811="February", AB811="January"), "Winter", OR(AB811="March", AB811="April", AB811="May"), "Spring", OR(AB811="June", AB811="July", AB811="August"), "Summer", TRUE, "Autumn")</f>
        <v>Autumn</v>
      </c>
      <c r="AB811" s="7" t="str">
        <f>TEXT(Z811, "mmmm")</f>
        <v>October</v>
      </c>
      <c r="AC811" s="1" t="str">
        <f>TEXT(Z811, "dddd")</f>
        <v>Sunday</v>
      </c>
      <c r="AD811" s="4" t="s">
        <v>62</v>
      </c>
      <c r="AE811" s="4" t="s">
        <v>62</v>
      </c>
      <c r="AF811" s="4" t="s">
        <v>102</v>
      </c>
      <c r="AG811" s="4" t="s">
        <v>88</v>
      </c>
      <c r="AH811" s="3">
        <v>3</v>
      </c>
    </row>
    <row r="812" spans="1:34">
      <c r="A812" s="4" t="s">
        <v>1708</v>
      </c>
      <c r="B812" s="3">
        <v>50</v>
      </c>
      <c r="C812" s="9" t="str" cm="1">
        <f t="array" ref="C812">_xlfn.IFS(B812&gt;65,"+65",B812&gt;54,"55-65",B812&gt;44,"45-54",B812&gt;35,"36-44",B812&gt;25,"26-35",B812&gt;=18,"18-25")</f>
        <v>45-54</v>
      </c>
      <c r="D812" s="4" t="s">
        <v>78</v>
      </c>
      <c r="E812" s="4" t="s">
        <v>72</v>
      </c>
      <c r="F812" s="4" t="s">
        <v>95</v>
      </c>
      <c r="G812" s="4" t="s">
        <v>80</v>
      </c>
      <c r="H812" s="4" t="s">
        <v>1709</v>
      </c>
      <c r="I812" s="4" t="s">
        <v>275</v>
      </c>
      <c r="J812" s="5">
        <v>409.98</v>
      </c>
      <c r="K812" s="3">
        <v>12</v>
      </c>
      <c r="L812" s="4" t="str">
        <f>IF(AND(J812&gt;350,K812&gt;6), "True","False")</f>
        <v>True</v>
      </c>
      <c r="M812" s="4" t="s">
        <v>83</v>
      </c>
      <c r="N812" s="3">
        <v>5</v>
      </c>
      <c r="O812" s="4" t="str" cm="1">
        <f t="array" ref="O812">_xlfn.IFS(P812&lt;=2,"Poor",P812=3,"Average",P812&gt;=4,"Good")</f>
        <v>Good</v>
      </c>
      <c r="P812" s="3">
        <v>4</v>
      </c>
      <c r="Q812" s="2">
        <v>0</v>
      </c>
      <c r="R812" s="4" t="s">
        <v>57</v>
      </c>
      <c r="S812" s="4" t="s">
        <v>58</v>
      </c>
      <c r="T812" s="3">
        <v>2</v>
      </c>
      <c r="U812" s="4" t="str" cm="1">
        <f t="array" ref="U812">_xlfn.IFS(V812&lt;=4, "Dissatisfied",V812&lt;=7,"Neutral",V812&gt;=8,"Satisfied")</f>
        <v>Dissatisfied</v>
      </c>
      <c r="V812" s="3">
        <v>1</v>
      </c>
      <c r="W812" s="4" t="s">
        <v>85</v>
      </c>
      <c r="X812" s="4" t="s">
        <v>101</v>
      </c>
      <c r="Y812" s="4" t="s">
        <v>86</v>
      </c>
      <c r="Z812" s="1">
        <v>45580</v>
      </c>
      <c r="AA812" s="4" t="str" cm="1">
        <f t="array" ref="AA812">_xlfn.IFS(OR(AB812="December", AB812="February", AB812="January"), "Winter", OR(AB812="March", AB812="April", AB812="May"), "Spring", OR(AB812="June", AB812="July", AB812="August"), "Summer", TRUE, "Autumn")</f>
        <v>Autumn</v>
      </c>
      <c r="AB812" s="7" t="str">
        <f>TEXT(Z812, "mmmm")</f>
        <v>October</v>
      </c>
      <c r="AC812" s="1" t="str">
        <f>TEXT(Z812, "dddd")</f>
        <v>Tuesday</v>
      </c>
      <c r="AD812" s="4" t="s">
        <v>62</v>
      </c>
      <c r="AE812" s="4" t="s">
        <v>76</v>
      </c>
      <c r="AF812" s="4" t="s">
        <v>102</v>
      </c>
      <c r="AG812" s="4" t="s">
        <v>93</v>
      </c>
      <c r="AH812" s="3">
        <v>8</v>
      </c>
    </row>
    <row r="813" spans="1:34">
      <c r="A813" s="4" t="s">
        <v>1710</v>
      </c>
      <c r="B813" s="3">
        <v>49</v>
      </c>
      <c r="C813" s="9" t="str" cm="1">
        <f t="array" ref="C813">_xlfn.IFS(B813&gt;65,"+65",B813&gt;54,"55-65",B813&gt;44,"45-54",B813&gt;35,"36-44",B813&gt;25,"26-35",B813&gt;=18,"18-25")</f>
        <v>45-54</v>
      </c>
      <c r="D813" s="4" t="s">
        <v>78</v>
      </c>
      <c r="E813" s="4" t="s">
        <v>51</v>
      </c>
      <c r="F813" s="4" t="s">
        <v>95</v>
      </c>
      <c r="G813" s="4" t="s">
        <v>53</v>
      </c>
      <c r="H813" s="4" t="s">
        <v>1711</v>
      </c>
      <c r="I813" s="4" t="s">
        <v>223</v>
      </c>
      <c r="J813" s="5">
        <v>378.59</v>
      </c>
      <c r="K813" s="3">
        <v>5</v>
      </c>
      <c r="L813" s="4" t="str">
        <f>IF(AND(J813&gt;350,K813&gt;6), "True","False")</f>
        <v>False</v>
      </c>
      <c r="M813" s="4" t="s">
        <v>56</v>
      </c>
      <c r="N813" s="3">
        <v>2</v>
      </c>
      <c r="O813" s="4" t="str" cm="1">
        <f t="array" ref="O813">_xlfn.IFS(P813&lt;=2,"Poor",P813=3,"Average",P813&gt;=4,"Good")</f>
        <v>Poor</v>
      </c>
      <c r="P813" s="3">
        <v>1</v>
      </c>
      <c r="Q813" s="2">
        <v>0</v>
      </c>
      <c r="R813" s="4" t="s">
        <v>57</v>
      </c>
      <c r="S813" s="4" t="s">
        <v>84</v>
      </c>
      <c r="T813" s="3">
        <v>0</v>
      </c>
      <c r="U813" s="4" t="str" cm="1">
        <f t="array" ref="U813">_xlfn.IFS(V813&lt;=4, "Dissatisfied",V813&lt;=7,"Neutral",V813&gt;=8,"Satisfied")</f>
        <v>Dissatisfied</v>
      </c>
      <c r="V813" s="3">
        <v>4</v>
      </c>
      <c r="W813" s="4" t="s">
        <v>72</v>
      </c>
      <c r="X813" s="4" t="s">
        <v>101</v>
      </c>
      <c r="Y813" s="4" t="s">
        <v>111</v>
      </c>
      <c r="Z813" s="1">
        <v>45580</v>
      </c>
      <c r="AA813" s="4" t="str" cm="1">
        <f t="array" ref="AA813">_xlfn.IFS(OR(AB813="December", AB813="February", AB813="January"), "Winter", OR(AB813="March", AB813="April", AB813="May"), "Spring", OR(AB813="June", AB813="July", AB813="August"), "Summer", TRUE, "Autumn")</f>
        <v>Autumn</v>
      </c>
      <c r="AB813" s="7" t="str">
        <f>TEXT(Z813, "mmmm")</f>
        <v>October</v>
      </c>
      <c r="AC813" s="1" t="str">
        <f>TEXT(Z813, "dddd")</f>
        <v>Tuesday</v>
      </c>
      <c r="AD813" s="4" t="s">
        <v>76</v>
      </c>
      <c r="AE813" s="4" t="s">
        <v>76</v>
      </c>
      <c r="AF813" s="4" t="s">
        <v>102</v>
      </c>
      <c r="AG813" s="4" t="s">
        <v>88</v>
      </c>
      <c r="AH813" s="3">
        <v>14</v>
      </c>
    </row>
    <row r="814" spans="1:34">
      <c r="A814" s="4" t="s">
        <v>1712</v>
      </c>
      <c r="B814" s="3">
        <v>45</v>
      </c>
      <c r="C814" s="9" t="str" cm="1">
        <f t="array" ref="C814">_xlfn.IFS(B814&gt;65,"+65",B814&gt;54,"55-65",B814&gt;44,"45-54",B814&gt;35,"36-44",B814&gt;25,"26-35",B814&gt;=18,"18-25")</f>
        <v>45-54</v>
      </c>
      <c r="D814" s="4" t="s">
        <v>66</v>
      </c>
      <c r="E814" s="4" t="s">
        <v>51</v>
      </c>
      <c r="F814" s="4" t="s">
        <v>79</v>
      </c>
      <c r="G814" s="4" t="s">
        <v>53</v>
      </c>
      <c r="H814" s="4" t="s">
        <v>1713</v>
      </c>
      <c r="I814" s="4" t="s">
        <v>164</v>
      </c>
      <c r="J814" s="5">
        <v>367.99</v>
      </c>
      <c r="K814" s="3">
        <v>2</v>
      </c>
      <c r="L814" s="4" t="str">
        <f>IF(AND(J814&gt;350,K814&gt;6), "True","False")</f>
        <v>False</v>
      </c>
      <c r="M814" s="4" t="s">
        <v>56</v>
      </c>
      <c r="N814" s="3">
        <v>2</v>
      </c>
      <c r="O814" s="4" t="str" cm="1">
        <f t="array" ref="O814">_xlfn.IFS(P814&lt;=2,"Poor",P814=3,"Average",P814&gt;=4,"Good")</f>
        <v>Good</v>
      </c>
      <c r="P814" s="3">
        <v>5</v>
      </c>
      <c r="Q814" s="2">
        <v>1</v>
      </c>
      <c r="R814" s="4" t="s">
        <v>57</v>
      </c>
      <c r="S814" s="4" t="s">
        <v>58</v>
      </c>
      <c r="T814" s="3">
        <v>2</v>
      </c>
      <c r="U814" s="4" t="str" cm="1">
        <f t="array" ref="U814">_xlfn.IFS(V814&lt;=4, "Dissatisfied",V814&lt;=7,"Neutral",V814&gt;=8,"Satisfied")</f>
        <v>Dissatisfied</v>
      </c>
      <c r="V814" s="3">
        <v>2</v>
      </c>
      <c r="W814" s="4" t="s">
        <v>72</v>
      </c>
      <c r="X814" s="4" t="s">
        <v>60</v>
      </c>
      <c r="Y814" s="4" t="s">
        <v>75</v>
      </c>
      <c r="Z814" s="1">
        <v>45580</v>
      </c>
      <c r="AA814" s="4" t="str" cm="1">
        <f t="array" ref="AA814">_xlfn.IFS(OR(AB814="December", AB814="February", AB814="January"), "Winter", OR(AB814="March", AB814="April", AB814="May"), "Spring", OR(AB814="June", AB814="July", AB814="August"), "Summer", TRUE, "Autumn")</f>
        <v>Autumn</v>
      </c>
      <c r="AB814" s="7" t="str">
        <f>TEXT(Z814, "mmmm")</f>
        <v>October</v>
      </c>
      <c r="AC814" s="1" t="str">
        <f>TEXT(Z814, "dddd")</f>
        <v>Tuesday</v>
      </c>
      <c r="AD814" s="4" t="s">
        <v>76</v>
      </c>
      <c r="AE814" s="4" t="s">
        <v>76</v>
      </c>
      <c r="AF814" s="4" t="s">
        <v>87</v>
      </c>
      <c r="AG814" s="4" t="s">
        <v>93</v>
      </c>
      <c r="AH814" s="3">
        <v>8</v>
      </c>
    </row>
    <row r="815" spans="1:34">
      <c r="A815" s="4" t="s">
        <v>1714</v>
      </c>
      <c r="B815" s="3">
        <v>30</v>
      </c>
      <c r="C815" s="9" t="str" cm="1">
        <f t="array" ref="C815">_xlfn.IFS(B815&gt;65,"+65",B815&gt;54,"55-65",B815&gt;44,"45-54",B815&gt;35,"36-44",B815&gt;25,"26-35",B815&gt;=18,"18-25")</f>
        <v>26-35</v>
      </c>
      <c r="D815" s="4" t="s">
        <v>78</v>
      </c>
      <c r="E815" s="4" t="s">
        <v>72</v>
      </c>
      <c r="F815" s="4" t="s">
        <v>95</v>
      </c>
      <c r="G815" s="4" t="s">
        <v>53</v>
      </c>
      <c r="H815" s="4" t="s">
        <v>1715</v>
      </c>
      <c r="I815" s="4" t="s">
        <v>110</v>
      </c>
      <c r="J815" s="5">
        <v>58.27</v>
      </c>
      <c r="K815" s="3">
        <v>2</v>
      </c>
      <c r="L815" s="4" t="str">
        <f>IF(AND(J815&gt;350,K815&gt;6), "True","False")</f>
        <v>False</v>
      </c>
      <c r="M815" s="4" t="s">
        <v>71</v>
      </c>
      <c r="N815" s="3">
        <v>5</v>
      </c>
      <c r="O815" s="4" t="str" cm="1">
        <f t="array" ref="O815">_xlfn.IFS(P815&lt;=2,"Poor",P815=3,"Average",P815&gt;=4,"Good")</f>
        <v>Good</v>
      </c>
      <c r="P815" s="3">
        <v>4</v>
      </c>
      <c r="Q815" s="2">
        <v>1</v>
      </c>
      <c r="R815" s="4" t="s">
        <v>85</v>
      </c>
      <c r="S815" s="4" t="s">
        <v>84</v>
      </c>
      <c r="T815" s="3">
        <v>1</v>
      </c>
      <c r="U815" s="4" t="str" cm="1">
        <f t="array" ref="U815">_xlfn.IFS(V815&lt;=4, "Dissatisfied",V815&lt;=7,"Neutral",V815&gt;=8,"Satisfied")</f>
        <v>Dissatisfied</v>
      </c>
      <c r="V815" s="3">
        <v>4</v>
      </c>
      <c r="W815" s="4" t="s">
        <v>85</v>
      </c>
      <c r="X815" s="4" t="s">
        <v>60</v>
      </c>
      <c r="Y815" s="4" t="s">
        <v>61</v>
      </c>
      <c r="Z815" s="1">
        <v>45580</v>
      </c>
      <c r="AA815" s="4" t="str" cm="1">
        <f t="array" ref="AA815">_xlfn.IFS(OR(AB815="December", AB815="February", AB815="January"), "Winter", OR(AB815="March", AB815="April", AB815="May"), "Spring", OR(AB815="June", AB815="July", AB815="August"), "Summer", TRUE, "Autumn")</f>
        <v>Autumn</v>
      </c>
      <c r="AB815" s="7" t="str">
        <f>TEXT(Z815, "mmmm")</f>
        <v>October</v>
      </c>
      <c r="AC815" s="1" t="str">
        <f>TEXT(Z815, "dddd")</f>
        <v>Tuesday</v>
      </c>
      <c r="AD815" s="4" t="s">
        <v>76</v>
      </c>
      <c r="AE815" s="4" t="s">
        <v>62</v>
      </c>
      <c r="AF815" s="4" t="s">
        <v>63</v>
      </c>
      <c r="AG815" s="4" t="s">
        <v>88</v>
      </c>
      <c r="AH815" s="3">
        <v>13</v>
      </c>
    </row>
    <row r="816" spans="1:34">
      <c r="A816" s="4" t="s">
        <v>1716</v>
      </c>
      <c r="B816" s="3">
        <v>23</v>
      </c>
      <c r="C816" s="9" t="str" cm="1">
        <f t="array" ref="C816">_xlfn.IFS(B816&gt;65,"+65",B816&gt;54,"55-65",B816&gt;44,"45-54",B816&gt;35,"36-44",B816&gt;25,"26-35",B816&gt;=18,"18-25")</f>
        <v>18-25</v>
      </c>
      <c r="D816" s="4" t="s">
        <v>66</v>
      </c>
      <c r="E816" s="4" t="s">
        <v>51</v>
      </c>
      <c r="F816" s="4" t="s">
        <v>79</v>
      </c>
      <c r="G816" s="4" t="s">
        <v>80</v>
      </c>
      <c r="H816" s="4" t="s">
        <v>1717</v>
      </c>
      <c r="I816" s="4" t="s">
        <v>70</v>
      </c>
      <c r="J816" s="5">
        <v>77.08</v>
      </c>
      <c r="K816" s="3">
        <v>10</v>
      </c>
      <c r="L816" s="4" t="str">
        <f>IF(AND(J816&gt;350,K816&gt;6), "True","False")</f>
        <v>False</v>
      </c>
      <c r="M816" s="4" t="s">
        <v>83</v>
      </c>
      <c r="N816" s="3">
        <v>2</v>
      </c>
      <c r="O816" s="4" t="str" cm="1">
        <f t="array" ref="O816">_xlfn.IFS(P816&lt;=2,"Poor",P816=3,"Average",P816&gt;=4,"Good")</f>
        <v>Poor</v>
      </c>
      <c r="P816" s="3">
        <v>1</v>
      </c>
      <c r="Q816" s="2">
        <v>0</v>
      </c>
      <c r="R816" s="4" t="s">
        <v>72</v>
      </c>
      <c r="S816" s="4" t="s">
        <v>58</v>
      </c>
      <c r="T816" s="3">
        <v>0</v>
      </c>
      <c r="U816" s="4" t="str" cm="1">
        <f t="array" ref="U816">_xlfn.IFS(V816&lt;=4, "Dissatisfied",V816&lt;=7,"Neutral",V816&gt;=8,"Satisfied")</f>
        <v>Satisfied</v>
      </c>
      <c r="V816" s="3">
        <v>8</v>
      </c>
      <c r="W816" s="4" t="s">
        <v>57</v>
      </c>
      <c r="X816" s="4" t="s">
        <v>74</v>
      </c>
      <c r="Y816" s="4" t="s">
        <v>86</v>
      </c>
      <c r="Z816" s="1">
        <v>45580</v>
      </c>
      <c r="AA816" s="4" t="str" cm="1">
        <f t="array" ref="AA816">_xlfn.IFS(OR(AB816="December", AB816="February", AB816="January"), "Winter", OR(AB816="March", AB816="April", AB816="May"), "Spring", OR(AB816="June", AB816="July", AB816="August"), "Summer", TRUE, "Autumn")</f>
        <v>Autumn</v>
      </c>
      <c r="AB816" s="7" t="str">
        <f>TEXT(Z816, "mmmm")</f>
        <v>October</v>
      </c>
      <c r="AC816" s="1" t="str">
        <f>TEXT(Z816, "dddd")</f>
        <v>Tuesday</v>
      </c>
      <c r="AD816" s="4" t="s">
        <v>62</v>
      </c>
      <c r="AE816" s="4" t="s">
        <v>62</v>
      </c>
      <c r="AF816" s="4" t="s">
        <v>92</v>
      </c>
      <c r="AG816" s="4" t="s">
        <v>64</v>
      </c>
      <c r="AH816" s="3">
        <v>1</v>
      </c>
    </row>
    <row r="817" spans="1:34">
      <c r="A817" s="4" t="s">
        <v>1718</v>
      </c>
      <c r="B817" s="3">
        <v>37</v>
      </c>
      <c r="C817" s="9" t="str" cm="1">
        <f t="array" ref="C817">_xlfn.IFS(B817&gt;65,"+65",B817&gt;54,"55-65",B817&gt;44,"45-54",B817&gt;35,"36-44",B817&gt;25,"26-35",B817&gt;=18,"18-25")</f>
        <v>36-44</v>
      </c>
      <c r="D817" s="4" t="s">
        <v>78</v>
      </c>
      <c r="E817" s="4" t="s">
        <v>72</v>
      </c>
      <c r="F817" s="4" t="s">
        <v>95</v>
      </c>
      <c r="G817" s="4" t="s">
        <v>68</v>
      </c>
      <c r="H817" s="4" t="s">
        <v>1719</v>
      </c>
      <c r="I817" s="4" t="s">
        <v>97</v>
      </c>
      <c r="J817" s="5">
        <v>217.72</v>
      </c>
      <c r="K817" s="3">
        <v>3</v>
      </c>
      <c r="L817" s="4" t="str">
        <f>IF(AND(J817&gt;350,K817&gt;6), "True","False")</f>
        <v>False</v>
      </c>
      <c r="M817" s="4" t="s">
        <v>71</v>
      </c>
      <c r="N817" s="3">
        <v>4</v>
      </c>
      <c r="O817" s="4" t="str" cm="1">
        <f t="array" ref="O817">_xlfn.IFS(P817&lt;=2,"Poor",P817=3,"Average",P817&gt;=4,"Good")</f>
        <v>Good</v>
      </c>
      <c r="P817" s="3">
        <v>4</v>
      </c>
      <c r="Q817" s="2">
        <v>2</v>
      </c>
      <c r="R817" s="4" t="s">
        <v>85</v>
      </c>
      <c r="S817" s="4" t="s">
        <v>58</v>
      </c>
      <c r="T817" s="3">
        <v>1</v>
      </c>
      <c r="U817" s="4" t="str" cm="1">
        <f t="array" ref="U817">_xlfn.IFS(V817&lt;=4, "Dissatisfied",V817&lt;=7,"Neutral",V817&gt;=8,"Satisfied")</f>
        <v>Dissatisfied</v>
      </c>
      <c r="V817" s="3">
        <v>4</v>
      </c>
      <c r="W817" s="4" t="s">
        <v>72</v>
      </c>
      <c r="X817" s="4" t="s">
        <v>74</v>
      </c>
      <c r="Y817" s="4" t="s">
        <v>75</v>
      </c>
      <c r="Z817" s="1">
        <v>45581</v>
      </c>
      <c r="AA817" s="4" t="str" cm="1">
        <f t="array" ref="AA817">_xlfn.IFS(OR(AB817="December", AB817="February", AB817="January"), "Winter", OR(AB817="March", AB817="April", AB817="May"), "Spring", OR(AB817="June", AB817="July", AB817="August"), "Summer", TRUE, "Autumn")</f>
        <v>Autumn</v>
      </c>
      <c r="AB817" s="7" t="str">
        <f>TEXT(Z817, "mmmm")</f>
        <v>October</v>
      </c>
      <c r="AC817" s="1" t="str">
        <f>TEXT(Z817, "dddd")</f>
        <v>Wednesday</v>
      </c>
      <c r="AD817" s="4" t="s">
        <v>76</v>
      </c>
      <c r="AE817" s="4" t="s">
        <v>62</v>
      </c>
      <c r="AF817" s="4" t="s">
        <v>102</v>
      </c>
      <c r="AG817" s="4" t="s">
        <v>88</v>
      </c>
      <c r="AH817" s="3">
        <v>14</v>
      </c>
    </row>
    <row r="818" spans="1:34">
      <c r="A818" s="4" t="s">
        <v>1720</v>
      </c>
      <c r="B818" s="3">
        <v>19</v>
      </c>
      <c r="C818" s="9" t="str" cm="1">
        <f t="array" ref="C818">_xlfn.IFS(B818&gt;65,"+65",B818&gt;54,"55-65",B818&gt;44,"45-54",B818&gt;35,"36-44",B818&gt;25,"26-35",B818&gt;=18,"18-25")</f>
        <v>18-25</v>
      </c>
      <c r="D818" s="4" t="s">
        <v>66</v>
      </c>
      <c r="E818" s="4" t="s">
        <v>72</v>
      </c>
      <c r="F818" s="4" t="s">
        <v>67</v>
      </c>
      <c r="G818" s="4" t="s">
        <v>53</v>
      </c>
      <c r="H818" s="4" t="s">
        <v>1721</v>
      </c>
      <c r="I818" s="4" t="s">
        <v>156</v>
      </c>
      <c r="J818" s="5">
        <v>345.04</v>
      </c>
      <c r="K818" s="3">
        <v>12</v>
      </c>
      <c r="L818" s="4" t="str">
        <f>IF(AND(J818&gt;350,K818&gt;6), "True","False")</f>
        <v>False</v>
      </c>
      <c r="M818" s="4" t="s">
        <v>71</v>
      </c>
      <c r="N818" s="3">
        <v>1</v>
      </c>
      <c r="O818" s="4" t="str" cm="1">
        <f t="array" ref="O818">_xlfn.IFS(P818&lt;=2,"Poor",P818=3,"Average",P818&gt;=4,"Good")</f>
        <v>Good</v>
      </c>
      <c r="P818" s="3">
        <v>5</v>
      </c>
      <c r="Q818" s="2">
        <v>1</v>
      </c>
      <c r="R818" s="4" t="s">
        <v>59</v>
      </c>
      <c r="S818" s="4" t="s">
        <v>84</v>
      </c>
      <c r="T818" s="3">
        <v>0</v>
      </c>
      <c r="U818" s="4" t="str" cm="1">
        <f t="array" ref="U818">_xlfn.IFS(V818&lt;=4, "Dissatisfied",V818&lt;=7,"Neutral",V818&gt;=8,"Satisfied")</f>
        <v>Satisfied</v>
      </c>
      <c r="V818" s="3">
        <v>8</v>
      </c>
      <c r="W818" s="4" t="s">
        <v>85</v>
      </c>
      <c r="X818" s="4" t="s">
        <v>74</v>
      </c>
      <c r="Y818" s="4" t="s">
        <v>119</v>
      </c>
      <c r="Z818" s="1">
        <v>45581</v>
      </c>
      <c r="AA818" s="4" t="str" cm="1">
        <f t="array" ref="AA818">_xlfn.IFS(OR(AB818="December", AB818="February", AB818="January"), "Winter", OR(AB818="March", AB818="April", AB818="May"), "Spring", OR(AB818="June", AB818="July", AB818="August"), "Summer", TRUE, "Autumn")</f>
        <v>Autumn</v>
      </c>
      <c r="AB818" s="7" t="str">
        <f>TEXT(Z818, "mmmm")</f>
        <v>October</v>
      </c>
      <c r="AC818" s="1" t="str">
        <f>TEXT(Z818, "dddd")</f>
        <v>Wednesday</v>
      </c>
      <c r="AD818" s="4" t="s">
        <v>62</v>
      </c>
      <c r="AE818" s="4" t="s">
        <v>62</v>
      </c>
      <c r="AF818" s="4" t="s">
        <v>87</v>
      </c>
      <c r="AG818" s="4" t="s">
        <v>93</v>
      </c>
      <c r="AH818" s="3">
        <v>13</v>
      </c>
    </row>
    <row r="819" spans="1:34">
      <c r="A819" s="4" t="s">
        <v>1722</v>
      </c>
      <c r="B819" s="3">
        <v>26</v>
      </c>
      <c r="C819" s="9" t="str" cm="1">
        <f t="array" ref="C819">_xlfn.IFS(B819&gt;65,"+65",B819&gt;54,"55-65",B819&gt;44,"45-54",B819&gt;35,"36-44",B819&gt;25,"26-35",B819&gt;=18,"18-25")</f>
        <v>26-35</v>
      </c>
      <c r="D819" s="4" t="s">
        <v>78</v>
      </c>
      <c r="E819" s="4" t="s">
        <v>51</v>
      </c>
      <c r="F819" s="4" t="s">
        <v>79</v>
      </c>
      <c r="G819" s="4" t="s">
        <v>53</v>
      </c>
      <c r="H819" s="4" t="s">
        <v>1723</v>
      </c>
      <c r="I819" s="4" t="s">
        <v>169</v>
      </c>
      <c r="J819" s="5">
        <v>273.41000000000003</v>
      </c>
      <c r="K819" s="3">
        <v>7</v>
      </c>
      <c r="L819" s="4" t="str">
        <f>IF(AND(J819&gt;350,K819&gt;6), "True","False")</f>
        <v>False</v>
      </c>
      <c r="M819" s="4" t="s">
        <v>56</v>
      </c>
      <c r="N819" s="3">
        <v>3</v>
      </c>
      <c r="O819" s="4" t="str" cm="1">
        <f t="array" ref="O819">_xlfn.IFS(P819&lt;=2,"Poor",P819=3,"Average",P819&gt;=4,"Good")</f>
        <v>Good</v>
      </c>
      <c r="P819" s="3">
        <v>5</v>
      </c>
      <c r="Q819" s="2">
        <v>2</v>
      </c>
      <c r="R819" s="4" t="s">
        <v>59</v>
      </c>
      <c r="S819" s="4" t="s">
        <v>73</v>
      </c>
      <c r="T819" s="3">
        <v>0</v>
      </c>
      <c r="U819" s="4" t="str" cm="1">
        <f t="array" ref="U819">_xlfn.IFS(V819&lt;=4, "Dissatisfied",V819&lt;=7,"Neutral",V819&gt;=8,"Satisfied")</f>
        <v>Satisfied</v>
      </c>
      <c r="V819" s="3">
        <v>9</v>
      </c>
      <c r="W819" s="4" t="s">
        <v>85</v>
      </c>
      <c r="X819" s="4" t="s">
        <v>74</v>
      </c>
      <c r="Y819" s="4" t="s">
        <v>111</v>
      </c>
      <c r="Z819" s="1">
        <v>45582</v>
      </c>
      <c r="AA819" s="4" t="str" cm="1">
        <f t="array" ref="AA819">_xlfn.IFS(OR(AB819="December", AB819="February", AB819="January"), "Winter", OR(AB819="March", AB819="April", AB819="May"), "Spring", OR(AB819="June", AB819="July", AB819="August"), "Summer", TRUE, "Autumn")</f>
        <v>Autumn</v>
      </c>
      <c r="AB819" s="7" t="str">
        <f>TEXT(Z819, "mmmm")</f>
        <v>October</v>
      </c>
      <c r="AC819" s="1" t="str">
        <f>TEXT(Z819, "dddd")</f>
        <v>Thursday</v>
      </c>
      <c r="AD819" s="4" t="s">
        <v>62</v>
      </c>
      <c r="AE819" s="4" t="s">
        <v>76</v>
      </c>
      <c r="AF819" s="4" t="s">
        <v>87</v>
      </c>
      <c r="AG819" s="4" t="s">
        <v>64</v>
      </c>
      <c r="AH819" s="3">
        <v>2</v>
      </c>
    </row>
    <row r="820" spans="1:34">
      <c r="A820" s="4" t="s">
        <v>1724</v>
      </c>
      <c r="B820" s="3">
        <v>24</v>
      </c>
      <c r="C820" s="9" t="str" cm="1">
        <f t="array" ref="C820">_xlfn.IFS(B820&gt;65,"+65",B820&gt;54,"55-65",B820&gt;44,"45-54",B820&gt;35,"36-44",B820&gt;25,"26-35",B820&gt;=18,"18-25")</f>
        <v>18-25</v>
      </c>
      <c r="D820" s="4" t="s">
        <v>66</v>
      </c>
      <c r="E820" s="4" t="s">
        <v>72</v>
      </c>
      <c r="F820" s="4" t="s">
        <v>67</v>
      </c>
      <c r="G820" s="4" t="s">
        <v>80</v>
      </c>
      <c r="H820" s="4" t="s">
        <v>1725</v>
      </c>
      <c r="I820" s="4" t="s">
        <v>275</v>
      </c>
      <c r="J820" s="5">
        <v>185.83</v>
      </c>
      <c r="K820" s="3">
        <v>11</v>
      </c>
      <c r="L820" s="4" t="str">
        <f>IF(AND(J820&gt;350,K820&gt;6), "True","False")</f>
        <v>False</v>
      </c>
      <c r="M820" s="4" t="s">
        <v>71</v>
      </c>
      <c r="N820" s="3">
        <v>4</v>
      </c>
      <c r="O820" s="4" t="str" cm="1">
        <f t="array" ref="O820">_xlfn.IFS(P820&lt;=2,"Poor",P820=3,"Average",P820&gt;=4,"Good")</f>
        <v>Poor</v>
      </c>
      <c r="P820" s="3">
        <v>2</v>
      </c>
      <c r="Q820" s="2">
        <v>2</v>
      </c>
      <c r="R820" s="4" t="s">
        <v>59</v>
      </c>
      <c r="S820" s="4" t="s">
        <v>58</v>
      </c>
      <c r="T820" s="3">
        <v>2</v>
      </c>
      <c r="U820" s="4" t="str" cm="1">
        <f t="array" ref="U820">_xlfn.IFS(V820&lt;=4, "Dissatisfied",V820&lt;=7,"Neutral",V820&gt;=8,"Satisfied")</f>
        <v>Satisfied</v>
      </c>
      <c r="V820" s="3">
        <v>9</v>
      </c>
      <c r="W820" s="4" t="s">
        <v>85</v>
      </c>
      <c r="X820" s="4" t="s">
        <v>101</v>
      </c>
      <c r="Y820" s="4" t="s">
        <v>111</v>
      </c>
      <c r="Z820" s="1">
        <v>45582</v>
      </c>
      <c r="AA820" s="4" t="str" cm="1">
        <f t="array" ref="AA820">_xlfn.IFS(OR(AB820="December", AB820="February", AB820="January"), "Winter", OR(AB820="March", AB820="April", AB820="May"), "Spring", OR(AB820="June", AB820="July", AB820="August"), "Summer", TRUE, "Autumn")</f>
        <v>Autumn</v>
      </c>
      <c r="AB820" s="7" t="str">
        <f>TEXT(Z820, "mmmm")</f>
        <v>October</v>
      </c>
      <c r="AC820" s="1" t="str">
        <f>TEXT(Z820, "dddd")</f>
        <v>Thursday</v>
      </c>
      <c r="AD820" s="4" t="s">
        <v>76</v>
      </c>
      <c r="AE820" s="4" t="s">
        <v>62</v>
      </c>
      <c r="AF820" s="4" t="s">
        <v>92</v>
      </c>
      <c r="AG820" s="4" t="s">
        <v>64</v>
      </c>
      <c r="AH820" s="3">
        <v>1</v>
      </c>
    </row>
    <row r="821" spans="1:34">
      <c r="A821" s="4" t="s">
        <v>1726</v>
      </c>
      <c r="B821" s="3">
        <v>20</v>
      </c>
      <c r="C821" s="9" t="str" cm="1">
        <f t="array" ref="C821">_xlfn.IFS(B821&gt;65,"+65",B821&gt;54,"55-65",B821&gt;44,"45-54",B821&gt;35,"36-44",B821&gt;25,"26-35",B821&gt;=18,"18-25")</f>
        <v>18-25</v>
      </c>
      <c r="D821" s="4" t="s">
        <v>66</v>
      </c>
      <c r="E821" s="4" t="s">
        <v>72</v>
      </c>
      <c r="F821" s="4" t="s">
        <v>52</v>
      </c>
      <c r="G821" s="4" t="s">
        <v>80</v>
      </c>
      <c r="H821" s="4" t="s">
        <v>1727</v>
      </c>
      <c r="I821" s="4" t="s">
        <v>82</v>
      </c>
      <c r="J821" s="5">
        <v>422.92</v>
      </c>
      <c r="K821" s="3">
        <v>6</v>
      </c>
      <c r="L821" s="4" t="str">
        <f>IF(AND(J821&gt;350,K821&gt;6), "True","False")</f>
        <v>False</v>
      </c>
      <c r="M821" s="4" t="s">
        <v>83</v>
      </c>
      <c r="N821" s="3">
        <v>4</v>
      </c>
      <c r="O821" s="4" t="str" cm="1">
        <f t="array" ref="O821">_xlfn.IFS(P821&lt;=2,"Poor",P821=3,"Average",P821&gt;=4,"Good")</f>
        <v>Poor</v>
      </c>
      <c r="P821" s="3">
        <v>1</v>
      </c>
      <c r="Q821" s="2">
        <v>2</v>
      </c>
      <c r="R821" s="4" t="s">
        <v>57</v>
      </c>
      <c r="S821" s="4" t="s">
        <v>84</v>
      </c>
      <c r="T821" s="3">
        <v>0</v>
      </c>
      <c r="U821" s="4" t="str" cm="1">
        <f t="array" ref="U821">_xlfn.IFS(V821&lt;=4, "Dissatisfied",V821&lt;=7,"Neutral",V821&gt;=8,"Satisfied")</f>
        <v>Neutral</v>
      </c>
      <c r="V821" s="3">
        <v>6</v>
      </c>
      <c r="W821" s="4" t="s">
        <v>59</v>
      </c>
      <c r="X821" s="4" t="s">
        <v>101</v>
      </c>
      <c r="Y821" s="4" t="s">
        <v>75</v>
      </c>
      <c r="Z821" s="1">
        <v>45582</v>
      </c>
      <c r="AA821" s="4" t="str" cm="1">
        <f t="array" ref="AA821">_xlfn.IFS(OR(AB821="December", AB821="February", AB821="January"), "Winter", OR(AB821="March", AB821="April", AB821="May"), "Spring", OR(AB821="June", AB821="July", AB821="August"), "Summer", TRUE, "Autumn")</f>
        <v>Autumn</v>
      </c>
      <c r="AB821" s="7" t="str">
        <f>TEXT(Z821, "mmmm")</f>
        <v>October</v>
      </c>
      <c r="AC821" s="1" t="str">
        <f>TEXT(Z821, "dddd")</f>
        <v>Thursday</v>
      </c>
      <c r="AD821" s="4" t="s">
        <v>76</v>
      </c>
      <c r="AE821" s="4" t="s">
        <v>62</v>
      </c>
      <c r="AF821" s="4" t="s">
        <v>87</v>
      </c>
      <c r="AG821" s="4" t="s">
        <v>88</v>
      </c>
      <c r="AH821" s="3">
        <v>6</v>
      </c>
    </row>
    <row r="822" spans="1:34">
      <c r="A822" s="4" t="s">
        <v>1728</v>
      </c>
      <c r="B822" s="3">
        <v>47</v>
      </c>
      <c r="C822" s="9" t="str" cm="1">
        <f t="array" ref="C822">_xlfn.IFS(B822&gt;65,"+65",B822&gt;54,"55-65",B822&gt;44,"45-54",B822&gt;35,"36-44",B822&gt;25,"26-35",B822&gt;=18,"18-25")</f>
        <v>45-54</v>
      </c>
      <c r="D822" s="4" t="s">
        <v>66</v>
      </c>
      <c r="E822" s="4" t="s">
        <v>51</v>
      </c>
      <c r="F822" s="4" t="s">
        <v>52</v>
      </c>
      <c r="G822" s="4" t="s">
        <v>80</v>
      </c>
      <c r="H822" s="4" t="s">
        <v>1729</v>
      </c>
      <c r="I822" s="4" t="s">
        <v>223</v>
      </c>
      <c r="J822" s="5">
        <v>67.92</v>
      </c>
      <c r="K822" s="3">
        <v>3</v>
      </c>
      <c r="L822" s="4" t="str">
        <f>IF(AND(J822&gt;350,K822&gt;6), "True","False")</f>
        <v>False</v>
      </c>
      <c r="M822" s="4" t="s">
        <v>71</v>
      </c>
      <c r="N822" s="3">
        <v>1</v>
      </c>
      <c r="O822" s="4" t="str" cm="1">
        <f t="array" ref="O822">_xlfn.IFS(P822&lt;=2,"Poor",P822=3,"Average",P822&gt;=4,"Good")</f>
        <v>Average</v>
      </c>
      <c r="P822" s="3">
        <v>3</v>
      </c>
      <c r="Q822" s="2">
        <v>0</v>
      </c>
      <c r="R822" s="4" t="s">
        <v>59</v>
      </c>
      <c r="S822" s="4" t="s">
        <v>58</v>
      </c>
      <c r="T822" s="3">
        <v>1</v>
      </c>
      <c r="U822" s="4" t="str" cm="1">
        <f t="array" ref="U822">_xlfn.IFS(V822&lt;=4, "Dissatisfied",V822&lt;=7,"Neutral",V822&gt;=8,"Satisfied")</f>
        <v>Satisfied</v>
      </c>
      <c r="V822" s="3">
        <v>8</v>
      </c>
      <c r="W822" s="4" t="s">
        <v>59</v>
      </c>
      <c r="X822" s="4" t="s">
        <v>74</v>
      </c>
      <c r="Y822" s="4" t="s">
        <v>61</v>
      </c>
      <c r="Z822" s="1">
        <v>45583</v>
      </c>
      <c r="AA822" s="4" t="str" cm="1">
        <f t="array" ref="AA822">_xlfn.IFS(OR(AB822="December", AB822="February", AB822="January"), "Winter", OR(AB822="March", AB822="April", AB822="May"), "Spring", OR(AB822="June", AB822="July", AB822="August"), "Summer", TRUE, "Autumn")</f>
        <v>Autumn</v>
      </c>
      <c r="AB822" s="7" t="str">
        <f>TEXT(Z822, "mmmm")</f>
        <v>October</v>
      </c>
      <c r="AC822" s="1" t="str">
        <f>TEXT(Z822, "dddd")</f>
        <v>Friday</v>
      </c>
      <c r="AD822" s="4" t="s">
        <v>76</v>
      </c>
      <c r="AE822" s="4" t="s">
        <v>62</v>
      </c>
      <c r="AF822" s="4" t="s">
        <v>92</v>
      </c>
      <c r="AG822" s="4" t="s">
        <v>93</v>
      </c>
      <c r="AH822" s="3">
        <v>10</v>
      </c>
    </row>
    <row r="823" spans="1:34">
      <c r="A823" s="4" t="s">
        <v>1730</v>
      </c>
      <c r="B823" s="3">
        <v>42</v>
      </c>
      <c r="C823" s="9" t="str" cm="1">
        <f t="array" ref="C823">_xlfn.IFS(B823&gt;65,"+65",B823&gt;54,"55-65",B823&gt;44,"45-54",B823&gt;35,"36-44",B823&gt;25,"26-35",B823&gt;=18,"18-25")</f>
        <v>36-44</v>
      </c>
      <c r="D823" s="4" t="s">
        <v>66</v>
      </c>
      <c r="E823" s="4" t="s">
        <v>51</v>
      </c>
      <c r="F823" s="4" t="s">
        <v>52</v>
      </c>
      <c r="G823" s="4" t="s">
        <v>80</v>
      </c>
      <c r="H823" s="4" t="s">
        <v>1731</v>
      </c>
      <c r="I823" s="4" t="s">
        <v>91</v>
      </c>
      <c r="J823" s="5">
        <v>226.48</v>
      </c>
      <c r="K823" s="3">
        <v>11</v>
      </c>
      <c r="L823" s="4" t="str">
        <f>IF(AND(J823&gt;350,K823&gt;6), "True","False")</f>
        <v>False</v>
      </c>
      <c r="M823" s="4" t="s">
        <v>71</v>
      </c>
      <c r="N823" s="3">
        <v>5</v>
      </c>
      <c r="O823" s="4" t="str" cm="1">
        <f t="array" ref="O823">_xlfn.IFS(P823&lt;=2,"Poor",P823=3,"Average",P823&gt;=4,"Good")</f>
        <v>Average</v>
      </c>
      <c r="P823" s="3">
        <v>3</v>
      </c>
      <c r="Q823" s="2">
        <v>2</v>
      </c>
      <c r="R823" s="4" t="s">
        <v>57</v>
      </c>
      <c r="S823" s="4" t="s">
        <v>58</v>
      </c>
      <c r="T823" s="3">
        <v>2</v>
      </c>
      <c r="U823" s="4" t="str" cm="1">
        <f t="array" ref="U823">_xlfn.IFS(V823&lt;=4, "Dissatisfied",V823&lt;=7,"Neutral",V823&gt;=8,"Satisfied")</f>
        <v>Neutral</v>
      </c>
      <c r="V823" s="3">
        <v>7</v>
      </c>
      <c r="W823" s="4" t="s">
        <v>72</v>
      </c>
      <c r="X823" s="4" t="s">
        <v>74</v>
      </c>
      <c r="Y823" s="4" t="s">
        <v>75</v>
      </c>
      <c r="Z823" s="1">
        <v>45583</v>
      </c>
      <c r="AA823" s="4" t="str" cm="1">
        <f t="array" ref="AA823">_xlfn.IFS(OR(AB823="December", AB823="February", AB823="January"), "Winter", OR(AB823="March", AB823="April", AB823="May"), "Spring", OR(AB823="June", AB823="July", AB823="August"), "Summer", TRUE, "Autumn")</f>
        <v>Autumn</v>
      </c>
      <c r="AB823" s="7" t="str">
        <f>TEXT(Z823, "mmmm")</f>
        <v>October</v>
      </c>
      <c r="AC823" s="1" t="str">
        <f>TEXT(Z823, "dddd")</f>
        <v>Friday</v>
      </c>
      <c r="AD823" s="4" t="s">
        <v>62</v>
      </c>
      <c r="AE823" s="4" t="s">
        <v>76</v>
      </c>
      <c r="AF823" s="4" t="s">
        <v>63</v>
      </c>
      <c r="AG823" s="4" t="s">
        <v>93</v>
      </c>
      <c r="AH823" s="3">
        <v>11</v>
      </c>
    </row>
    <row r="824" spans="1:34">
      <c r="A824" s="4" t="s">
        <v>1732</v>
      </c>
      <c r="B824" s="3">
        <v>37</v>
      </c>
      <c r="C824" s="9" t="str" cm="1">
        <f t="array" ref="C824">_xlfn.IFS(B824&gt;65,"+65",B824&gt;54,"55-65",B824&gt;44,"45-54",B824&gt;35,"36-44",B824&gt;25,"26-35",B824&gt;=18,"18-25")</f>
        <v>36-44</v>
      </c>
      <c r="D824" s="4" t="s">
        <v>66</v>
      </c>
      <c r="E824" s="4" t="s">
        <v>72</v>
      </c>
      <c r="F824" s="4" t="s">
        <v>52</v>
      </c>
      <c r="G824" s="4" t="s">
        <v>53</v>
      </c>
      <c r="H824" s="4" t="s">
        <v>1733</v>
      </c>
      <c r="I824" s="4" t="s">
        <v>223</v>
      </c>
      <c r="J824" s="5">
        <v>356.45</v>
      </c>
      <c r="K824" s="3">
        <v>6</v>
      </c>
      <c r="L824" s="4" t="str">
        <f>IF(AND(J824&gt;350,K824&gt;6), "True","False")</f>
        <v>False</v>
      </c>
      <c r="M824" s="4" t="s">
        <v>83</v>
      </c>
      <c r="N824" s="3">
        <v>5</v>
      </c>
      <c r="O824" s="4" t="str" cm="1">
        <f t="array" ref="O824">_xlfn.IFS(P824&lt;=2,"Poor",P824=3,"Average",P824&gt;=4,"Good")</f>
        <v>Good</v>
      </c>
      <c r="P824" s="3">
        <v>5</v>
      </c>
      <c r="Q824" s="2">
        <v>2</v>
      </c>
      <c r="R824" s="4" t="s">
        <v>59</v>
      </c>
      <c r="S824" s="4" t="s">
        <v>73</v>
      </c>
      <c r="T824" s="3">
        <v>0</v>
      </c>
      <c r="U824" s="4" t="str" cm="1">
        <f t="array" ref="U824">_xlfn.IFS(V824&lt;=4, "Dissatisfied",V824&lt;=7,"Neutral",V824&gt;=8,"Satisfied")</f>
        <v>Neutral</v>
      </c>
      <c r="V824" s="3">
        <v>7</v>
      </c>
      <c r="W824" s="4" t="s">
        <v>85</v>
      </c>
      <c r="X824" s="4" t="s">
        <v>60</v>
      </c>
      <c r="Y824" s="4" t="s">
        <v>119</v>
      </c>
      <c r="Z824" s="1">
        <v>45583</v>
      </c>
      <c r="AA824" s="4" t="str" cm="1">
        <f t="array" ref="AA824">_xlfn.IFS(OR(AB824="December", AB824="February", AB824="January"), "Winter", OR(AB824="March", AB824="April", AB824="May"), "Spring", OR(AB824="June", AB824="July", AB824="August"), "Summer", TRUE, "Autumn")</f>
        <v>Autumn</v>
      </c>
      <c r="AB824" s="7" t="str">
        <f>TEXT(Z824, "mmmm")</f>
        <v>October</v>
      </c>
      <c r="AC824" s="1" t="str">
        <f>TEXT(Z824, "dddd")</f>
        <v>Friday</v>
      </c>
      <c r="AD824" s="4" t="s">
        <v>76</v>
      </c>
      <c r="AE824" s="4" t="s">
        <v>62</v>
      </c>
      <c r="AF824" s="4" t="s">
        <v>87</v>
      </c>
      <c r="AG824" s="4" t="s">
        <v>64</v>
      </c>
      <c r="AH824" s="3">
        <v>8</v>
      </c>
    </row>
    <row r="825" spans="1:34">
      <c r="A825" s="4" t="s">
        <v>1734</v>
      </c>
      <c r="B825" s="3">
        <v>45</v>
      </c>
      <c r="C825" s="9" t="str" cm="1">
        <f t="array" ref="C825">_xlfn.IFS(B825&gt;65,"+65",B825&gt;54,"55-65",B825&gt;44,"45-54",B825&gt;35,"36-44",B825&gt;25,"26-35",B825&gt;=18,"18-25")</f>
        <v>45-54</v>
      </c>
      <c r="D825" s="4" t="s">
        <v>78</v>
      </c>
      <c r="E825" s="4" t="s">
        <v>51</v>
      </c>
      <c r="F825" s="4" t="s">
        <v>52</v>
      </c>
      <c r="G825" s="4" t="s">
        <v>68</v>
      </c>
      <c r="H825" s="4" t="s">
        <v>1735</v>
      </c>
      <c r="I825" s="4" t="s">
        <v>70</v>
      </c>
      <c r="J825" s="5">
        <v>64.489999999999995</v>
      </c>
      <c r="K825" s="3">
        <v>6</v>
      </c>
      <c r="L825" s="4" t="str">
        <f>IF(AND(J825&gt;350,K825&gt;6), "True","False")</f>
        <v>False</v>
      </c>
      <c r="M825" s="4" t="s">
        <v>56</v>
      </c>
      <c r="N825" s="3">
        <v>2</v>
      </c>
      <c r="O825" s="4" t="str" cm="1">
        <f t="array" ref="O825">_xlfn.IFS(P825&lt;=2,"Poor",P825=3,"Average",P825&gt;=4,"Good")</f>
        <v>Poor</v>
      </c>
      <c r="P825" s="3">
        <v>1</v>
      </c>
      <c r="Q825" s="2">
        <v>0</v>
      </c>
      <c r="R825" s="4" t="s">
        <v>57</v>
      </c>
      <c r="S825" s="4" t="s">
        <v>73</v>
      </c>
      <c r="T825" s="3">
        <v>1</v>
      </c>
      <c r="U825" s="4" t="str" cm="1">
        <f t="array" ref="U825">_xlfn.IFS(V825&lt;=4, "Dissatisfied",V825&lt;=7,"Neutral",V825&gt;=8,"Satisfied")</f>
        <v>Satisfied</v>
      </c>
      <c r="V825" s="3">
        <v>10</v>
      </c>
      <c r="W825" s="4" t="s">
        <v>57</v>
      </c>
      <c r="X825" s="4" t="s">
        <v>74</v>
      </c>
      <c r="Y825" s="4" t="s">
        <v>111</v>
      </c>
      <c r="Z825" s="1">
        <v>45584</v>
      </c>
      <c r="AA825" s="4" t="str" cm="1">
        <f t="array" ref="AA825">_xlfn.IFS(OR(AB825="December", AB825="February", AB825="January"), "Winter", OR(AB825="March", AB825="April", AB825="May"), "Spring", OR(AB825="June", AB825="July", AB825="August"), "Summer", TRUE, "Autumn")</f>
        <v>Autumn</v>
      </c>
      <c r="AB825" s="7" t="str">
        <f>TEXT(Z825, "mmmm")</f>
        <v>October</v>
      </c>
      <c r="AC825" s="1" t="str">
        <f>TEXT(Z825, "dddd")</f>
        <v>Saturday</v>
      </c>
      <c r="AD825" s="4" t="s">
        <v>76</v>
      </c>
      <c r="AE825" s="4" t="s">
        <v>76</v>
      </c>
      <c r="AF825" s="4" t="s">
        <v>87</v>
      </c>
      <c r="AG825" s="4" t="s">
        <v>93</v>
      </c>
      <c r="AH825" s="3">
        <v>7</v>
      </c>
    </row>
    <row r="826" spans="1:34">
      <c r="A826" s="4" t="s">
        <v>1736</v>
      </c>
      <c r="B826" s="3">
        <v>44</v>
      </c>
      <c r="C826" s="9" t="str" cm="1">
        <f t="array" ref="C826">_xlfn.IFS(B826&gt;65,"+65",B826&gt;54,"55-65",B826&gt;44,"45-54",B826&gt;35,"36-44",B826&gt;25,"26-35",B826&gt;=18,"18-25")</f>
        <v>36-44</v>
      </c>
      <c r="D826" s="4" t="s">
        <v>66</v>
      </c>
      <c r="E826" s="4" t="s">
        <v>72</v>
      </c>
      <c r="F826" s="4" t="s">
        <v>95</v>
      </c>
      <c r="G826" s="4" t="s">
        <v>68</v>
      </c>
      <c r="H826" s="4" t="s">
        <v>1737</v>
      </c>
      <c r="I826" s="4" t="s">
        <v>172</v>
      </c>
      <c r="J826" s="5">
        <v>64.09</v>
      </c>
      <c r="K826" s="3">
        <v>10</v>
      </c>
      <c r="L826" s="4" t="str">
        <f>IF(AND(J826&gt;350,K826&gt;6), "True","False")</f>
        <v>False</v>
      </c>
      <c r="M826" s="4" t="s">
        <v>56</v>
      </c>
      <c r="N826" s="3">
        <v>5</v>
      </c>
      <c r="O826" s="4" t="str" cm="1">
        <f t="array" ref="O826">_xlfn.IFS(P826&lt;=2,"Poor",P826=3,"Average",P826&gt;=4,"Good")</f>
        <v>Good</v>
      </c>
      <c r="P826" s="3">
        <v>5</v>
      </c>
      <c r="Q826" s="2">
        <v>0</v>
      </c>
      <c r="R826" s="4" t="s">
        <v>57</v>
      </c>
      <c r="S826" s="4" t="s">
        <v>84</v>
      </c>
      <c r="T826" s="3">
        <v>0</v>
      </c>
      <c r="U826" s="4" t="str" cm="1">
        <f t="array" ref="U826">_xlfn.IFS(V826&lt;=4, "Dissatisfied",V826&lt;=7,"Neutral",V826&gt;=8,"Satisfied")</f>
        <v>Neutral</v>
      </c>
      <c r="V826" s="3">
        <v>6</v>
      </c>
      <c r="W826" s="4" t="s">
        <v>59</v>
      </c>
      <c r="X826" s="4" t="s">
        <v>101</v>
      </c>
      <c r="Y826" s="4" t="s">
        <v>119</v>
      </c>
      <c r="Z826" s="1">
        <v>45585</v>
      </c>
      <c r="AA826" s="4" t="str" cm="1">
        <f t="array" ref="AA826">_xlfn.IFS(OR(AB826="December", AB826="February", AB826="January"), "Winter", OR(AB826="March", AB826="April", AB826="May"), "Spring", OR(AB826="June", AB826="July", AB826="August"), "Summer", TRUE, "Autumn")</f>
        <v>Autumn</v>
      </c>
      <c r="AB826" s="7" t="str">
        <f>TEXT(Z826, "mmmm")</f>
        <v>October</v>
      </c>
      <c r="AC826" s="1" t="str">
        <f>TEXT(Z826, "dddd")</f>
        <v>Sunday</v>
      </c>
      <c r="AD826" s="4" t="s">
        <v>62</v>
      </c>
      <c r="AE826" s="4" t="s">
        <v>76</v>
      </c>
      <c r="AF826" s="4" t="s">
        <v>63</v>
      </c>
      <c r="AG826" s="4" t="s">
        <v>93</v>
      </c>
      <c r="AH826" s="3">
        <v>7</v>
      </c>
    </row>
    <row r="827" spans="1:34">
      <c r="A827" s="4" t="s">
        <v>1738</v>
      </c>
      <c r="B827" s="3">
        <v>29</v>
      </c>
      <c r="C827" s="9" t="str" cm="1">
        <f t="array" ref="C827">_xlfn.IFS(B827&gt;65,"+65",B827&gt;54,"55-65",B827&gt;44,"45-54",B827&gt;35,"36-44",B827&gt;25,"26-35",B827&gt;=18,"18-25")</f>
        <v>26-35</v>
      </c>
      <c r="D827" s="4" t="s">
        <v>66</v>
      </c>
      <c r="E827" s="4" t="s">
        <v>51</v>
      </c>
      <c r="F827" s="4" t="s">
        <v>79</v>
      </c>
      <c r="G827" s="4" t="s">
        <v>53</v>
      </c>
      <c r="H827" s="4" t="s">
        <v>1739</v>
      </c>
      <c r="I827" s="4" t="s">
        <v>91</v>
      </c>
      <c r="J827" s="5">
        <v>325.42</v>
      </c>
      <c r="K827" s="3">
        <v>11</v>
      </c>
      <c r="L827" s="4" t="str">
        <f>IF(AND(J827&gt;350,K827&gt;6), "True","False")</f>
        <v>False</v>
      </c>
      <c r="M827" s="4" t="s">
        <v>71</v>
      </c>
      <c r="N827" s="3">
        <v>2</v>
      </c>
      <c r="O827" s="4" t="str" cm="1">
        <f t="array" ref="O827">_xlfn.IFS(P827&lt;=2,"Poor",P827=3,"Average",P827&gt;=4,"Good")</f>
        <v>Good</v>
      </c>
      <c r="P827" s="3">
        <v>4</v>
      </c>
      <c r="Q827" s="2">
        <v>2</v>
      </c>
      <c r="R827" s="4" t="s">
        <v>59</v>
      </c>
      <c r="S827" s="4" t="s">
        <v>58</v>
      </c>
      <c r="T827" s="3">
        <v>1</v>
      </c>
      <c r="U827" s="4" t="str" cm="1">
        <f t="array" ref="U827">_xlfn.IFS(V827&lt;=4, "Dissatisfied",V827&lt;=7,"Neutral",V827&gt;=8,"Satisfied")</f>
        <v>Dissatisfied</v>
      </c>
      <c r="V827" s="3">
        <v>1</v>
      </c>
      <c r="W827" s="4" t="s">
        <v>72</v>
      </c>
      <c r="X827" s="4" t="s">
        <v>101</v>
      </c>
      <c r="Y827" s="4" t="s">
        <v>111</v>
      </c>
      <c r="Z827" s="1">
        <v>45585</v>
      </c>
      <c r="AA827" s="4" t="str" cm="1">
        <f t="array" ref="AA827">_xlfn.IFS(OR(AB827="December", AB827="February", AB827="January"), "Winter", OR(AB827="March", AB827="April", AB827="May"), "Spring", OR(AB827="June", AB827="July", AB827="August"), "Summer", TRUE, "Autumn")</f>
        <v>Autumn</v>
      </c>
      <c r="AB827" s="7" t="str">
        <f>TEXT(Z827, "mmmm")</f>
        <v>October</v>
      </c>
      <c r="AC827" s="1" t="str">
        <f>TEXT(Z827, "dddd")</f>
        <v>Sunday</v>
      </c>
      <c r="AD827" s="4" t="s">
        <v>62</v>
      </c>
      <c r="AE827" s="4" t="s">
        <v>76</v>
      </c>
      <c r="AF827" s="4" t="s">
        <v>92</v>
      </c>
      <c r="AG827" s="4" t="s">
        <v>93</v>
      </c>
      <c r="AH827" s="3">
        <v>7</v>
      </c>
    </row>
    <row r="828" spans="1:34">
      <c r="A828" s="4" t="s">
        <v>1740</v>
      </c>
      <c r="B828" s="3">
        <v>21</v>
      </c>
      <c r="C828" s="9" t="str" cm="1">
        <f t="array" ref="C828">_xlfn.IFS(B828&gt;65,"+65",B828&gt;54,"55-65",B828&gt;44,"45-54",B828&gt;35,"36-44",B828&gt;25,"26-35",B828&gt;=18,"18-25")</f>
        <v>18-25</v>
      </c>
      <c r="D828" s="4" t="s">
        <v>456</v>
      </c>
      <c r="E828" s="4" t="s">
        <v>51</v>
      </c>
      <c r="F828" s="4" t="s">
        <v>95</v>
      </c>
      <c r="G828" s="4" t="s">
        <v>80</v>
      </c>
      <c r="H828" s="4" t="s">
        <v>1741</v>
      </c>
      <c r="I828" s="4" t="s">
        <v>70</v>
      </c>
      <c r="J828" s="5">
        <v>114.44</v>
      </c>
      <c r="K828" s="3">
        <v>4</v>
      </c>
      <c r="L828" s="4" t="str">
        <f>IF(AND(J828&gt;350,K828&gt;6), "True","False")</f>
        <v>False</v>
      </c>
      <c r="M828" s="4" t="s">
        <v>56</v>
      </c>
      <c r="N828" s="3">
        <v>5</v>
      </c>
      <c r="O828" s="4" t="str" cm="1">
        <f t="array" ref="O828">_xlfn.IFS(P828&lt;=2,"Poor",P828=3,"Average",P828&gt;=4,"Good")</f>
        <v>Average</v>
      </c>
      <c r="P828" s="3">
        <v>3</v>
      </c>
      <c r="Q828" s="2">
        <v>2</v>
      </c>
      <c r="R828" s="4" t="s">
        <v>59</v>
      </c>
      <c r="S828" s="4" t="s">
        <v>58</v>
      </c>
      <c r="T828" s="3">
        <v>1</v>
      </c>
      <c r="U828" s="4" t="str" cm="1">
        <f t="array" ref="U828">_xlfn.IFS(V828&lt;=4, "Dissatisfied",V828&lt;=7,"Neutral",V828&gt;=8,"Satisfied")</f>
        <v>Satisfied</v>
      </c>
      <c r="V828" s="3">
        <v>9</v>
      </c>
      <c r="W828" s="4" t="s">
        <v>57</v>
      </c>
      <c r="X828" s="4" t="s">
        <v>101</v>
      </c>
      <c r="Y828" s="4" t="s">
        <v>119</v>
      </c>
      <c r="Z828" s="1">
        <v>45585</v>
      </c>
      <c r="AA828" s="4" t="str" cm="1">
        <f t="array" ref="AA828">_xlfn.IFS(OR(AB828="December", AB828="February", AB828="January"), "Winter", OR(AB828="March", AB828="April", AB828="May"), "Spring", OR(AB828="June", AB828="July", AB828="August"), "Summer", TRUE, "Autumn")</f>
        <v>Autumn</v>
      </c>
      <c r="AB828" s="7" t="str">
        <f>TEXT(Z828, "mmmm")</f>
        <v>October</v>
      </c>
      <c r="AC828" s="1" t="str">
        <f>TEXT(Z828, "dddd")</f>
        <v>Sunday</v>
      </c>
      <c r="AD828" s="4" t="s">
        <v>76</v>
      </c>
      <c r="AE828" s="4" t="s">
        <v>76</v>
      </c>
      <c r="AF828" s="4" t="s">
        <v>87</v>
      </c>
      <c r="AG828" s="4" t="s">
        <v>93</v>
      </c>
      <c r="AH828" s="3">
        <v>1</v>
      </c>
    </row>
    <row r="829" spans="1:34">
      <c r="A829" s="4" t="s">
        <v>1742</v>
      </c>
      <c r="B829" s="3">
        <v>46</v>
      </c>
      <c r="C829" s="9" t="str" cm="1">
        <f t="array" ref="C829">_xlfn.IFS(B829&gt;65,"+65",B829&gt;54,"55-65",B829&gt;44,"45-54",B829&gt;35,"36-44",B829&gt;25,"26-35",B829&gt;=18,"18-25")</f>
        <v>45-54</v>
      </c>
      <c r="D829" s="4" t="s">
        <v>78</v>
      </c>
      <c r="E829" s="4" t="s">
        <v>51</v>
      </c>
      <c r="F829" s="4" t="s">
        <v>95</v>
      </c>
      <c r="G829" s="4" t="s">
        <v>80</v>
      </c>
      <c r="H829" s="4" t="s">
        <v>1743</v>
      </c>
      <c r="I829" s="4" t="s">
        <v>164</v>
      </c>
      <c r="J829" s="5">
        <v>329.41</v>
      </c>
      <c r="K829" s="3">
        <v>5</v>
      </c>
      <c r="L829" s="4" t="str">
        <f>IF(AND(J829&gt;350,K829&gt;6), "True","False")</f>
        <v>False</v>
      </c>
      <c r="M829" s="4" t="s">
        <v>71</v>
      </c>
      <c r="N829" s="3">
        <v>5</v>
      </c>
      <c r="O829" s="4" t="str" cm="1">
        <f t="array" ref="O829">_xlfn.IFS(P829&lt;=2,"Poor",P829=3,"Average",P829&gt;=4,"Good")</f>
        <v>Average</v>
      </c>
      <c r="P829" s="3">
        <v>3</v>
      </c>
      <c r="Q829" s="2">
        <v>0</v>
      </c>
      <c r="R829" s="4" t="s">
        <v>85</v>
      </c>
      <c r="S829" s="4" t="s">
        <v>84</v>
      </c>
      <c r="T829" s="3">
        <v>1</v>
      </c>
      <c r="U829" s="4" t="str" cm="1">
        <f t="array" ref="U829">_xlfn.IFS(V829&lt;=4, "Dissatisfied",V829&lt;=7,"Neutral",V829&gt;=8,"Satisfied")</f>
        <v>Dissatisfied</v>
      </c>
      <c r="V829" s="3">
        <v>1</v>
      </c>
      <c r="W829" s="4" t="s">
        <v>72</v>
      </c>
      <c r="X829" s="4" t="s">
        <v>101</v>
      </c>
      <c r="Y829" s="4" t="s">
        <v>61</v>
      </c>
      <c r="Z829" s="1">
        <v>45586</v>
      </c>
      <c r="AA829" s="4" t="str" cm="1">
        <f t="array" ref="AA829">_xlfn.IFS(OR(AB829="December", AB829="February", AB829="January"), "Winter", OR(AB829="March", AB829="April", AB829="May"), "Spring", OR(AB829="June", AB829="July", AB829="August"), "Summer", TRUE, "Autumn")</f>
        <v>Autumn</v>
      </c>
      <c r="AB829" s="7" t="str">
        <f>TEXT(Z829, "mmmm")</f>
        <v>October</v>
      </c>
      <c r="AC829" s="1" t="str">
        <f>TEXT(Z829, "dddd")</f>
        <v>Monday</v>
      </c>
      <c r="AD829" s="4" t="s">
        <v>62</v>
      </c>
      <c r="AE829" s="4" t="s">
        <v>62</v>
      </c>
      <c r="AF829" s="4" t="s">
        <v>63</v>
      </c>
      <c r="AG829" s="4" t="s">
        <v>88</v>
      </c>
      <c r="AH829" s="3">
        <v>2</v>
      </c>
    </row>
    <row r="830" spans="1:34">
      <c r="A830" s="4" t="s">
        <v>1744</v>
      </c>
      <c r="B830" s="3">
        <v>40</v>
      </c>
      <c r="C830" s="9" t="str" cm="1">
        <f t="array" ref="C830">_xlfn.IFS(B830&gt;65,"+65",B830&gt;54,"55-65",B830&gt;44,"45-54",B830&gt;35,"36-44",B830&gt;25,"26-35",B830&gt;=18,"18-25")</f>
        <v>36-44</v>
      </c>
      <c r="D830" s="4" t="s">
        <v>66</v>
      </c>
      <c r="E830" s="4" t="s">
        <v>51</v>
      </c>
      <c r="F830" s="4" t="s">
        <v>79</v>
      </c>
      <c r="G830" s="4" t="s">
        <v>68</v>
      </c>
      <c r="H830" s="4" t="s">
        <v>1745</v>
      </c>
      <c r="I830" s="4" t="s">
        <v>70</v>
      </c>
      <c r="J830" s="5">
        <v>399.56</v>
      </c>
      <c r="K830" s="3">
        <v>10</v>
      </c>
      <c r="L830" s="4" t="str">
        <f>IF(AND(J830&gt;350,K830&gt;6), "True","False")</f>
        <v>True</v>
      </c>
      <c r="M830" s="4" t="s">
        <v>56</v>
      </c>
      <c r="N830" s="3">
        <v>4</v>
      </c>
      <c r="O830" s="4" t="str" cm="1">
        <f t="array" ref="O830">_xlfn.IFS(P830&lt;=2,"Poor",P830=3,"Average",P830&gt;=4,"Good")</f>
        <v>Poor</v>
      </c>
      <c r="P830" s="3">
        <v>2</v>
      </c>
      <c r="Q830" s="2">
        <v>1</v>
      </c>
      <c r="R830" s="4" t="s">
        <v>59</v>
      </c>
      <c r="S830" s="4" t="s">
        <v>58</v>
      </c>
      <c r="T830" s="3">
        <v>0</v>
      </c>
      <c r="U830" s="4" t="str" cm="1">
        <f t="array" ref="U830">_xlfn.IFS(V830&lt;=4, "Dissatisfied",V830&lt;=7,"Neutral",V830&gt;=8,"Satisfied")</f>
        <v>Dissatisfied</v>
      </c>
      <c r="V830" s="3">
        <v>4</v>
      </c>
      <c r="W830" s="4" t="s">
        <v>85</v>
      </c>
      <c r="X830" s="4" t="s">
        <v>101</v>
      </c>
      <c r="Y830" s="4" t="s">
        <v>61</v>
      </c>
      <c r="Z830" s="1">
        <v>45586</v>
      </c>
      <c r="AA830" s="4" t="str" cm="1">
        <f t="array" ref="AA830">_xlfn.IFS(OR(AB830="December", AB830="February", AB830="January"), "Winter", OR(AB830="March", AB830="April", AB830="May"), "Spring", OR(AB830="June", AB830="July", AB830="August"), "Summer", TRUE, "Autumn")</f>
        <v>Autumn</v>
      </c>
      <c r="AB830" s="7" t="str">
        <f>TEXT(Z830, "mmmm")</f>
        <v>October</v>
      </c>
      <c r="AC830" s="1" t="str">
        <f>TEXT(Z830, "dddd")</f>
        <v>Monday</v>
      </c>
      <c r="AD830" s="4" t="s">
        <v>62</v>
      </c>
      <c r="AE830" s="4" t="s">
        <v>62</v>
      </c>
      <c r="AF830" s="4" t="s">
        <v>63</v>
      </c>
      <c r="AG830" s="4" t="s">
        <v>88</v>
      </c>
      <c r="AH830" s="3">
        <v>1</v>
      </c>
    </row>
    <row r="831" spans="1:34">
      <c r="A831" s="4" t="s">
        <v>1746</v>
      </c>
      <c r="B831" s="3">
        <v>25</v>
      </c>
      <c r="C831" s="9" t="str" cm="1">
        <f t="array" ref="C831">_xlfn.IFS(B831&gt;65,"+65",B831&gt;54,"55-65",B831&gt;44,"45-54",B831&gt;35,"36-44",B831&gt;25,"26-35",B831&gt;=18,"18-25")</f>
        <v>18-25</v>
      </c>
      <c r="D831" s="4" t="s">
        <v>78</v>
      </c>
      <c r="E831" s="4" t="s">
        <v>51</v>
      </c>
      <c r="F831" s="4" t="s">
        <v>79</v>
      </c>
      <c r="G831" s="4" t="s">
        <v>53</v>
      </c>
      <c r="H831" s="4" t="s">
        <v>1747</v>
      </c>
      <c r="I831" s="4" t="s">
        <v>172</v>
      </c>
      <c r="J831" s="5">
        <v>264.01</v>
      </c>
      <c r="K831" s="3">
        <v>4</v>
      </c>
      <c r="L831" s="4" t="str">
        <f>IF(AND(J831&gt;350,K831&gt;6), "True","False")</f>
        <v>False</v>
      </c>
      <c r="M831" s="4" t="s">
        <v>71</v>
      </c>
      <c r="N831" s="3">
        <v>3</v>
      </c>
      <c r="O831" s="4" t="str" cm="1">
        <f t="array" ref="O831">_xlfn.IFS(P831&lt;=2,"Poor",P831=3,"Average",P831&gt;=4,"Good")</f>
        <v>Good</v>
      </c>
      <c r="P831" s="3">
        <v>4</v>
      </c>
      <c r="Q831" s="2">
        <v>0</v>
      </c>
      <c r="R831" s="4" t="s">
        <v>72</v>
      </c>
      <c r="S831" s="4" t="s">
        <v>84</v>
      </c>
      <c r="T831" s="3">
        <v>1</v>
      </c>
      <c r="U831" s="4" t="str" cm="1">
        <f t="array" ref="U831">_xlfn.IFS(V831&lt;=4, "Dissatisfied",V831&lt;=7,"Neutral",V831&gt;=8,"Satisfied")</f>
        <v>Neutral</v>
      </c>
      <c r="V831" s="3">
        <v>5</v>
      </c>
      <c r="W831" s="4" t="s">
        <v>57</v>
      </c>
      <c r="X831" s="4" t="s">
        <v>101</v>
      </c>
      <c r="Y831" s="4" t="s">
        <v>111</v>
      </c>
      <c r="Z831" s="1">
        <v>45586</v>
      </c>
      <c r="AA831" s="4" t="str" cm="1">
        <f t="array" ref="AA831">_xlfn.IFS(OR(AB831="December", AB831="February", AB831="January"), "Winter", OR(AB831="March", AB831="April", AB831="May"), "Spring", OR(AB831="June", AB831="July", AB831="August"), "Summer", TRUE, "Autumn")</f>
        <v>Autumn</v>
      </c>
      <c r="AB831" s="7" t="str">
        <f>TEXT(Z831, "mmmm")</f>
        <v>October</v>
      </c>
      <c r="AC831" s="1" t="str">
        <f>TEXT(Z831, "dddd")</f>
        <v>Monday</v>
      </c>
      <c r="AD831" s="4" t="s">
        <v>62</v>
      </c>
      <c r="AE831" s="4" t="s">
        <v>76</v>
      </c>
      <c r="AF831" s="4" t="s">
        <v>63</v>
      </c>
      <c r="AG831" s="4" t="s">
        <v>88</v>
      </c>
      <c r="AH831" s="3">
        <v>2</v>
      </c>
    </row>
    <row r="832" spans="1:34">
      <c r="A832" s="4" t="s">
        <v>1748</v>
      </c>
      <c r="B832" s="3">
        <v>50</v>
      </c>
      <c r="C832" s="9" t="str" cm="1">
        <f t="array" ref="C832">_xlfn.IFS(B832&gt;65,"+65",B832&gt;54,"55-65",B832&gt;44,"45-54",B832&gt;35,"36-44",B832&gt;25,"26-35",B832&gt;=18,"18-25")</f>
        <v>45-54</v>
      </c>
      <c r="D832" s="4" t="s">
        <v>78</v>
      </c>
      <c r="E832" s="4" t="s">
        <v>51</v>
      </c>
      <c r="F832" s="4" t="s">
        <v>67</v>
      </c>
      <c r="G832" s="4" t="s">
        <v>68</v>
      </c>
      <c r="H832" s="4" t="s">
        <v>1749</v>
      </c>
      <c r="I832" s="4" t="s">
        <v>194</v>
      </c>
      <c r="J832" s="5">
        <v>490.41</v>
      </c>
      <c r="K832" s="3">
        <v>7</v>
      </c>
      <c r="L832" s="4" t="str">
        <f>IF(AND(J832&gt;350,K832&gt;6), "True","False")</f>
        <v>True</v>
      </c>
      <c r="M832" s="4" t="s">
        <v>56</v>
      </c>
      <c r="N832" s="3">
        <v>3</v>
      </c>
      <c r="O832" s="4" t="str" cm="1">
        <f t="array" ref="O832">_xlfn.IFS(P832&lt;=2,"Poor",P832=3,"Average",P832&gt;=4,"Good")</f>
        <v>Good</v>
      </c>
      <c r="P832" s="3">
        <v>5</v>
      </c>
      <c r="Q832" s="2">
        <v>1</v>
      </c>
      <c r="R832" s="4" t="s">
        <v>85</v>
      </c>
      <c r="S832" s="4" t="s">
        <v>73</v>
      </c>
      <c r="T832" s="3">
        <v>1</v>
      </c>
      <c r="U832" s="4" t="str" cm="1">
        <f t="array" ref="U832">_xlfn.IFS(V832&lt;=4, "Dissatisfied",V832&lt;=7,"Neutral",V832&gt;=8,"Satisfied")</f>
        <v>Satisfied</v>
      </c>
      <c r="V832" s="3">
        <v>10</v>
      </c>
      <c r="W832" s="4" t="s">
        <v>59</v>
      </c>
      <c r="X832" s="4" t="s">
        <v>74</v>
      </c>
      <c r="Y832" s="4" t="s">
        <v>111</v>
      </c>
      <c r="Z832" s="1">
        <v>45587</v>
      </c>
      <c r="AA832" s="4" t="str" cm="1">
        <f t="array" ref="AA832">_xlfn.IFS(OR(AB832="December", AB832="February", AB832="January"), "Winter", OR(AB832="March", AB832="April", AB832="May"), "Spring", OR(AB832="June", AB832="July", AB832="August"), "Summer", TRUE, "Autumn")</f>
        <v>Autumn</v>
      </c>
      <c r="AB832" s="7" t="str">
        <f>TEXT(Z832, "mmmm")</f>
        <v>October</v>
      </c>
      <c r="AC832" s="1" t="str">
        <f>TEXT(Z832, "dddd")</f>
        <v>Tuesday</v>
      </c>
      <c r="AD832" s="4" t="s">
        <v>62</v>
      </c>
      <c r="AE832" s="4" t="s">
        <v>76</v>
      </c>
      <c r="AF832" s="4" t="s">
        <v>87</v>
      </c>
      <c r="AG832" s="4" t="s">
        <v>64</v>
      </c>
      <c r="AH832" s="3">
        <v>5</v>
      </c>
    </row>
    <row r="833" spans="1:34">
      <c r="A833" s="4" t="s">
        <v>1750</v>
      </c>
      <c r="B833" s="3">
        <v>49</v>
      </c>
      <c r="C833" s="9" t="str" cm="1">
        <f t="array" ref="C833">_xlfn.IFS(B833&gt;65,"+65",B833&gt;54,"55-65",B833&gt;44,"45-54",B833&gt;35,"36-44",B833&gt;25,"26-35",B833&gt;=18,"18-25")</f>
        <v>45-54</v>
      </c>
      <c r="D833" s="4" t="s">
        <v>66</v>
      </c>
      <c r="E833" s="4" t="s">
        <v>51</v>
      </c>
      <c r="F833" s="4" t="s">
        <v>52</v>
      </c>
      <c r="G833" s="4" t="s">
        <v>80</v>
      </c>
      <c r="H833" s="4" t="s">
        <v>1751</v>
      </c>
      <c r="I833" s="4" t="s">
        <v>169</v>
      </c>
      <c r="J833" s="5">
        <v>258.68</v>
      </c>
      <c r="K833" s="3">
        <v>4</v>
      </c>
      <c r="L833" s="4" t="str">
        <f>IF(AND(J833&gt;350,K833&gt;6), "True","False")</f>
        <v>False</v>
      </c>
      <c r="M833" s="4" t="s">
        <v>56</v>
      </c>
      <c r="N833" s="3">
        <v>4</v>
      </c>
      <c r="O833" s="4" t="str" cm="1">
        <f t="array" ref="O833">_xlfn.IFS(P833&lt;=2,"Poor",P833=3,"Average",P833&gt;=4,"Good")</f>
        <v>Poor</v>
      </c>
      <c r="P833" s="3">
        <v>2</v>
      </c>
      <c r="Q833" s="2">
        <v>1</v>
      </c>
      <c r="R833" s="4" t="s">
        <v>59</v>
      </c>
      <c r="S833" s="4" t="s">
        <v>84</v>
      </c>
      <c r="T833" s="3">
        <v>0</v>
      </c>
      <c r="U833" s="4" t="str" cm="1">
        <f t="array" ref="U833">_xlfn.IFS(V833&lt;=4, "Dissatisfied",V833&lt;=7,"Neutral",V833&gt;=8,"Satisfied")</f>
        <v>Satisfied</v>
      </c>
      <c r="V833" s="3">
        <v>9</v>
      </c>
      <c r="W833" s="4" t="s">
        <v>57</v>
      </c>
      <c r="X833" s="4" t="s">
        <v>101</v>
      </c>
      <c r="Y833" s="4" t="s">
        <v>119</v>
      </c>
      <c r="Z833" s="1">
        <v>45587</v>
      </c>
      <c r="AA833" s="4" t="str" cm="1">
        <f t="array" ref="AA833">_xlfn.IFS(OR(AB833="December", AB833="February", AB833="January"), "Winter", OR(AB833="March", AB833="April", AB833="May"), "Spring", OR(AB833="June", AB833="July", AB833="August"), "Summer", TRUE, "Autumn")</f>
        <v>Autumn</v>
      </c>
      <c r="AB833" s="7" t="str">
        <f>TEXT(Z833, "mmmm")</f>
        <v>October</v>
      </c>
      <c r="AC833" s="1" t="str">
        <f>TEXT(Z833, "dddd")</f>
        <v>Tuesday</v>
      </c>
      <c r="AD833" s="4" t="s">
        <v>76</v>
      </c>
      <c r="AE833" s="4" t="s">
        <v>76</v>
      </c>
      <c r="AF833" s="4" t="s">
        <v>92</v>
      </c>
      <c r="AG833" s="4" t="s">
        <v>88</v>
      </c>
      <c r="AH833" s="3">
        <v>9</v>
      </c>
    </row>
    <row r="834" spans="1:34">
      <c r="A834" s="4" t="s">
        <v>1752</v>
      </c>
      <c r="B834" s="3">
        <v>37</v>
      </c>
      <c r="C834" s="9" t="str" cm="1">
        <f t="array" ref="C834">_xlfn.IFS(B834&gt;65,"+65",B834&gt;54,"55-65",B834&gt;44,"45-54",B834&gt;35,"36-44",B834&gt;25,"26-35",B834&gt;=18,"18-25")</f>
        <v>36-44</v>
      </c>
      <c r="D834" s="4" t="s">
        <v>66</v>
      </c>
      <c r="E834" s="4" t="s">
        <v>51</v>
      </c>
      <c r="F834" s="4" t="s">
        <v>67</v>
      </c>
      <c r="G834" s="4" t="s">
        <v>53</v>
      </c>
      <c r="H834" s="4" t="s">
        <v>1753</v>
      </c>
      <c r="I834" s="4" t="s">
        <v>82</v>
      </c>
      <c r="J834" s="5">
        <v>112.55</v>
      </c>
      <c r="K834" s="3">
        <v>5</v>
      </c>
      <c r="L834" s="4" t="str">
        <f>IF(AND(J834&gt;350,K834&gt;6), "True","False")</f>
        <v>False</v>
      </c>
      <c r="M834" s="4" t="s">
        <v>71</v>
      </c>
      <c r="N834" s="3">
        <v>1</v>
      </c>
      <c r="O834" s="4" t="str" cm="1">
        <f t="array" ref="O834">_xlfn.IFS(P834&lt;=2,"Poor",P834=3,"Average",P834&gt;=4,"Good")</f>
        <v>Good</v>
      </c>
      <c r="P834" s="3">
        <v>4</v>
      </c>
      <c r="Q834" s="2">
        <v>2</v>
      </c>
      <c r="R834" s="4" t="s">
        <v>57</v>
      </c>
      <c r="S834" s="4" t="s">
        <v>73</v>
      </c>
      <c r="T834" s="3">
        <v>2</v>
      </c>
      <c r="U834" s="4" t="str" cm="1">
        <f t="array" ref="U834">_xlfn.IFS(V834&lt;=4, "Dissatisfied",V834&lt;=7,"Neutral",V834&gt;=8,"Satisfied")</f>
        <v>Dissatisfied</v>
      </c>
      <c r="V834" s="3">
        <v>1</v>
      </c>
      <c r="W834" s="4" t="s">
        <v>59</v>
      </c>
      <c r="X834" s="4" t="s">
        <v>101</v>
      </c>
      <c r="Y834" s="4" t="s">
        <v>119</v>
      </c>
      <c r="Z834" s="1">
        <v>45587</v>
      </c>
      <c r="AA834" s="4" t="str" cm="1">
        <f t="array" ref="AA834">_xlfn.IFS(OR(AB834="December", AB834="February", AB834="January"), "Winter", OR(AB834="March", AB834="April", AB834="May"), "Spring", OR(AB834="June", AB834="July", AB834="August"), "Summer", TRUE, "Autumn")</f>
        <v>Autumn</v>
      </c>
      <c r="AB834" s="7" t="str">
        <f>TEXT(Z834, "mmmm")</f>
        <v>October</v>
      </c>
      <c r="AC834" s="1" t="str">
        <f>TEXT(Z834, "dddd")</f>
        <v>Tuesday</v>
      </c>
      <c r="AD834" s="4" t="s">
        <v>62</v>
      </c>
      <c r="AE834" s="4" t="s">
        <v>76</v>
      </c>
      <c r="AF834" s="4" t="s">
        <v>87</v>
      </c>
      <c r="AG834" s="4" t="s">
        <v>64</v>
      </c>
      <c r="AH834" s="3">
        <v>2</v>
      </c>
    </row>
    <row r="835" spans="1:34">
      <c r="A835" s="4" t="s">
        <v>1754</v>
      </c>
      <c r="B835" s="3">
        <v>31</v>
      </c>
      <c r="C835" s="9" t="str" cm="1">
        <f t="array" ref="C835">_xlfn.IFS(B835&gt;65,"+65",B835&gt;54,"55-65",B835&gt;44,"45-54",B835&gt;35,"36-44",B835&gt;25,"26-35",B835&gt;=18,"18-25")</f>
        <v>26-35</v>
      </c>
      <c r="D835" s="4" t="s">
        <v>78</v>
      </c>
      <c r="E835" s="4" t="s">
        <v>51</v>
      </c>
      <c r="F835" s="4" t="s">
        <v>52</v>
      </c>
      <c r="G835" s="4" t="s">
        <v>80</v>
      </c>
      <c r="H835" s="4" t="s">
        <v>1755</v>
      </c>
      <c r="I835" s="4" t="s">
        <v>122</v>
      </c>
      <c r="J835" s="5">
        <v>278.20999999999998</v>
      </c>
      <c r="K835" s="3">
        <v>3</v>
      </c>
      <c r="L835" s="4" t="str">
        <f>IF(AND(J835&gt;350,K835&gt;6), "True","False")</f>
        <v>False</v>
      </c>
      <c r="M835" s="4" t="s">
        <v>83</v>
      </c>
      <c r="N835" s="3">
        <v>5</v>
      </c>
      <c r="O835" s="4" t="str" cm="1">
        <f t="array" ref="O835">_xlfn.IFS(P835&lt;=2,"Poor",P835=3,"Average",P835&gt;=4,"Good")</f>
        <v>Poor</v>
      </c>
      <c r="P835" s="3">
        <v>1</v>
      </c>
      <c r="Q835" s="2">
        <v>2</v>
      </c>
      <c r="R835" s="4" t="s">
        <v>59</v>
      </c>
      <c r="S835" s="4" t="s">
        <v>84</v>
      </c>
      <c r="T835" s="3">
        <v>0</v>
      </c>
      <c r="U835" s="4" t="str" cm="1">
        <f t="array" ref="U835">_xlfn.IFS(V835&lt;=4, "Dissatisfied",V835&lt;=7,"Neutral",V835&gt;=8,"Satisfied")</f>
        <v>Neutral</v>
      </c>
      <c r="V835" s="3">
        <v>7</v>
      </c>
      <c r="W835" s="4" t="s">
        <v>59</v>
      </c>
      <c r="X835" s="4" t="s">
        <v>74</v>
      </c>
      <c r="Y835" s="4" t="s">
        <v>111</v>
      </c>
      <c r="Z835" s="1">
        <v>45587</v>
      </c>
      <c r="AA835" s="4" t="str" cm="1">
        <f t="array" ref="AA835">_xlfn.IFS(OR(AB835="December", AB835="February", AB835="January"), "Winter", OR(AB835="March", AB835="April", AB835="May"), "Spring", OR(AB835="June", AB835="July", AB835="August"), "Summer", TRUE, "Autumn")</f>
        <v>Autumn</v>
      </c>
      <c r="AB835" s="7" t="str">
        <f>TEXT(Z835, "mmmm")</f>
        <v>October</v>
      </c>
      <c r="AC835" s="1" t="str">
        <f>TEXT(Z835, "dddd")</f>
        <v>Tuesday</v>
      </c>
      <c r="AD835" s="4" t="s">
        <v>62</v>
      </c>
      <c r="AE835" s="4" t="s">
        <v>76</v>
      </c>
      <c r="AF835" s="4" t="s">
        <v>63</v>
      </c>
      <c r="AG835" s="4" t="s">
        <v>88</v>
      </c>
      <c r="AH835" s="3">
        <v>14</v>
      </c>
    </row>
    <row r="836" spans="1:34">
      <c r="A836" s="4" t="s">
        <v>1756</v>
      </c>
      <c r="B836" s="3">
        <v>31</v>
      </c>
      <c r="C836" s="9" t="str" cm="1">
        <f t="array" ref="C836">_xlfn.IFS(B836&gt;65,"+65",B836&gt;54,"55-65",B836&gt;44,"45-54",B836&gt;35,"36-44",B836&gt;25,"26-35",B836&gt;=18,"18-25")</f>
        <v>26-35</v>
      </c>
      <c r="D836" s="4" t="s">
        <v>188</v>
      </c>
      <c r="E836" s="4" t="s">
        <v>51</v>
      </c>
      <c r="F836" s="4" t="s">
        <v>95</v>
      </c>
      <c r="G836" s="4" t="s">
        <v>80</v>
      </c>
      <c r="H836" s="4" t="s">
        <v>1757</v>
      </c>
      <c r="I836" s="4" t="s">
        <v>105</v>
      </c>
      <c r="J836" s="5">
        <v>305.45</v>
      </c>
      <c r="K836" s="3">
        <v>2</v>
      </c>
      <c r="L836" s="4" t="str">
        <f>IF(AND(J836&gt;350,K836&gt;6), "True","False")</f>
        <v>False</v>
      </c>
      <c r="M836" s="4" t="s">
        <v>83</v>
      </c>
      <c r="N836" s="3">
        <v>5</v>
      </c>
      <c r="O836" s="4" t="str" cm="1">
        <f t="array" ref="O836">_xlfn.IFS(P836&lt;=2,"Poor",P836=3,"Average",P836&gt;=4,"Good")</f>
        <v>Good</v>
      </c>
      <c r="P836" s="3">
        <v>5</v>
      </c>
      <c r="Q836" s="2">
        <v>1</v>
      </c>
      <c r="R836" s="4" t="s">
        <v>57</v>
      </c>
      <c r="S836" s="4" t="s">
        <v>73</v>
      </c>
      <c r="T836" s="3">
        <v>1</v>
      </c>
      <c r="U836" s="4" t="str" cm="1">
        <f t="array" ref="U836">_xlfn.IFS(V836&lt;=4, "Dissatisfied",V836&lt;=7,"Neutral",V836&gt;=8,"Satisfied")</f>
        <v>Dissatisfied</v>
      </c>
      <c r="V836" s="3">
        <v>1</v>
      </c>
      <c r="W836" s="4" t="s">
        <v>72</v>
      </c>
      <c r="X836" s="4" t="s">
        <v>60</v>
      </c>
      <c r="Y836" s="4" t="s">
        <v>86</v>
      </c>
      <c r="Z836" s="1">
        <v>45589</v>
      </c>
      <c r="AA836" s="4" t="str" cm="1">
        <f t="array" ref="AA836">_xlfn.IFS(OR(AB836="December", AB836="February", AB836="January"), "Winter", OR(AB836="March", AB836="April", AB836="May"), "Spring", OR(AB836="June", AB836="July", AB836="August"), "Summer", TRUE, "Autumn")</f>
        <v>Autumn</v>
      </c>
      <c r="AB836" s="7" t="str">
        <f>TEXT(Z836, "mmmm")</f>
        <v>October</v>
      </c>
      <c r="AC836" s="1" t="str">
        <f>TEXT(Z836, "dddd")</f>
        <v>Thursday</v>
      </c>
      <c r="AD836" s="4" t="s">
        <v>76</v>
      </c>
      <c r="AE836" s="4" t="s">
        <v>62</v>
      </c>
      <c r="AF836" s="4" t="s">
        <v>92</v>
      </c>
      <c r="AG836" s="4" t="s">
        <v>93</v>
      </c>
      <c r="AH836" s="3">
        <v>9</v>
      </c>
    </row>
    <row r="837" spans="1:34">
      <c r="A837" s="4" t="s">
        <v>1758</v>
      </c>
      <c r="B837" s="3">
        <v>23</v>
      </c>
      <c r="C837" s="9" t="str" cm="1">
        <f t="array" ref="C837">_xlfn.IFS(B837&gt;65,"+65",B837&gt;54,"55-65",B837&gt;44,"45-54",B837&gt;35,"36-44",B837&gt;25,"26-35",B837&gt;=18,"18-25")</f>
        <v>18-25</v>
      </c>
      <c r="D837" s="4" t="s">
        <v>78</v>
      </c>
      <c r="E837" s="4" t="s">
        <v>72</v>
      </c>
      <c r="F837" s="4" t="s">
        <v>67</v>
      </c>
      <c r="G837" s="4" t="s">
        <v>53</v>
      </c>
      <c r="H837" s="4" t="s">
        <v>1759</v>
      </c>
      <c r="I837" s="4" t="s">
        <v>194</v>
      </c>
      <c r="J837" s="5">
        <v>337.21</v>
      </c>
      <c r="K837" s="3">
        <v>12</v>
      </c>
      <c r="L837" s="4" t="str">
        <f>IF(AND(J837&gt;350,K837&gt;6), "True","False")</f>
        <v>False</v>
      </c>
      <c r="M837" s="4" t="s">
        <v>56</v>
      </c>
      <c r="N837" s="3">
        <v>1</v>
      </c>
      <c r="O837" s="4" t="str" cm="1">
        <f t="array" ref="O837">_xlfn.IFS(P837&lt;=2,"Poor",P837=3,"Average",P837&gt;=4,"Good")</f>
        <v>Good</v>
      </c>
      <c r="P837" s="3">
        <v>5</v>
      </c>
      <c r="Q837" s="2">
        <v>1</v>
      </c>
      <c r="R837" s="4" t="s">
        <v>59</v>
      </c>
      <c r="S837" s="4" t="s">
        <v>84</v>
      </c>
      <c r="T837" s="3">
        <v>0</v>
      </c>
      <c r="U837" s="4" t="str" cm="1">
        <f t="array" ref="U837">_xlfn.IFS(V837&lt;=4, "Dissatisfied",V837&lt;=7,"Neutral",V837&gt;=8,"Satisfied")</f>
        <v>Satisfied</v>
      </c>
      <c r="V837" s="3">
        <v>9</v>
      </c>
      <c r="W837" s="4" t="s">
        <v>57</v>
      </c>
      <c r="X837" s="4" t="s">
        <v>60</v>
      </c>
      <c r="Y837" s="4" t="s">
        <v>75</v>
      </c>
      <c r="Z837" s="1">
        <v>45589</v>
      </c>
      <c r="AA837" s="4" t="str" cm="1">
        <f t="array" ref="AA837">_xlfn.IFS(OR(AB837="December", AB837="February", AB837="January"), "Winter", OR(AB837="March", AB837="April", AB837="May"), "Spring", OR(AB837="June", AB837="July", AB837="August"), "Summer", TRUE, "Autumn")</f>
        <v>Autumn</v>
      </c>
      <c r="AB837" s="7" t="str">
        <f>TEXT(Z837, "mmmm")</f>
        <v>October</v>
      </c>
      <c r="AC837" s="1" t="str">
        <f>TEXT(Z837, "dddd")</f>
        <v>Thursday</v>
      </c>
      <c r="AD837" s="4" t="s">
        <v>62</v>
      </c>
      <c r="AE837" s="4" t="s">
        <v>62</v>
      </c>
      <c r="AF837" s="4" t="s">
        <v>87</v>
      </c>
      <c r="AG837" s="4" t="s">
        <v>93</v>
      </c>
      <c r="AH837" s="3">
        <v>11</v>
      </c>
    </row>
    <row r="838" spans="1:34">
      <c r="A838" s="4" t="s">
        <v>1760</v>
      </c>
      <c r="B838" s="3">
        <v>21</v>
      </c>
      <c r="C838" s="9" t="str" cm="1">
        <f t="array" ref="C838">_xlfn.IFS(B838&gt;65,"+65",B838&gt;54,"55-65",B838&gt;44,"45-54",B838&gt;35,"36-44",B838&gt;25,"26-35",B838&gt;=18,"18-25")</f>
        <v>18-25</v>
      </c>
      <c r="D838" s="4" t="s">
        <v>78</v>
      </c>
      <c r="E838" s="4" t="s">
        <v>51</v>
      </c>
      <c r="F838" s="4" t="s">
        <v>52</v>
      </c>
      <c r="G838" s="4" t="s">
        <v>68</v>
      </c>
      <c r="H838" s="4" t="s">
        <v>1761</v>
      </c>
      <c r="I838" s="4" t="s">
        <v>82</v>
      </c>
      <c r="J838" s="5">
        <v>201.6</v>
      </c>
      <c r="K838" s="3">
        <v>9</v>
      </c>
      <c r="L838" s="4" t="str">
        <f>IF(AND(J838&gt;350,K838&gt;6), "True","False")</f>
        <v>False</v>
      </c>
      <c r="M838" s="4" t="s">
        <v>71</v>
      </c>
      <c r="N838" s="3">
        <v>1</v>
      </c>
      <c r="O838" s="4" t="str" cm="1">
        <f t="array" ref="O838">_xlfn.IFS(P838&lt;=2,"Poor",P838=3,"Average",P838&gt;=4,"Good")</f>
        <v>Good</v>
      </c>
      <c r="P838" s="3">
        <v>4</v>
      </c>
      <c r="Q838" s="2">
        <v>2</v>
      </c>
      <c r="R838" s="4" t="s">
        <v>85</v>
      </c>
      <c r="S838" s="4" t="s">
        <v>73</v>
      </c>
      <c r="T838" s="3">
        <v>1</v>
      </c>
      <c r="U838" s="4" t="str" cm="1">
        <f t="array" ref="U838">_xlfn.IFS(V838&lt;=4, "Dissatisfied",V838&lt;=7,"Neutral",V838&gt;=8,"Satisfied")</f>
        <v>Dissatisfied</v>
      </c>
      <c r="V838" s="3">
        <v>4</v>
      </c>
      <c r="W838" s="4" t="s">
        <v>72</v>
      </c>
      <c r="X838" s="4" t="s">
        <v>60</v>
      </c>
      <c r="Y838" s="4" t="s">
        <v>86</v>
      </c>
      <c r="Z838" s="1">
        <v>45589</v>
      </c>
      <c r="AA838" s="4" t="str" cm="1">
        <f t="array" ref="AA838">_xlfn.IFS(OR(AB838="December", AB838="February", AB838="January"), "Winter", OR(AB838="March", AB838="April", AB838="May"), "Spring", OR(AB838="June", AB838="July", AB838="August"), "Summer", TRUE, "Autumn")</f>
        <v>Autumn</v>
      </c>
      <c r="AB838" s="7" t="str">
        <f>TEXT(Z838, "mmmm")</f>
        <v>October</v>
      </c>
      <c r="AC838" s="1" t="str">
        <f>TEXT(Z838, "dddd")</f>
        <v>Thursday</v>
      </c>
      <c r="AD838" s="4" t="s">
        <v>76</v>
      </c>
      <c r="AE838" s="4" t="s">
        <v>76</v>
      </c>
      <c r="AF838" s="4" t="s">
        <v>92</v>
      </c>
      <c r="AG838" s="4" t="s">
        <v>93</v>
      </c>
      <c r="AH838" s="3">
        <v>14</v>
      </c>
    </row>
    <row r="839" spans="1:34">
      <c r="A839" s="4" t="s">
        <v>1762</v>
      </c>
      <c r="B839" s="3">
        <v>29</v>
      </c>
      <c r="C839" s="9" t="str" cm="1">
        <f t="array" ref="C839">_xlfn.IFS(B839&gt;65,"+65",B839&gt;54,"55-65",B839&gt;44,"45-54",B839&gt;35,"36-44",B839&gt;25,"26-35",B839&gt;=18,"18-25")</f>
        <v>26-35</v>
      </c>
      <c r="D839" s="4" t="s">
        <v>66</v>
      </c>
      <c r="E839" s="4" t="s">
        <v>51</v>
      </c>
      <c r="F839" s="4" t="s">
        <v>79</v>
      </c>
      <c r="G839" s="4" t="s">
        <v>68</v>
      </c>
      <c r="H839" s="4" t="s">
        <v>1763</v>
      </c>
      <c r="I839" s="4" t="s">
        <v>105</v>
      </c>
      <c r="J839" s="5">
        <v>318.45</v>
      </c>
      <c r="K839" s="3">
        <v>10</v>
      </c>
      <c r="L839" s="4" t="str">
        <f>IF(AND(J839&gt;350,K839&gt;6), "True","False")</f>
        <v>False</v>
      </c>
      <c r="M839" s="4" t="s">
        <v>71</v>
      </c>
      <c r="N839" s="3">
        <v>2</v>
      </c>
      <c r="O839" s="4" t="str" cm="1">
        <f t="array" ref="O839">_xlfn.IFS(P839&lt;=2,"Poor",P839=3,"Average",P839&gt;=4,"Good")</f>
        <v>Poor</v>
      </c>
      <c r="P839" s="3">
        <v>1</v>
      </c>
      <c r="Q839" s="2">
        <v>2</v>
      </c>
      <c r="R839" s="4" t="s">
        <v>57</v>
      </c>
      <c r="S839" s="4" t="s">
        <v>84</v>
      </c>
      <c r="T839" s="3">
        <v>2</v>
      </c>
      <c r="U839" s="4" t="str" cm="1">
        <f t="array" ref="U839">_xlfn.IFS(V839&lt;=4, "Dissatisfied",V839&lt;=7,"Neutral",V839&gt;=8,"Satisfied")</f>
        <v>Dissatisfied</v>
      </c>
      <c r="V839" s="3">
        <v>4</v>
      </c>
      <c r="W839" s="4" t="s">
        <v>72</v>
      </c>
      <c r="X839" s="4" t="s">
        <v>60</v>
      </c>
      <c r="Y839" s="4" t="s">
        <v>111</v>
      </c>
      <c r="Z839" s="1">
        <v>45590</v>
      </c>
      <c r="AA839" s="4" t="str" cm="1">
        <f t="array" ref="AA839">_xlfn.IFS(OR(AB839="December", AB839="February", AB839="January"), "Winter", OR(AB839="March", AB839="April", AB839="May"), "Spring", OR(AB839="June", AB839="July", AB839="August"), "Summer", TRUE, "Autumn")</f>
        <v>Autumn</v>
      </c>
      <c r="AB839" s="7" t="str">
        <f>TEXT(Z839, "mmmm")</f>
        <v>October</v>
      </c>
      <c r="AC839" s="1" t="str">
        <f>TEXT(Z839, "dddd")</f>
        <v>Friday</v>
      </c>
      <c r="AD839" s="4" t="s">
        <v>76</v>
      </c>
      <c r="AE839" s="4" t="s">
        <v>62</v>
      </c>
      <c r="AF839" s="4" t="s">
        <v>87</v>
      </c>
      <c r="AG839" s="4" t="s">
        <v>88</v>
      </c>
      <c r="AH839" s="3">
        <v>5</v>
      </c>
    </row>
    <row r="840" spans="1:34">
      <c r="A840" s="4" t="s">
        <v>1764</v>
      </c>
      <c r="B840" s="3">
        <v>25</v>
      </c>
      <c r="C840" s="9" t="str" cm="1">
        <f t="array" ref="C840">_xlfn.IFS(B840&gt;65,"+65",B840&gt;54,"55-65",B840&gt;44,"45-54",B840&gt;35,"36-44",B840&gt;25,"26-35",B840&gt;=18,"18-25")</f>
        <v>18-25</v>
      </c>
      <c r="D840" s="4" t="s">
        <v>66</v>
      </c>
      <c r="E840" s="4" t="s">
        <v>51</v>
      </c>
      <c r="F840" s="4" t="s">
        <v>79</v>
      </c>
      <c r="G840" s="4" t="s">
        <v>53</v>
      </c>
      <c r="H840" s="4" t="s">
        <v>1765</v>
      </c>
      <c r="I840" s="4" t="s">
        <v>275</v>
      </c>
      <c r="J840" s="5">
        <v>333.56</v>
      </c>
      <c r="K840" s="3">
        <v>3</v>
      </c>
      <c r="L840" s="4" t="str">
        <f>IF(AND(J840&gt;350,K840&gt;6), "True","False")</f>
        <v>False</v>
      </c>
      <c r="M840" s="4" t="s">
        <v>83</v>
      </c>
      <c r="N840" s="3">
        <v>4</v>
      </c>
      <c r="O840" s="4" t="str" cm="1">
        <f t="array" ref="O840">_xlfn.IFS(P840&lt;=2,"Poor",P840=3,"Average",P840&gt;=4,"Good")</f>
        <v>Good</v>
      </c>
      <c r="P840" s="3">
        <v>5</v>
      </c>
      <c r="Q840" s="2">
        <v>1</v>
      </c>
      <c r="R840" s="4" t="s">
        <v>59</v>
      </c>
      <c r="S840" s="4" t="s">
        <v>58</v>
      </c>
      <c r="T840" s="3">
        <v>2</v>
      </c>
      <c r="U840" s="4" t="str" cm="1">
        <f t="array" ref="U840">_xlfn.IFS(V840&lt;=4, "Dissatisfied",V840&lt;=7,"Neutral",V840&gt;=8,"Satisfied")</f>
        <v>Dissatisfied</v>
      </c>
      <c r="V840" s="3">
        <v>2</v>
      </c>
      <c r="W840" s="4" t="s">
        <v>72</v>
      </c>
      <c r="X840" s="4" t="s">
        <v>60</v>
      </c>
      <c r="Y840" s="4" t="s">
        <v>111</v>
      </c>
      <c r="Z840" s="1">
        <v>45590</v>
      </c>
      <c r="AA840" s="4" t="str" cm="1">
        <f t="array" ref="AA840">_xlfn.IFS(OR(AB840="December", AB840="February", AB840="January"), "Winter", OR(AB840="March", AB840="April", AB840="May"), "Spring", OR(AB840="June", AB840="July", AB840="August"), "Summer", TRUE, "Autumn")</f>
        <v>Autumn</v>
      </c>
      <c r="AB840" s="7" t="str">
        <f>TEXT(Z840, "mmmm")</f>
        <v>October</v>
      </c>
      <c r="AC840" s="1" t="str">
        <f>TEXT(Z840, "dddd")</f>
        <v>Friday</v>
      </c>
      <c r="AD840" s="4" t="s">
        <v>62</v>
      </c>
      <c r="AE840" s="4" t="s">
        <v>62</v>
      </c>
      <c r="AF840" s="4" t="s">
        <v>92</v>
      </c>
      <c r="AG840" s="4" t="s">
        <v>88</v>
      </c>
      <c r="AH840" s="3">
        <v>14</v>
      </c>
    </row>
    <row r="841" spans="1:34">
      <c r="A841" s="4" t="s">
        <v>1766</v>
      </c>
      <c r="B841" s="3">
        <v>35</v>
      </c>
      <c r="C841" s="9" t="str" cm="1">
        <f t="array" ref="C841">_xlfn.IFS(B841&gt;65,"+65",B841&gt;54,"55-65",B841&gt;44,"45-54",B841&gt;35,"36-44",B841&gt;25,"26-35",B841&gt;=18,"18-25")</f>
        <v>26-35</v>
      </c>
      <c r="D841" s="4" t="s">
        <v>66</v>
      </c>
      <c r="E841" s="4" t="s">
        <v>72</v>
      </c>
      <c r="F841" s="4" t="s">
        <v>79</v>
      </c>
      <c r="G841" s="4" t="s">
        <v>68</v>
      </c>
      <c r="H841" s="4" t="s">
        <v>1767</v>
      </c>
      <c r="I841" s="4" t="s">
        <v>97</v>
      </c>
      <c r="J841" s="5">
        <v>54.71</v>
      </c>
      <c r="K841" s="3">
        <v>4</v>
      </c>
      <c r="L841" s="4" t="str">
        <f>IF(AND(J841&gt;350,K841&gt;6), "True","False")</f>
        <v>False</v>
      </c>
      <c r="M841" s="4" t="s">
        <v>83</v>
      </c>
      <c r="N841" s="3">
        <v>5</v>
      </c>
      <c r="O841" s="4" t="str" cm="1">
        <f t="array" ref="O841">_xlfn.IFS(P841&lt;=2,"Poor",P841=3,"Average",P841&gt;=4,"Good")</f>
        <v>Poor</v>
      </c>
      <c r="P841" s="3">
        <v>2</v>
      </c>
      <c r="Q841" s="2">
        <v>1</v>
      </c>
      <c r="R841" s="4" t="s">
        <v>59</v>
      </c>
      <c r="S841" s="4" t="s">
        <v>73</v>
      </c>
      <c r="T841" s="3">
        <v>1</v>
      </c>
      <c r="U841" s="4" t="str" cm="1">
        <f t="array" ref="U841">_xlfn.IFS(V841&lt;=4, "Dissatisfied",V841&lt;=7,"Neutral",V841&gt;=8,"Satisfied")</f>
        <v>Dissatisfied</v>
      </c>
      <c r="V841" s="3">
        <v>3</v>
      </c>
      <c r="W841" s="4" t="s">
        <v>57</v>
      </c>
      <c r="X841" s="4" t="s">
        <v>101</v>
      </c>
      <c r="Y841" s="4" t="s">
        <v>86</v>
      </c>
      <c r="Z841" s="1">
        <v>45591</v>
      </c>
      <c r="AA841" s="4" t="str" cm="1">
        <f t="array" ref="AA841">_xlfn.IFS(OR(AB841="December", AB841="February", AB841="January"), "Winter", OR(AB841="March", AB841="April", AB841="May"), "Spring", OR(AB841="June", AB841="July", AB841="August"), "Summer", TRUE, "Autumn")</f>
        <v>Autumn</v>
      </c>
      <c r="AB841" s="7" t="str">
        <f>TEXT(Z841, "mmmm")</f>
        <v>October</v>
      </c>
      <c r="AC841" s="1" t="str">
        <f>TEXT(Z841, "dddd")</f>
        <v>Saturday</v>
      </c>
      <c r="AD841" s="4" t="s">
        <v>62</v>
      </c>
      <c r="AE841" s="4" t="s">
        <v>62</v>
      </c>
      <c r="AF841" s="4" t="s">
        <v>63</v>
      </c>
      <c r="AG841" s="4" t="s">
        <v>93</v>
      </c>
      <c r="AH841" s="3">
        <v>3</v>
      </c>
    </row>
    <row r="842" spans="1:34">
      <c r="A842" s="4" t="s">
        <v>1768</v>
      </c>
      <c r="B842" s="3">
        <v>39</v>
      </c>
      <c r="C842" s="9" t="str" cm="1">
        <f t="array" ref="C842">_xlfn.IFS(B842&gt;65,"+65",B842&gt;54,"55-65",B842&gt;44,"45-54",B842&gt;35,"36-44",B842&gt;25,"26-35",B842&gt;=18,"18-25")</f>
        <v>36-44</v>
      </c>
      <c r="D842" s="4" t="s">
        <v>78</v>
      </c>
      <c r="E842" s="4" t="s">
        <v>72</v>
      </c>
      <c r="F842" s="4" t="s">
        <v>67</v>
      </c>
      <c r="G842" s="4" t="s">
        <v>53</v>
      </c>
      <c r="H842" s="4" t="s">
        <v>1769</v>
      </c>
      <c r="I842" s="4" t="s">
        <v>223</v>
      </c>
      <c r="J842" s="5">
        <v>213.39</v>
      </c>
      <c r="K842" s="3">
        <v>6</v>
      </c>
      <c r="L842" s="4" t="str">
        <f>IF(AND(J842&gt;350,K842&gt;6), "True","False")</f>
        <v>False</v>
      </c>
      <c r="M842" s="4" t="s">
        <v>56</v>
      </c>
      <c r="N842" s="3">
        <v>3</v>
      </c>
      <c r="O842" s="4" t="str" cm="1">
        <f t="array" ref="O842">_xlfn.IFS(P842&lt;=2,"Poor",P842=3,"Average",P842&gt;=4,"Good")</f>
        <v>Good</v>
      </c>
      <c r="P842" s="3">
        <v>4</v>
      </c>
      <c r="Q842" s="2">
        <v>2</v>
      </c>
      <c r="R842" s="4" t="s">
        <v>85</v>
      </c>
      <c r="S842" s="4" t="s">
        <v>58</v>
      </c>
      <c r="T842" s="3">
        <v>2</v>
      </c>
      <c r="U842" s="4" t="str" cm="1">
        <f t="array" ref="U842">_xlfn.IFS(V842&lt;=4, "Dissatisfied",V842&lt;=7,"Neutral",V842&gt;=8,"Satisfied")</f>
        <v>Neutral</v>
      </c>
      <c r="V842" s="3">
        <v>5</v>
      </c>
      <c r="W842" s="4" t="s">
        <v>85</v>
      </c>
      <c r="X842" s="4" t="s">
        <v>101</v>
      </c>
      <c r="Y842" s="4" t="s">
        <v>61</v>
      </c>
      <c r="Z842" s="1">
        <v>45592</v>
      </c>
      <c r="AA842" s="4" t="str" cm="1">
        <f t="array" ref="AA842">_xlfn.IFS(OR(AB842="December", AB842="February", AB842="January"), "Winter", OR(AB842="March", AB842="April", AB842="May"), "Spring", OR(AB842="June", AB842="July", AB842="August"), "Summer", TRUE, "Autumn")</f>
        <v>Autumn</v>
      </c>
      <c r="AB842" s="7" t="str">
        <f>TEXT(Z842, "mmmm")</f>
        <v>October</v>
      </c>
      <c r="AC842" s="1" t="str">
        <f>TEXT(Z842, "dddd")</f>
        <v>Sunday</v>
      </c>
      <c r="AD842" s="4" t="s">
        <v>76</v>
      </c>
      <c r="AE842" s="4" t="s">
        <v>62</v>
      </c>
      <c r="AF842" s="4" t="s">
        <v>87</v>
      </c>
      <c r="AG842" s="4" t="s">
        <v>64</v>
      </c>
      <c r="AH842" s="3">
        <v>4</v>
      </c>
    </row>
    <row r="843" spans="1:34">
      <c r="A843" s="4" t="s">
        <v>1770</v>
      </c>
      <c r="B843" s="3">
        <v>19</v>
      </c>
      <c r="C843" s="9" t="str" cm="1">
        <f t="array" ref="C843">_xlfn.IFS(B843&gt;65,"+65",B843&gt;54,"55-65",B843&gt;44,"45-54",B843&gt;35,"36-44",B843&gt;25,"26-35",B843&gt;=18,"18-25")</f>
        <v>18-25</v>
      </c>
      <c r="D843" s="4" t="s">
        <v>78</v>
      </c>
      <c r="E843" s="4" t="s">
        <v>72</v>
      </c>
      <c r="F843" s="4" t="s">
        <v>95</v>
      </c>
      <c r="G843" s="4" t="s">
        <v>53</v>
      </c>
      <c r="H843" s="4" t="s">
        <v>1771</v>
      </c>
      <c r="I843" s="4" t="s">
        <v>82</v>
      </c>
      <c r="J843" s="5">
        <v>194.08</v>
      </c>
      <c r="K843" s="3">
        <v>3</v>
      </c>
      <c r="L843" s="4" t="str">
        <f>IF(AND(J843&gt;350,K843&gt;6), "True","False")</f>
        <v>False</v>
      </c>
      <c r="M843" s="4" t="s">
        <v>71</v>
      </c>
      <c r="N843" s="3">
        <v>5</v>
      </c>
      <c r="O843" s="4" t="str" cm="1">
        <f t="array" ref="O843">_xlfn.IFS(P843&lt;=2,"Poor",P843=3,"Average",P843&gt;=4,"Good")</f>
        <v>Good</v>
      </c>
      <c r="P843" s="3">
        <v>5</v>
      </c>
      <c r="Q843" s="2">
        <v>1</v>
      </c>
      <c r="R843" s="4" t="s">
        <v>59</v>
      </c>
      <c r="S843" s="4" t="s">
        <v>58</v>
      </c>
      <c r="T843" s="3">
        <v>0</v>
      </c>
      <c r="U843" s="4" t="str" cm="1">
        <f t="array" ref="U843">_xlfn.IFS(V843&lt;=4, "Dissatisfied",V843&lt;=7,"Neutral",V843&gt;=8,"Satisfied")</f>
        <v>Dissatisfied</v>
      </c>
      <c r="V843" s="3">
        <v>2</v>
      </c>
      <c r="W843" s="4" t="s">
        <v>57</v>
      </c>
      <c r="X843" s="4" t="s">
        <v>60</v>
      </c>
      <c r="Y843" s="4" t="s">
        <v>86</v>
      </c>
      <c r="Z843" s="1">
        <v>45592</v>
      </c>
      <c r="AA843" s="4" t="str" cm="1">
        <f t="array" ref="AA843">_xlfn.IFS(OR(AB843="December", AB843="February", AB843="January"), "Winter", OR(AB843="March", AB843="April", AB843="May"), "Spring", OR(AB843="June", AB843="July", AB843="August"), "Summer", TRUE, "Autumn")</f>
        <v>Autumn</v>
      </c>
      <c r="AB843" s="7" t="str">
        <f>TEXT(Z843, "mmmm")</f>
        <v>October</v>
      </c>
      <c r="AC843" s="1" t="str">
        <f>TEXT(Z843, "dddd")</f>
        <v>Sunday</v>
      </c>
      <c r="AD843" s="4" t="s">
        <v>62</v>
      </c>
      <c r="AE843" s="4" t="s">
        <v>62</v>
      </c>
      <c r="AF843" s="4" t="s">
        <v>102</v>
      </c>
      <c r="AG843" s="4" t="s">
        <v>64</v>
      </c>
      <c r="AH843" s="3">
        <v>13</v>
      </c>
    </row>
    <row r="844" spans="1:34">
      <c r="A844" s="4" t="s">
        <v>1772</v>
      </c>
      <c r="B844" s="3">
        <v>45</v>
      </c>
      <c r="C844" s="9" t="str" cm="1">
        <f t="array" ref="C844">_xlfn.IFS(B844&gt;65,"+65",B844&gt;54,"55-65",B844&gt;44,"45-54",B844&gt;35,"36-44",B844&gt;25,"26-35",B844&gt;=18,"18-25")</f>
        <v>45-54</v>
      </c>
      <c r="D844" s="4" t="s">
        <v>160</v>
      </c>
      <c r="E844" s="4" t="s">
        <v>51</v>
      </c>
      <c r="F844" s="4" t="s">
        <v>79</v>
      </c>
      <c r="G844" s="4" t="s">
        <v>68</v>
      </c>
      <c r="H844" s="4" t="s">
        <v>1773</v>
      </c>
      <c r="I844" s="4" t="s">
        <v>118</v>
      </c>
      <c r="J844" s="5">
        <v>91.24</v>
      </c>
      <c r="K844" s="3">
        <v>8</v>
      </c>
      <c r="L844" s="4" t="str">
        <f>IF(AND(J844&gt;350,K844&gt;6), "True","False")</f>
        <v>False</v>
      </c>
      <c r="M844" s="4" t="s">
        <v>71</v>
      </c>
      <c r="N844" s="3">
        <v>4</v>
      </c>
      <c r="O844" s="4" t="str" cm="1">
        <f t="array" ref="O844">_xlfn.IFS(P844&lt;=2,"Poor",P844=3,"Average",P844&gt;=4,"Good")</f>
        <v>Average</v>
      </c>
      <c r="P844" s="3">
        <v>3</v>
      </c>
      <c r="Q844" s="2">
        <v>0</v>
      </c>
      <c r="R844" s="4" t="s">
        <v>72</v>
      </c>
      <c r="S844" s="4" t="s">
        <v>84</v>
      </c>
      <c r="T844" s="3">
        <v>0</v>
      </c>
      <c r="U844" s="4" t="str" cm="1">
        <f t="array" ref="U844">_xlfn.IFS(V844&lt;=4, "Dissatisfied",V844&lt;=7,"Neutral",V844&gt;=8,"Satisfied")</f>
        <v>Dissatisfied</v>
      </c>
      <c r="V844" s="3">
        <v>4</v>
      </c>
      <c r="W844" s="4" t="s">
        <v>59</v>
      </c>
      <c r="X844" s="4" t="s">
        <v>74</v>
      </c>
      <c r="Y844" s="4" t="s">
        <v>61</v>
      </c>
      <c r="Z844" s="1">
        <v>45593</v>
      </c>
      <c r="AA844" s="4" t="str" cm="1">
        <f t="array" ref="AA844">_xlfn.IFS(OR(AB844="December", AB844="February", AB844="January"), "Winter", OR(AB844="March", AB844="April", AB844="May"), "Spring", OR(AB844="June", AB844="July", AB844="August"), "Summer", TRUE, "Autumn")</f>
        <v>Autumn</v>
      </c>
      <c r="AB844" s="7" t="str">
        <f>TEXT(Z844, "mmmm")</f>
        <v>October</v>
      </c>
      <c r="AC844" s="1" t="str">
        <f>TEXT(Z844, "dddd")</f>
        <v>Monday</v>
      </c>
      <c r="AD844" s="4" t="s">
        <v>62</v>
      </c>
      <c r="AE844" s="4" t="s">
        <v>76</v>
      </c>
      <c r="AF844" s="4" t="s">
        <v>102</v>
      </c>
      <c r="AG844" s="4" t="s">
        <v>64</v>
      </c>
      <c r="AH844" s="3">
        <v>4</v>
      </c>
    </row>
    <row r="845" spans="1:34">
      <c r="A845" s="4" t="s">
        <v>1774</v>
      </c>
      <c r="B845" s="3">
        <v>45</v>
      </c>
      <c r="C845" s="9" t="str" cm="1">
        <f t="array" ref="C845">_xlfn.IFS(B845&gt;65,"+65",B845&gt;54,"55-65",B845&gt;44,"45-54",B845&gt;35,"36-44",B845&gt;25,"26-35",B845&gt;=18,"18-25")</f>
        <v>45-54</v>
      </c>
      <c r="D845" s="4" t="s">
        <v>188</v>
      </c>
      <c r="E845" s="4" t="s">
        <v>51</v>
      </c>
      <c r="F845" s="4" t="s">
        <v>79</v>
      </c>
      <c r="G845" s="4" t="s">
        <v>80</v>
      </c>
      <c r="H845" s="4" t="s">
        <v>1775</v>
      </c>
      <c r="I845" s="4" t="s">
        <v>110</v>
      </c>
      <c r="J845" s="5">
        <v>390.83</v>
      </c>
      <c r="K845" s="3">
        <v>9</v>
      </c>
      <c r="L845" s="4" t="str">
        <f>IF(AND(J845&gt;350,K845&gt;6), "True","False")</f>
        <v>True</v>
      </c>
      <c r="M845" s="4" t="s">
        <v>56</v>
      </c>
      <c r="N845" s="3">
        <v>5</v>
      </c>
      <c r="O845" s="4" t="str" cm="1">
        <f t="array" ref="O845">_xlfn.IFS(P845&lt;=2,"Poor",P845=3,"Average",P845&gt;=4,"Good")</f>
        <v>Good</v>
      </c>
      <c r="P845" s="3">
        <v>5</v>
      </c>
      <c r="Q845" s="2">
        <v>0</v>
      </c>
      <c r="R845" s="4" t="s">
        <v>85</v>
      </c>
      <c r="S845" s="4" t="s">
        <v>84</v>
      </c>
      <c r="T845" s="3">
        <v>0</v>
      </c>
      <c r="U845" s="4" t="str" cm="1">
        <f t="array" ref="U845">_xlfn.IFS(V845&lt;=4, "Dissatisfied",V845&lt;=7,"Neutral",V845&gt;=8,"Satisfied")</f>
        <v>Neutral</v>
      </c>
      <c r="V845" s="3">
        <v>5</v>
      </c>
      <c r="W845" s="4" t="s">
        <v>72</v>
      </c>
      <c r="X845" s="4" t="s">
        <v>101</v>
      </c>
      <c r="Y845" s="4" t="s">
        <v>61</v>
      </c>
      <c r="Z845" s="1">
        <v>45593</v>
      </c>
      <c r="AA845" s="4" t="str" cm="1">
        <f t="array" ref="AA845">_xlfn.IFS(OR(AB845="December", AB845="February", AB845="January"), "Winter", OR(AB845="March", AB845="April", AB845="May"), "Spring", OR(AB845="June", AB845="July", AB845="August"), "Summer", TRUE, "Autumn")</f>
        <v>Autumn</v>
      </c>
      <c r="AB845" s="7" t="str">
        <f>TEXT(Z845, "mmmm")</f>
        <v>October</v>
      </c>
      <c r="AC845" s="1" t="str">
        <f>TEXT(Z845, "dddd")</f>
        <v>Monday</v>
      </c>
      <c r="AD845" s="4" t="s">
        <v>76</v>
      </c>
      <c r="AE845" s="4" t="s">
        <v>62</v>
      </c>
      <c r="AF845" s="4" t="s">
        <v>92</v>
      </c>
      <c r="AG845" s="4" t="s">
        <v>88</v>
      </c>
      <c r="AH845" s="3">
        <v>8</v>
      </c>
    </row>
    <row r="846" spans="1:34">
      <c r="A846" s="4" t="s">
        <v>1776</v>
      </c>
      <c r="B846" s="3">
        <v>36</v>
      </c>
      <c r="C846" s="9" t="str" cm="1">
        <f t="array" ref="C846">_xlfn.IFS(B846&gt;65,"+65",B846&gt;54,"55-65",B846&gt;44,"45-54",B846&gt;35,"36-44",B846&gt;25,"26-35",B846&gt;=18,"18-25")</f>
        <v>36-44</v>
      </c>
      <c r="D846" s="4" t="s">
        <v>78</v>
      </c>
      <c r="E846" s="4" t="s">
        <v>51</v>
      </c>
      <c r="F846" s="4" t="s">
        <v>52</v>
      </c>
      <c r="G846" s="4" t="s">
        <v>53</v>
      </c>
      <c r="H846" s="4" t="s">
        <v>1777</v>
      </c>
      <c r="I846" s="4" t="s">
        <v>223</v>
      </c>
      <c r="J846" s="5">
        <v>457.39</v>
      </c>
      <c r="K846" s="3">
        <v>12</v>
      </c>
      <c r="L846" s="4" t="str">
        <f>IF(AND(J846&gt;350,K846&gt;6), "True","False")</f>
        <v>True</v>
      </c>
      <c r="M846" s="4" t="s">
        <v>71</v>
      </c>
      <c r="N846" s="3">
        <v>1</v>
      </c>
      <c r="O846" s="4" t="str" cm="1">
        <f t="array" ref="O846">_xlfn.IFS(P846&lt;=2,"Poor",P846=3,"Average",P846&gt;=4,"Good")</f>
        <v>Poor</v>
      </c>
      <c r="P846" s="3">
        <v>1</v>
      </c>
      <c r="Q846" s="2">
        <v>1</v>
      </c>
      <c r="R846" s="4" t="s">
        <v>72</v>
      </c>
      <c r="S846" s="4" t="s">
        <v>58</v>
      </c>
      <c r="T846" s="3">
        <v>1</v>
      </c>
      <c r="U846" s="4" t="str" cm="1">
        <f t="array" ref="U846">_xlfn.IFS(V846&lt;=4, "Dissatisfied",V846&lt;=7,"Neutral",V846&gt;=8,"Satisfied")</f>
        <v>Neutral</v>
      </c>
      <c r="V846" s="3">
        <v>5</v>
      </c>
      <c r="W846" s="4" t="s">
        <v>72</v>
      </c>
      <c r="X846" s="4" t="s">
        <v>101</v>
      </c>
      <c r="Y846" s="4" t="s">
        <v>119</v>
      </c>
      <c r="Z846" s="1">
        <v>45594</v>
      </c>
      <c r="AA846" s="4" t="str" cm="1">
        <f t="array" ref="AA846">_xlfn.IFS(OR(AB846="December", AB846="February", AB846="January"), "Winter", OR(AB846="March", AB846="April", AB846="May"), "Spring", OR(AB846="June", AB846="July", AB846="August"), "Summer", TRUE, "Autumn")</f>
        <v>Autumn</v>
      </c>
      <c r="AB846" s="7" t="str">
        <f>TEXT(Z846, "mmmm")</f>
        <v>October</v>
      </c>
      <c r="AC846" s="1" t="str">
        <f>TEXT(Z846, "dddd")</f>
        <v>Tuesday</v>
      </c>
      <c r="AD846" s="4" t="s">
        <v>62</v>
      </c>
      <c r="AE846" s="4" t="s">
        <v>76</v>
      </c>
      <c r="AF846" s="4" t="s">
        <v>92</v>
      </c>
      <c r="AG846" s="4" t="s">
        <v>64</v>
      </c>
      <c r="AH846" s="3">
        <v>9</v>
      </c>
    </row>
    <row r="847" spans="1:34">
      <c r="A847" s="4" t="s">
        <v>1778</v>
      </c>
      <c r="B847" s="3">
        <v>32</v>
      </c>
      <c r="C847" s="9" t="str" cm="1">
        <f t="array" ref="C847">_xlfn.IFS(B847&gt;65,"+65",B847&gt;54,"55-65",B847&gt;44,"45-54",B847&gt;35,"36-44",B847&gt;25,"26-35",B847&gt;=18,"18-25")</f>
        <v>26-35</v>
      </c>
      <c r="D847" s="4" t="s">
        <v>78</v>
      </c>
      <c r="E847" s="4" t="s">
        <v>72</v>
      </c>
      <c r="F847" s="4" t="s">
        <v>52</v>
      </c>
      <c r="G847" s="4" t="s">
        <v>80</v>
      </c>
      <c r="H847" s="4" t="s">
        <v>1779</v>
      </c>
      <c r="I847" s="4" t="s">
        <v>164</v>
      </c>
      <c r="J847" s="5">
        <v>455.55</v>
      </c>
      <c r="K847" s="3">
        <v>8</v>
      </c>
      <c r="L847" s="4" t="str">
        <f>IF(AND(J847&gt;350,K847&gt;6), "True","False")</f>
        <v>True</v>
      </c>
      <c r="M847" s="4" t="s">
        <v>83</v>
      </c>
      <c r="N847" s="3">
        <v>4</v>
      </c>
      <c r="O847" s="4" t="str" cm="1">
        <f t="array" ref="O847">_xlfn.IFS(P847&lt;=2,"Poor",P847=3,"Average",P847&gt;=4,"Good")</f>
        <v>Good</v>
      </c>
      <c r="P847" s="3">
        <v>4</v>
      </c>
      <c r="Q847" s="2">
        <v>1</v>
      </c>
      <c r="R847" s="4" t="s">
        <v>72</v>
      </c>
      <c r="S847" s="4" t="s">
        <v>84</v>
      </c>
      <c r="T847" s="3">
        <v>0</v>
      </c>
      <c r="U847" s="4" t="str" cm="1">
        <f t="array" ref="U847">_xlfn.IFS(V847&lt;=4, "Dissatisfied",V847&lt;=7,"Neutral",V847&gt;=8,"Satisfied")</f>
        <v>Neutral</v>
      </c>
      <c r="V847" s="3">
        <v>6</v>
      </c>
      <c r="W847" s="4" t="s">
        <v>72</v>
      </c>
      <c r="X847" s="4" t="s">
        <v>101</v>
      </c>
      <c r="Y847" s="4" t="s">
        <v>86</v>
      </c>
      <c r="Z847" s="1">
        <v>45594</v>
      </c>
      <c r="AA847" s="4" t="str" cm="1">
        <f t="array" ref="AA847">_xlfn.IFS(OR(AB847="December", AB847="February", AB847="January"), "Winter", OR(AB847="March", AB847="April", AB847="May"), "Spring", OR(AB847="June", AB847="July", AB847="August"), "Summer", TRUE, "Autumn")</f>
        <v>Autumn</v>
      </c>
      <c r="AB847" s="7" t="str">
        <f>TEXT(Z847, "mmmm")</f>
        <v>October</v>
      </c>
      <c r="AC847" s="1" t="str">
        <f>TEXT(Z847, "dddd")</f>
        <v>Tuesday</v>
      </c>
      <c r="AD847" s="4" t="s">
        <v>76</v>
      </c>
      <c r="AE847" s="4" t="s">
        <v>76</v>
      </c>
      <c r="AF847" s="4" t="s">
        <v>87</v>
      </c>
      <c r="AG847" s="4" t="s">
        <v>88</v>
      </c>
      <c r="AH847" s="3">
        <v>10</v>
      </c>
    </row>
    <row r="848" spans="1:34">
      <c r="A848" s="4" t="s">
        <v>1780</v>
      </c>
      <c r="B848" s="3">
        <v>32</v>
      </c>
      <c r="C848" s="9" t="str" cm="1">
        <f t="array" ref="C848">_xlfn.IFS(B848&gt;65,"+65",B848&gt;54,"55-65",B848&gt;44,"45-54",B848&gt;35,"36-44",B848&gt;25,"26-35",B848&gt;=18,"18-25")</f>
        <v>26-35</v>
      </c>
      <c r="D848" s="4" t="s">
        <v>78</v>
      </c>
      <c r="E848" s="4" t="s">
        <v>51</v>
      </c>
      <c r="F848" s="4" t="s">
        <v>79</v>
      </c>
      <c r="G848" s="4" t="s">
        <v>68</v>
      </c>
      <c r="H848" s="4" t="s">
        <v>1781</v>
      </c>
      <c r="I848" s="4" t="s">
        <v>82</v>
      </c>
      <c r="J848" s="5">
        <v>476.11</v>
      </c>
      <c r="K848" s="3">
        <v>5</v>
      </c>
      <c r="L848" s="4" t="str">
        <f>IF(AND(J848&gt;350,K848&gt;6), "True","False")</f>
        <v>False</v>
      </c>
      <c r="M848" s="4" t="s">
        <v>71</v>
      </c>
      <c r="N848" s="3">
        <v>1</v>
      </c>
      <c r="O848" s="4" t="str" cm="1">
        <f t="array" ref="O848">_xlfn.IFS(P848&lt;=2,"Poor",P848=3,"Average",P848&gt;=4,"Good")</f>
        <v>Good</v>
      </c>
      <c r="P848" s="3">
        <v>4</v>
      </c>
      <c r="Q848" s="2">
        <v>1</v>
      </c>
      <c r="R848" s="4" t="s">
        <v>57</v>
      </c>
      <c r="S848" s="4" t="s">
        <v>73</v>
      </c>
      <c r="T848" s="3">
        <v>2</v>
      </c>
      <c r="U848" s="4" t="str" cm="1">
        <f t="array" ref="U848">_xlfn.IFS(V848&lt;=4, "Dissatisfied",V848&lt;=7,"Neutral",V848&gt;=8,"Satisfied")</f>
        <v>Satisfied</v>
      </c>
      <c r="V848" s="3">
        <v>10</v>
      </c>
      <c r="W848" s="4" t="s">
        <v>72</v>
      </c>
      <c r="X848" s="4" t="s">
        <v>101</v>
      </c>
      <c r="Y848" s="4" t="s">
        <v>75</v>
      </c>
      <c r="Z848" s="1">
        <v>45594</v>
      </c>
      <c r="AA848" s="4" t="str" cm="1">
        <f t="array" ref="AA848">_xlfn.IFS(OR(AB848="December", AB848="February", AB848="January"), "Winter", OR(AB848="March", AB848="April", AB848="May"), "Spring", OR(AB848="June", AB848="July", AB848="August"), "Summer", TRUE, "Autumn")</f>
        <v>Autumn</v>
      </c>
      <c r="AB848" s="7" t="str">
        <f>TEXT(Z848, "mmmm")</f>
        <v>October</v>
      </c>
      <c r="AC848" s="1" t="str">
        <f>TEXT(Z848, "dddd")</f>
        <v>Tuesday</v>
      </c>
      <c r="AD848" s="4" t="s">
        <v>62</v>
      </c>
      <c r="AE848" s="4" t="s">
        <v>76</v>
      </c>
      <c r="AF848" s="4" t="s">
        <v>102</v>
      </c>
      <c r="AG848" s="4" t="s">
        <v>64</v>
      </c>
      <c r="AH848" s="3">
        <v>1</v>
      </c>
    </row>
    <row r="849" spans="1:34">
      <c r="A849" s="4" t="s">
        <v>1782</v>
      </c>
      <c r="B849" s="3">
        <v>19</v>
      </c>
      <c r="C849" s="9" t="str" cm="1">
        <f t="array" ref="C849">_xlfn.IFS(B849&gt;65,"+65",B849&gt;54,"55-65",B849&gt;44,"45-54",B849&gt;35,"36-44",B849&gt;25,"26-35",B849&gt;=18,"18-25")</f>
        <v>18-25</v>
      </c>
      <c r="D849" s="4" t="s">
        <v>78</v>
      </c>
      <c r="E849" s="4" t="s">
        <v>72</v>
      </c>
      <c r="F849" s="4" t="s">
        <v>52</v>
      </c>
      <c r="G849" s="4" t="s">
        <v>53</v>
      </c>
      <c r="H849" s="4" t="s">
        <v>1783</v>
      </c>
      <c r="I849" s="4" t="s">
        <v>97</v>
      </c>
      <c r="J849" s="5">
        <v>233.02</v>
      </c>
      <c r="K849" s="3">
        <v>4</v>
      </c>
      <c r="L849" s="4" t="str">
        <f>IF(AND(J849&gt;350,K849&gt;6), "True","False")</f>
        <v>False</v>
      </c>
      <c r="M849" s="4" t="s">
        <v>83</v>
      </c>
      <c r="N849" s="3">
        <v>3</v>
      </c>
      <c r="O849" s="4" t="str" cm="1">
        <f t="array" ref="O849">_xlfn.IFS(P849&lt;=2,"Poor",P849=3,"Average",P849&gt;=4,"Good")</f>
        <v>Average</v>
      </c>
      <c r="P849" s="3">
        <v>3</v>
      </c>
      <c r="Q849" s="2">
        <v>1</v>
      </c>
      <c r="R849" s="4" t="s">
        <v>85</v>
      </c>
      <c r="S849" s="4" t="s">
        <v>58</v>
      </c>
      <c r="T849" s="3">
        <v>0</v>
      </c>
      <c r="U849" s="4" t="str" cm="1">
        <f t="array" ref="U849">_xlfn.IFS(V849&lt;=4, "Dissatisfied",V849&lt;=7,"Neutral",V849&gt;=8,"Satisfied")</f>
        <v>Dissatisfied</v>
      </c>
      <c r="V849" s="3">
        <v>3</v>
      </c>
      <c r="W849" s="4" t="s">
        <v>85</v>
      </c>
      <c r="X849" s="4" t="s">
        <v>60</v>
      </c>
      <c r="Y849" s="4" t="s">
        <v>61</v>
      </c>
      <c r="Z849" s="1">
        <v>45594</v>
      </c>
      <c r="AA849" s="4" t="str" cm="1">
        <f t="array" ref="AA849">_xlfn.IFS(OR(AB849="December", AB849="February", AB849="January"), "Winter", OR(AB849="March", AB849="April", AB849="May"), "Spring", OR(AB849="June", AB849="July", AB849="August"), "Summer", TRUE, "Autumn")</f>
        <v>Autumn</v>
      </c>
      <c r="AB849" s="7" t="str">
        <f>TEXT(Z849, "mmmm")</f>
        <v>October</v>
      </c>
      <c r="AC849" s="1" t="str">
        <f>TEXT(Z849, "dddd")</f>
        <v>Tuesday</v>
      </c>
      <c r="AD849" s="4" t="s">
        <v>76</v>
      </c>
      <c r="AE849" s="4" t="s">
        <v>76</v>
      </c>
      <c r="AF849" s="4" t="s">
        <v>92</v>
      </c>
      <c r="AG849" s="4" t="s">
        <v>64</v>
      </c>
      <c r="AH849" s="3">
        <v>8</v>
      </c>
    </row>
    <row r="850" spans="1:34">
      <c r="A850" s="4" t="s">
        <v>1784</v>
      </c>
      <c r="B850" s="3">
        <v>47</v>
      </c>
      <c r="C850" s="9" t="str" cm="1">
        <f t="array" ref="C850">_xlfn.IFS(B850&gt;65,"+65",B850&gt;54,"55-65",B850&gt;44,"45-54",B850&gt;35,"36-44",B850&gt;25,"26-35",B850&gt;=18,"18-25")</f>
        <v>45-54</v>
      </c>
      <c r="D850" s="4" t="s">
        <v>232</v>
      </c>
      <c r="E850" s="4" t="s">
        <v>51</v>
      </c>
      <c r="F850" s="4" t="s">
        <v>52</v>
      </c>
      <c r="G850" s="4" t="s">
        <v>53</v>
      </c>
      <c r="H850" s="4" t="s">
        <v>1785</v>
      </c>
      <c r="I850" s="4" t="s">
        <v>164</v>
      </c>
      <c r="J850" s="5">
        <v>227.47</v>
      </c>
      <c r="K850" s="3">
        <v>2</v>
      </c>
      <c r="L850" s="4" t="str">
        <f>IF(AND(J850&gt;350,K850&gt;6), "True","False")</f>
        <v>False</v>
      </c>
      <c r="M850" s="4" t="s">
        <v>56</v>
      </c>
      <c r="N850" s="3">
        <v>2</v>
      </c>
      <c r="O850" s="4" t="str" cm="1">
        <f t="array" ref="O850">_xlfn.IFS(P850&lt;=2,"Poor",P850=3,"Average",P850&gt;=4,"Good")</f>
        <v>Poor</v>
      </c>
      <c r="P850" s="3">
        <v>2</v>
      </c>
      <c r="Q850" s="2">
        <v>2</v>
      </c>
      <c r="R850" s="4" t="s">
        <v>59</v>
      </c>
      <c r="S850" s="4" t="s">
        <v>73</v>
      </c>
      <c r="T850" s="3">
        <v>1</v>
      </c>
      <c r="U850" s="4" t="str" cm="1">
        <f t="array" ref="U850">_xlfn.IFS(V850&lt;=4, "Dissatisfied",V850&lt;=7,"Neutral",V850&gt;=8,"Satisfied")</f>
        <v>Dissatisfied</v>
      </c>
      <c r="V850" s="3">
        <v>4</v>
      </c>
      <c r="W850" s="4" t="s">
        <v>72</v>
      </c>
      <c r="X850" s="4" t="s">
        <v>74</v>
      </c>
      <c r="Y850" s="4" t="s">
        <v>111</v>
      </c>
      <c r="Z850" s="1">
        <v>45595</v>
      </c>
      <c r="AA850" s="4" t="str" cm="1">
        <f t="array" ref="AA850">_xlfn.IFS(OR(AB850="December", AB850="February", AB850="January"), "Winter", OR(AB850="March", AB850="April", AB850="May"), "Spring", OR(AB850="June", AB850="July", AB850="August"), "Summer", TRUE, "Autumn")</f>
        <v>Autumn</v>
      </c>
      <c r="AB850" s="7" t="str">
        <f>TEXT(Z850, "mmmm")</f>
        <v>October</v>
      </c>
      <c r="AC850" s="1" t="str">
        <f>TEXT(Z850, "dddd")</f>
        <v>Wednesday</v>
      </c>
      <c r="AD850" s="4" t="s">
        <v>62</v>
      </c>
      <c r="AE850" s="4" t="s">
        <v>76</v>
      </c>
      <c r="AF850" s="4" t="s">
        <v>63</v>
      </c>
      <c r="AG850" s="4" t="s">
        <v>93</v>
      </c>
      <c r="AH850" s="3">
        <v>9</v>
      </c>
    </row>
    <row r="851" spans="1:34">
      <c r="A851" s="4" t="s">
        <v>1786</v>
      </c>
      <c r="B851" s="3">
        <v>38</v>
      </c>
      <c r="C851" s="9" t="str" cm="1">
        <f t="array" ref="C851">_xlfn.IFS(B851&gt;65,"+65",B851&gt;54,"55-65",B851&gt;44,"45-54",B851&gt;35,"36-44",B851&gt;25,"26-35",B851&gt;=18,"18-25")</f>
        <v>36-44</v>
      </c>
      <c r="D851" s="4" t="s">
        <v>66</v>
      </c>
      <c r="E851" s="4" t="s">
        <v>72</v>
      </c>
      <c r="F851" s="4" t="s">
        <v>52</v>
      </c>
      <c r="G851" s="4" t="s">
        <v>68</v>
      </c>
      <c r="H851" s="4" t="s">
        <v>1787</v>
      </c>
      <c r="I851" s="4" t="s">
        <v>118</v>
      </c>
      <c r="J851" s="5">
        <v>370.05</v>
      </c>
      <c r="K851" s="3">
        <v>11</v>
      </c>
      <c r="L851" s="4" t="str">
        <f>IF(AND(J851&gt;350,K851&gt;6), "True","False")</f>
        <v>True</v>
      </c>
      <c r="M851" s="4" t="s">
        <v>83</v>
      </c>
      <c r="N851" s="3">
        <v>5</v>
      </c>
      <c r="O851" s="4" t="str" cm="1">
        <f t="array" ref="O851">_xlfn.IFS(P851&lt;=2,"Poor",P851=3,"Average",P851&gt;=4,"Good")</f>
        <v>Average</v>
      </c>
      <c r="P851" s="3">
        <v>3</v>
      </c>
      <c r="Q851" s="2">
        <v>0</v>
      </c>
      <c r="R851" s="4" t="s">
        <v>85</v>
      </c>
      <c r="S851" s="4" t="s">
        <v>73</v>
      </c>
      <c r="T851" s="3">
        <v>1</v>
      </c>
      <c r="U851" s="4" t="str" cm="1">
        <f t="array" ref="U851">_xlfn.IFS(V851&lt;=4, "Dissatisfied",V851&lt;=7,"Neutral",V851&gt;=8,"Satisfied")</f>
        <v>Satisfied</v>
      </c>
      <c r="V851" s="3">
        <v>10</v>
      </c>
      <c r="W851" s="4" t="s">
        <v>72</v>
      </c>
      <c r="X851" s="4" t="s">
        <v>60</v>
      </c>
      <c r="Y851" s="4" t="s">
        <v>61</v>
      </c>
      <c r="Z851" s="1">
        <v>45595</v>
      </c>
      <c r="AA851" s="4" t="str" cm="1">
        <f t="array" ref="AA851">_xlfn.IFS(OR(AB851="December", AB851="February", AB851="January"), "Winter", OR(AB851="March", AB851="April", AB851="May"), "Spring", OR(AB851="June", AB851="July", AB851="August"), "Summer", TRUE, "Autumn")</f>
        <v>Autumn</v>
      </c>
      <c r="AB851" s="7" t="str">
        <f>TEXT(Z851, "mmmm")</f>
        <v>October</v>
      </c>
      <c r="AC851" s="1" t="str">
        <f>TEXT(Z851, "dddd")</f>
        <v>Wednesday</v>
      </c>
      <c r="AD851" s="4" t="s">
        <v>62</v>
      </c>
      <c r="AE851" s="4" t="s">
        <v>62</v>
      </c>
      <c r="AF851" s="4" t="s">
        <v>92</v>
      </c>
      <c r="AG851" s="4" t="s">
        <v>88</v>
      </c>
      <c r="AH851" s="3">
        <v>10</v>
      </c>
    </row>
    <row r="852" spans="1:34">
      <c r="A852" s="4" t="s">
        <v>1788</v>
      </c>
      <c r="B852" s="3">
        <v>37</v>
      </c>
      <c r="C852" s="9" t="str" cm="1">
        <f t="array" ref="C852">_xlfn.IFS(B852&gt;65,"+65",B852&gt;54,"55-65",B852&gt;44,"45-54",B852&gt;35,"36-44",B852&gt;25,"26-35",B852&gt;=18,"18-25")</f>
        <v>36-44</v>
      </c>
      <c r="D852" s="4" t="s">
        <v>66</v>
      </c>
      <c r="E852" s="4" t="s">
        <v>51</v>
      </c>
      <c r="F852" s="4" t="s">
        <v>52</v>
      </c>
      <c r="G852" s="4" t="s">
        <v>68</v>
      </c>
      <c r="H852" s="4" t="s">
        <v>1789</v>
      </c>
      <c r="I852" s="4" t="s">
        <v>169</v>
      </c>
      <c r="J852" s="5">
        <v>290.11</v>
      </c>
      <c r="K852" s="3">
        <v>8</v>
      </c>
      <c r="L852" s="4" t="str">
        <f>IF(AND(J852&gt;350,K852&gt;6), "True","False")</f>
        <v>False</v>
      </c>
      <c r="M852" s="4" t="s">
        <v>83</v>
      </c>
      <c r="N852" s="3">
        <v>4</v>
      </c>
      <c r="O852" s="4" t="str" cm="1">
        <f t="array" ref="O852">_xlfn.IFS(P852&lt;=2,"Poor",P852=3,"Average",P852&gt;=4,"Good")</f>
        <v>Good</v>
      </c>
      <c r="P852" s="3">
        <v>4</v>
      </c>
      <c r="Q852" s="2">
        <v>1</v>
      </c>
      <c r="R852" s="4" t="s">
        <v>85</v>
      </c>
      <c r="S852" s="4" t="s">
        <v>73</v>
      </c>
      <c r="T852" s="3">
        <v>1</v>
      </c>
      <c r="U852" s="4" t="str" cm="1">
        <f t="array" ref="U852">_xlfn.IFS(V852&lt;=4, "Dissatisfied",V852&lt;=7,"Neutral",V852&gt;=8,"Satisfied")</f>
        <v>Dissatisfied</v>
      </c>
      <c r="V852" s="3">
        <v>4</v>
      </c>
      <c r="W852" s="4" t="s">
        <v>85</v>
      </c>
      <c r="X852" s="4" t="s">
        <v>60</v>
      </c>
      <c r="Y852" s="4" t="s">
        <v>86</v>
      </c>
      <c r="Z852" s="1">
        <v>45595</v>
      </c>
      <c r="AA852" s="4" t="str" cm="1">
        <f t="array" ref="AA852">_xlfn.IFS(OR(AB852="December", AB852="February", AB852="January"), "Winter", OR(AB852="March", AB852="April", AB852="May"), "Spring", OR(AB852="June", AB852="July", AB852="August"), "Summer", TRUE, "Autumn")</f>
        <v>Autumn</v>
      </c>
      <c r="AB852" s="7" t="str">
        <f>TEXT(Z852, "mmmm")</f>
        <v>October</v>
      </c>
      <c r="AC852" s="1" t="str">
        <f>TEXT(Z852, "dddd")</f>
        <v>Wednesday</v>
      </c>
      <c r="AD852" s="4" t="s">
        <v>76</v>
      </c>
      <c r="AE852" s="4" t="s">
        <v>76</v>
      </c>
      <c r="AF852" s="4" t="s">
        <v>92</v>
      </c>
      <c r="AG852" s="4" t="s">
        <v>88</v>
      </c>
      <c r="AH852" s="3">
        <v>14</v>
      </c>
    </row>
    <row r="853" spans="1:34">
      <c r="A853" s="4" t="s">
        <v>1790</v>
      </c>
      <c r="B853" s="3">
        <v>26</v>
      </c>
      <c r="C853" s="9" t="str" cm="1">
        <f t="array" ref="C853">_xlfn.IFS(B853&gt;65,"+65",B853&gt;54,"55-65",B853&gt;44,"45-54",B853&gt;35,"36-44",B853&gt;25,"26-35",B853&gt;=18,"18-25")</f>
        <v>26-35</v>
      </c>
      <c r="D853" s="4" t="s">
        <v>50</v>
      </c>
      <c r="E853" s="4" t="s">
        <v>51</v>
      </c>
      <c r="F853" s="4" t="s">
        <v>79</v>
      </c>
      <c r="G853" s="4" t="s">
        <v>80</v>
      </c>
      <c r="H853" s="4" t="s">
        <v>1791</v>
      </c>
      <c r="I853" s="4" t="s">
        <v>156</v>
      </c>
      <c r="J853" s="5">
        <v>101.29</v>
      </c>
      <c r="K853" s="3">
        <v>11</v>
      </c>
      <c r="L853" s="4" t="str">
        <f>IF(AND(J853&gt;350,K853&gt;6), "True","False")</f>
        <v>False</v>
      </c>
      <c r="M853" s="4" t="s">
        <v>71</v>
      </c>
      <c r="N853" s="3">
        <v>1</v>
      </c>
      <c r="O853" s="4" t="str" cm="1">
        <f t="array" ref="O853">_xlfn.IFS(P853&lt;=2,"Poor",P853=3,"Average",P853&gt;=4,"Good")</f>
        <v>Poor</v>
      </c>
      <c r="P853" s="3">
        <v>1</v>
      </c>
      <c r="Q853" s="2">
        <v>2</v>
      </c>
      <c r="R853" s="4" t="s">
        <v>85</v>
      </c>
      <c r="S853" s="4" t="s">
        <v>58</v>
      </c>
      <c r="T853" s="3">
        <v>2</v>
      </c>
      <c r="U853" s="4" t="str" cm="1">
        <f t="array" ref="U853">_xlfn.IFS(V853&lt;=4, "Dissatisfied",V853&lt;=7,"Neutral",V853&gt;=8,"Satisfied")</f>
        <v>Neutral</v>
      </c>
      <c r="V853" s="3">
        <v>7</v>
      </c>
      <c r="W853" s="4" t="s">
        <v>85</v>
      </c>
      <c r="X853" s="4" t="s">
        <v>60</v>
      </c>
      <c r="Y853" s="4" t="s">
        <v>61</v>
      </c>
      <c r="Z853" s="1">
        <v>45595</v>
      </c>
      <c r="AA853" s="4" t="str" cm="1">
        <f t="array" ref="AA853">_xlfn.IFS(OR(AB853="December", AB853="February", AB853="January"), "Winter", OR(AB853="March", AB853="April", AB853="May"), "Spring", OR(AB853="June", AB853="July", AB853="August"), "Summer", TRUE, "Autumn")</f>
        <v>Autumn</v>
      </c>
      <c r="AB853" s="7" t="str">
        <f>TEXT(Z853, "mmmm")</f>
        <v>October</v>
      </c>
      <c r="AC853" s="1" t="str">
        <f>TEXT(Z853, "dddd")</f>
        <v>Wednesday</v>
      </c>
      <c r="AD853" s="4" t="s">
        <v>76</v>
      </c>
      <c r="AE853" s="4" t="s">
        <v>62</v>
      </c>
      <c r="AF853" s="4" t="s">
        <v>63</v>
      </c>
      <c r="AG853" s="4" t="s">
        <v>88</v>
      </c>
      <c r="AH853" s="3">
        <v>4</v>
      </c>
    </row>
    <row r="854" spans="1:34">
      <c r="A854" s="4" t="s">
        <v>1792</v>
      </c>
      <c r="B854" s="3">
        <v>23</v>
      </c>
      <c r="C854" s="9" t="str" cm="1">
        <f t="array" ref="C854">_xlfn.IFS(B854&gt;65,"+65",B854&gt;54,"55-65",B854&gt;44,"45-54",B854&gt;35,"36-44",B854&gt;25,"26-35",B854&gt;=18,"18-25")</f>
        <v>18-25</v>
      </c>
      <c r="D854" s="4" t="s">
        <v>66</v>
      </c>
      <c r="E854" s="4" t="s">
        <v>51</v>
      </c>
      <c r="F854" s="4" t="s">
        <v>52</v>
      </c>
      <c r="G854" s="4" t="s">
        <v>68</v>
      </c>
      <c r="H854" s="4" t="s">
        <v>1793</v>
      </c>
      <c r="I854" s="4" t="s">
        <v>110</v>
      </c>
      <c r="J854" s="5">
        <v>270.82</v>
      </c>
      <c r="K854" s="3">
        <v>2</v>
      </c>
      <c r="L854" s="4" t="str">
        <f>IF(AND(J854&gt;350,K854&gt;6), "True","False")</f>
        <v>False</v>
      </c>
      <c r="M854" s="4" t="s">
        <v>71</v>
      </c>
      <c r="N854" s="3">
        <v>4</v>
      </c>
      <c r="O854" s="4" t="str" cm="1">
        <f t="array" ref="O854">_xlfn.IFS(P854&lt;=2,"Poor",P854=3,"Average",P854&gt;=4,"Good")</f>
        <v>Poor</v>
      </c>
      <c r="P854" s="3">
        <v>2</v>
      </c>
      <c r="Q854" s="2">
        <v>0</v>
      </c>
      <c r="R854" s="4" t="s">
        <v>57</v>
      </c>
      <c r="S854" s="4" t="s">
        <v>84</v>
      </c>
      <c r="T854" s="3">
        <v>1</v>
      </c>
      <c r="U854" s="4" t="str" cm="1">
        <f t="array" ref="U854">_xlfn.IFS(V854&lt;=4, "Dissatisfied",V854&lt;=7,"Neutral",V854&gt;=8,"Satisfied")</f>
        <v>Satisfied</v>
      </c>
      <c r="V854" s="3">
        <v>8</v>
      </c>
      <c r="W854" s="4" t="s">
        <v>59</v>
      </c>
      <c r="X854" s="4" t="s">
        <v>74</v>
      </c>
      <c r="Y854" s="4" t="s">
        <v>111</v>
      </c>
      <c r="Z854" s="1">
        <v>45595</v>
      </c>
      <c r="AA854" s="4" t="str" cm="1">
        <f t="array" ref="AA854">_xlfn.IFS(OR(AB854="December", AB854="February", AB854="January"), "Winter", OR(AB854="March", AB854="April", AB854="May"), "Spring", OR(AB854="June", AB854="July", AB854="August"), "Summer", TRUE, "Autumn")</f>
        <v>Autumn</v>
      </c>
      <c r="AB854" s="7" t="str">
        <f>TEXT(Z854, "mmmm")</f>
        <v>October</v>
      </c>
      <c r="AC854" s="1" t="str">
        <f>TEXT(Z854, "dddd")</f>
        <v>Wednesday</v>
      </c>
      <c r="AD854" s="4" t="s">
        <v>62</v>
      </c>
      <c r="AE854" s="4" t="s">
        <v>76</v>
      </c>
      <c r="AF854" s="4" t="s">
        <v>102</v>
      </c>
      <c r="AG854" s="4" t="s">
        <v>64</v>
      </c>
      <c r="AH854" s="3">
        <v>13</v>
      </c>
    </row>
    <row r="855" spans="1:34">
      <c r="A855" s="4" t="s">
        <v>1794</v>
      </c>
      <c r="B855" s="3">
        <v>36</v>
      </c>
      <c r="C855" s="9" t="str" cm="1">
        <f t="array" ref="C855">_xlfn.IFS(B855&gt;65,"+65",B855&gt;54,"55-65",B855&gt;44,"45-54",B855&gt;35,"36-44",B855&gt;25,"26-35",B855&gt;=18,"18-25")</f>
        <v>36-44</v>
      </c>
      <c r="D855" s="4" t="s">
        <v>66</v>
      </c>
      <c r="E855" s="4" t="s">
        <v>72</v>
      </c>
      <c r="F855" s="4" t="s">
        <v>67</v>
      </c>
      <c r="G855" s="4" t="s">
        <v>68</v>
      </c>
      <c r="H855" s="4" t="s">
        <v>1795</v>
      </c>
      <c r="I855" s="4" t="s">
        <v>156</v>
      </c>
      <c r="J855" s="5">
        <v>85.52</v>
      </c>
      <c r="K855" s="3">
        <v>7</v>
      </c>
      <c r="L855" s="4" t="str">
        <f>IF(AND(J855&gt;350,K855&gt;6), "True","False")</f>
        <v>False</v>
      </c>
      <c r="M855" s="4" t="s">
        <v>83</v>
      </c>
      <c r="N855" s="3">
        <v>1</v>
      </c>
      <c r="O855" s="4" t="str" cm="1">
        <f t="array" ref="O855">_xlfn.IFS(P855&lt;=2,"Poor",P855=3,"Average",P855&gt;=4,"Good")</f>
        <v>Good</v>
      </c>
      <c r="P855" s="3">
        <v>5</v>
      </c>
      <c r="Q855" s="2">
        <v>0</v>
      </c>
      <c r="R855" s="4" t="s">
        <v>85</v>
      </c>
      <c r="S855" s="4" t="s">
        <v>84</v>
      </c>
      <c r="T855" s="3">
        <v>1</v>
      </c>
      <c r="U855" s="4" t="str" cm="1">
        <f t="array" ref="U855">_xlfn.IFS(V855&lt;=4, "Dissatisfied",V855&lt;=7,"Neutral",V855&gt;=8,"Satisfied")</f>
        <v>Dissatisfied</v>
      </c>
      <c r="V855" s="3">
        <v>3</v>
      </c>
      <c r="W855" s="4" t="s">
        <v>59</v>
      </c>
      <c r="X855" s="4" t="s">
        <v>60</v>
      </c>
      <c r="Y855" s="4" t="s">
        <v>111</v>
      </c>
      <c r="Z855" s="1">
        <v>45596</v>
      </c>
      <c r="AA855" s="4" t="str" cm="1">
        <f t="array" ref="AA855">_xlfn.IFS(OR(AB855="December", AB855="February", AB855="January"), "Winter", OR(AB855="March", AB855="April", AB855="May"), "Spring", OR(AB855="June", AB855="July", AB855="August"), "Summer", TRUE, "Autumn")</f>
        <v>Autumn</v>
      </c>
      <c r="AB855" s="7" t="str">
        <f>TEXT(Z855, "mmmm")</f>
        <v>October</v>
      </c>
      <c r="AC855" s="1" t="str">
        <f>TEXT(Z855, "dddd")</f>
        <v>Thursday</v>
      </c>
      <c r="AD855" s="4" t="s">
        <v>76</v>
      </c>
      <c r="AE855" s="4" t="s">
        <v>62</v>
      </c>
      <c r="AF855" s="4" t="s">
        <v>87</v>
      </c>
      <c r="AG855" s="4" t="s">
        <v>88</v>
      </c>
      <c r="AH855" s="3">
        <v>7</v>
      </c>
    </row>
    <row r="856" spans="1:34">
      <c r="A856" s="4" t="s">
        <v>1796</v>
      </c>
      <c r="B856" s="3">
        <v>27</v>
      </c>
      <c r="C856" s="9" t="str" cm="1">
        <f t="array" ref="C856">_xlfn.IFS(B856&gt;65,"+65",B856&gt;54,"55-65",B856&gt;44,"45-54",B856&gt;35,"36-44",B856&gt;25,"26-35",B856&gt;=18,"18-25")</f>
        <v>26-35</v>
      </c>
      <c r="D856" s="4" t="s">
        <v>78</v>
      </c>
      <c r="E856" s="4" t="s">
        <v>51</v>
      </c>
      <c r="F856" s="4" t="s">
        <v>52</v>
      </c>
      <c r="G856" s="4" t="s">
        <v>80</v>
      </c>
      <c r="H856" s="4" t="s">
        <v>1797</v>
      </c>
      <c r="I856" s="4" t="s">
        <v>70</v>
      </c>
      <c r="J856" s="5">
        <v>171.61</v>
      </c>
      <c r="K856" s="3">
        <v>3</v>
      </c>
      <c r="L856" s="4" t="str">
        <f>IF(AND(J856&gt;350,K856&gt;6), "True","False")</f>
        <v>False</v>
      </c>
      <c r="M856" s="4" t="s">
        <v>56</v>
      </c>
      <c r="N856" s="3">
        <v>3</v>
      </c>
      <c r="O856" s="4" t="str" cm="1">
        <f t="array" ref="O856">_xlfn.IFS(P856&lt;=2,"Poor",P856=3,"Average",P856&gt;=4,"Good")</f>
        <v>Poor</v>
      </c>
      <c r="P856" s="3">
        <v>1</v>
      </c>
      <c r="Q856" s="2">
        <v>2</v>
      </c>
      <c r="R856" s="4" t="s">
        <v>59</v>
      </c>
      <c r="S856" s="4" t="s">
        <v>73</v>
      </c>
      <c r="T856" s="3">
        <v>1</v>
      </c>
      <c r="U856" s="4" t="str" cm="1">
        <f t="array" ref="U856">_xlfn.IFS(V856&lt;=4, "Dissatisfied",V856&lt;=7,"Neutral",V856&gt;=8,"Satisfied")</f>
        <v>Neutral</v>
      </c>
      <c r="V856" s="3">
        <v>6</v>
      </c>
      <c r="W856" s="4" t="s">
        <v>72</v>
      </c>
      <c r="X856" s="4" t="s">
        <v>101</v>
      </c>
      <c r="Y856" s="4" t="s">
        <v>119</v>
      </c>
      <c r="Z856" s="1">
        <v>45596</v>
      </c>
      <c r="AA856" s="4" t="str" cm="1">
        <f t="array" ref="AA856">_xlfn.IFS(OR(AB856="December", AB856="February", AB856="January"), "Winter", OR(AB856="March", AB856="April", AB856="May"), "Spring", OR(AB856="June", AB856="July", AB856="August"), "Summer", TRUE, "Autumn")</f>
        <v>Autumn</v>
      </c>
      <c r="AB856" s="7" t="str">
        <f>TEXT(Z856, "mmmm")</f>
        <v>October</v>
      </c>
      <c r="AC856" s="1" t="str">
        <f>TEXT(Z856, "dddd")</f>
        <v>Thursday</v>
      </c>
      <c r="AD856" s="4" t="s">
        <v>62</v>
      </c>
      <c r="AE856" s="4" t="s">
        <v>76</v>
      </c>
      <c r="AF856" s="4" t="s">
        <v>87</v>
      </c>
      <c r="AG856" s="4" t="s">
        <v>93</v>
      </c>
      <c r="AH856" s="3">
        <v>8</v>
      </c>
    </row>
    <row r="857" spans="1:34">
      <c r="A857" s="4" t="s">
        <v>1798</v>
      </c>
      <c r="B857" s="3">
        <v>23</v>
      </c>
      <c r="C857" s="9" t="str" cm="1">
        <f t="array" ref="C857">_xlfn.IFS(B857&gt;65,"+65",B857&gt;54,"55-65",B857&gt;44,"45-54",B857&gt;35,"36-44",B857&gt;25,"26-35",B857&gt;=18,"18-25")</f>
        <v>18-25</v>
      </c>
      <c r="D857" s="4" t="s">
        <v>66</v>
      </c>
      <c r="E857" s="4" t="s">
        <v>72</v>
      </c>
      <c r="F857" s="4" t="s">
        <v>67</v>
      </c>
      <c r="G857" s="4" t="s">
        <v>68</v>
      </c>
      <c r="H857" s="4" t="s">
        <v>1799</v>
      </c>
      <c r="I857" s="4" t="s">
        <v>151</v>
      </c>
      <c r="J857" s="5">
        <v>216.45</v>
      </c>
      <c r="K857" s="3">
        <v>5</v>
      </c>
      <c r="L857" s="4" t="str">
        <f>IF(AND(J857&gt;350,K857&gt;6), "True","False")</f>
        <v>False</v>
      </c>
      <c r="M857" s="4" t="s">
        <v>83</v>
      </c>
      <c r="N857" s="3">
        <v>5</v>
      </c>
      <c r="O857" s="4" t="str" cm="1">
        <f t="array" ref="O857">_xlfn.IFS(P857&lt;=2,"Poor",P857=3,"Average",P857&gt;=4,"Good")</f>
        <v>Poor</v>
      </c>
      <c r="P857" s="3">
        <v>2</v>
      </c>
      <c r="Q857" s="2">
        <v>0</v>
      </c>
      <c r="R857" s="4" t="s">
        <v>85</v>
      </c>
      <c r="S857" s="4" t="s">
        <v>73</v>
      </c>
      <c r="T857" s="3">
        <v>2</v>
      </c>
      <c r="U857" s="4" t="str" cm="1">
        <f t="array" ref="U857">_xlfn.IFS(V857&lt;=4, "Dissatisfied",V857&lt;=7,"Neutral",V857&gt;=8,"Satisfied")</f>
        <v>Neutral</v>
      </c>
      <c r="V857" s="3">
        <v>7</v>
      </c>
      <c r="W857" s="4" t="s">
        <v>59</v>
      </c>
      <c r="X857" s="4" t="s">
        <v>74</v>
      </c>
      <c r="Y857" s="4" t="s">
        <v>119</v>
      </c>
      <c r="Z857" s="1">
        <v>45596</v>
      </c>
      <c r="AA857" s="4" t="str" cm="1">
        <f t="array" ref="AA857">_xlfn.IFS(OR(AB857="December", AB857="February", AB857="January"), "Winter", OR(AB857="March", AB857="April", AB857="May"), "Spring", OR(AB857="June", AB857="July", AB857="August"), "Summer", TRUE, "Autumn")</f>
        <v>Autumn</v>
      </c>
      <c r="AB857" s="7" t="str">
        <f>TEXT(Z857, "mmmm")</f>
        <v>October</v>
      </c>
      <c r="AC857" s="1" t="str">
        <f>TEXT(Z857, "dddd")</f>
        <v>Thursday</v>
      </c>
      <c r="AD857" s="4" t="s">
        <v>76</v>
      </c>
      <c r="AE857" s="4" t="s">
        <v>76</v>
      </c>
      <c r="AF857" s="4" t="s">
        <v>63</v>
      </c>
      <c r="AG857" s="4" t="s">
        <v>88</v>
      </c>
      <c r="AH857" s="3">
        <v>3</v>
      </c>
    </row>
    <row r="858" spans="1:34">
      <c r="A858" s="4" t="s">
        <v>1800</v>
      </c>
      <c r="B858" s="3">
        <v>32</v>
      </c>
      <c r="C858" s="9" t="str" cm="1">
        <f t="array" ref="C858">_xlfn.IFS(B858&gt;65,"+65",B858&gt;54,"55-65",B858&gt;44,"45-54",B858&gt;35,"36-44",B858&gt;25,"26-35",B858&gt;=18,"18-25")</f>
        <v>26-35</v>
      </c>
      <c r="D858" s="4" t="s">
        <v>66</v>
      </c>
      <c r="E858" s="4" t="s">
        <v>51</v>
      </c>
      <c r="F858" s="4" t="s">
        <v>79</v>
      </c>
      <c r="G858" s="4" t="s">
        <v>53</v>
      </c>
      <c r="H858" s="4" t="s">
        <v>1801</v>
      </c>
      <c r="I858" s="4" t="s">
        <v>110</v>
      </c>
      <c r="J858" s="5">
        <v>113.57</v>
      </c>
      <c r="K858" s="3">
        <v>5</v>
      </c>
      <c r="L858" s="4" t="str">
        <f>IF(AND(J858&gt;350,K858&gt;6), "True","False")</f>
        <v>False</v>
      </c>
      <c r="M858" s="4" t="s">
        <v>56</v>
      </c>
      <c r="N858" s="3">
        <v>4</v>
      </c>
      <c r="O858" s="4" t="str" cm="1">
        <f t="array" ref="O858">_xlfn.IFS(P858&lt;=2,"Poor",P858=3,"Average",P858&gt;=4,"Good")</f>
        <v>Good</v>
      </c>
      <c r="P858" s="3">
        <v>4</v>
      </c>
      <c r="Q858" s="2">
        <v>2</v>
      </c>
      <c r="R858" s="4" t="s">
        <v>85</v>
      </c>
      <c r="S858" s="4" t="s">
        <v>73</v>
      </c>
      <c r="T858" s="3">
        <v>1</v>
      </c>
      <c r="U858" s="4" t="str" cm="1">
        <f t="array" ref="U858">_xlfn.IFS(V858&lt;=4, "Dissatisfied",V858&lt;=7,"Neutral",V858&gt;=8,"Satisfied")</f>
        <v>Dissatisfied</v>
      </c>
      <c r="V858" s="3">
        <v>1</v>
      </c>
      <c r="W858" s="4" t="s">
        <v>72</v>
      </c>
      <c r="X858" s="4" t="s">
        <v>74</v>
      </c>
      <c r="Y858" s="4" t="s">
        <v>61</v>
      </c>
      <c r="Z858" s="1">
        <v>45597</v>
      </c>
      <c r="AA858" s="4" t="str" cm="1">
        <f t="array" ref="AA858">_xlfn.IFS(OR(AB858="December", AB858="February", AB858="January"), "Winter", OR(AB858="March", AB858="April", AB858="May"), "Spring", OR(AB858="June", AB858="July", AB858="August"), "Summer", TRUE, "Autumn")</f>
        <v>Autumn</v>
      </c>
      <c r="AB858" s="7" t="str">
        <f>TEXT(Z858, "mmmm")</f>
        <v>November</v>
      </c>
      <c r="AC858" s="1" t="str">
        <f>TEXT(Z858, "dddd")</f>
        <v>Friday</v>
      </c>
      <c r="AD858" s="4" t="s">
        <v>76</v>
      </c>
      <c r="AE858" s="4" t="s">
        <v>62</v>
      </c>
      <c r="AF858" s="4" t="s">
        <v>102</v>
      </c>
      <c r="AG858" s="4" t="s">
        <v>64</v>
      </c>
      <c r="AH858" s="3">
        <v>8</v>
      </c>
    </row>
    <row r="859" spans="1:34">
      <c r="A859" s="4" t="s">
        <v>1802</v>
      </c>
      <c r="B859" s="3">
        <v>20</v>
      </c>
      <c r="C859" s="9" t="str" cm="1">
        <f t="array" ref="C859">_xlfn.IFS(B859&gt;65,"+65",B859&gt;54,"55-65",B859&gt;44,"45-54",B859&gt;35,"36-44",B859&gt;25,"26-35",B859&gt;=18,"18-25")</f>
        <v>18-25</v>
      </c>
      <c r="D859" s="4" t="s">
        <v>78</v>
      </c>
      <c r="E859" s="4" t="s">
        <v>51</v>
      </c>
      <c r="F859" s="4" t="s">
        <v>79</v>
      </c>
      <c r="G859" s="4" t="s">
        <v>80</v>
      </c>
      <c r="H859" s="4" t="s">
        <v>1803</v>
      </c>
      <c r="I859" s="4" t="s">
        <v>223</v>
      </c>
      <c r="J859" s="5">
        <v>68.02</v>
      </c>
      <c r="K859" s="3">
        <v>10</v>
      </c>
      <c r="L859" s="4" t="str">
        <f>IF(AND(J859&gt;350,K859&gt;6), "True","False")</f>
        <v>False</v>
      </c>
      <c r="M859" s="4" t="s">
        <v>56</v>
      </c>
      <c r="N859" s="3">
        <v>3</v>
      </c>
      <c r="O859" s="4" t="str" cm="1">
        <f t="array" ref="O859">_xlfn.IFS(P859&lt;=2,"Poor",P859=3,"Average",P859&gt;=4,"Good")</f>
        <v>Poor</v>
      </c>
      <c r="P859" s="3">
        <v>2</v>
      </c>
      <c r="Q859" s="2">
        <v>1</v>
      </c>
      <c r="R859" s="4" t="s">
        <v>57</v>
      </c>
      <c r="S859" s="4" t="s">
        <v>73</v>
      </c>
      <c r="T859" s="3">
        <v>1</v>
      </c>
      <c r="U859" s="4" t="str" cm="1">
        <f t="array" ref="U859">_xlfn.IFS(V859&lt;=4, "Dissatisfied",V859&lt;=7,"Neutral",V859&gt;=8,"Satisfied")</f>
        <v>Neutral</v>
      </c>
      <c r="V859" s="3">
        <v>6</v>
      </c>
      <c r="W859" s="4" t="s">
        <v>57</v>
      </c>
      <c r="X859" s="4" t="s">
        <v>74</v>
      </c>
      <c r="Y859" s="4" t="s">
        <v>119</v>
      </c>
      <c r="Z859" s="1">
        <v>45597</v>
      </c>
      <c r="AA859" s="4" t="str" cm="1">
        <f t="array" ref="AA859">_xlfn.IFS(OR(AB859="December", AB859="February", AB859="January"), "Winter", OR(AB859="March", AB859="April", AB859="May"), "Spring", OR(AB859="June", AB859="July", AB859="August"), "Summer", TRUE, "Autumn")</f>
        <v>Autumn</v>
      </c>
      <c r="AB859" s="7" t="str">
        <f>TEXT(Z859, "mmmm")</f>
        <v>November</v>
      </c>
      <c r="AC859" s="1" t="str">
        <f>TEXT(Z859, "dddd")</f>
        <v>Friday</v>
      </c>
      <c r="AD859" s="4" t="s">
        <v>62</v>
      </c>
      <c r="AE859" s="4" t="s">
        <v>62</v>
      </c>
      <c r="AF859" s="4" t="s">
        <v>63</v>
      </c>
      <c r="AG859" s="4" t="s">
        <v>93</v>
      </c>
      <c r="AH859" s="3">
        <v>6</v>
      </c>
    </row>
    <row r="860" spans="1:34">
      <c r="A860" s="4" t="s">
        <v>1804</v>
      </c>
      <c r="B860" s="3">
        <v>20</v>
      </c>
      <c r="C860" s="9" t="str" cm="1">
        <f t="array" ref="C860">_xlfn.IFS(B860&gt;65,"+65",B860&gt;54,"55-65",B860&gt;44,"45-54",B860&gt;35,"36-44",B860&gt;25,"26-35",B860&gt;=18,"18-25")</f>
        <v>18-25</v>
      </c>
      <c r="D860" s="4" t="s">
        <v>78</v>
      </c>
      <c r="E860" s="4" t="s">
        <v>72</v>
      </c>
      <c r="F860" s="4" t="s">
        <v>52</v>
      </c>
      <c r="G860" s="4" t="s">
        <v>53</v>
      </c>
      <c r="H860" s="4" t="s">
        <v>1805</v>
      </c>
      <c r="I860" s="4" t="s">
        <v>70</v>
      </c>
      <c r="J860" s="5">
        <v>131.9</v>
      </c>
      <c r="K860" s="3">
        <v>8</v>
      </c>
      <c r="L860" s="4" t="str">
        <f>IF(AND(J860&gt;350,K860&gt;6), "True","False")</f>
        <v>False</v>
      </c>
      <c r="M860" s="4" t="s">
        <v>83</v>
      </c>
      <c r="N860" s="3">
        <v>3</v>
      </c>
      <c r="O860" s="4" t="str" cm="1">
        <f t="array" ref="O860">_xlfn.IFS(P860&lt;=2,"Poor",P860=3,"Average",P860&gt;=4,"Good")</f>
        <v>Good</v>
      </c>
      <c r="P860" s="3">
        <v>5</v>
      </c>
      <c r="Q860" s="2">
        <v>0</v>
      </c>
      <c r="R860" s="4" t="s">
        <v>57</v>
      </c>
      <c r="S860" s="4" t="s">
        <v>58</v>
      </c>
      <c r="T860" s="3">
        <v>2</v>
      </c>
      <c r="U860" s="4" t="str" cm="1">
        <f t="array" ref="U860">_xlfn.IFS(V860&lt;=4, "Dissatisfied",V860&lt;=7,"Neutral",V860&gt;=8,"Satisfied")</f>
        <v>Dissatisfied</v>
      </c>
      <c r="V860" s="3">
        <v>4</v>
      </c>
      <c r="W860" s="4" t="s">
        <v>85</v>
      </c>
      <c r="X860" s="4" t="s">
        <v>74</v>
      </c>
      <c r="Y860" s="4" t="s">
        <v>119</v>
      </c>
      <c r="Z860" s="1">
        <v>45597</v>
      </c>
      <c r="AA860" s="4" t="str" cm="1">
        <f t="array" ref="AA860">_xlfn.IFS(OR(AB860="December", AB860="February", AB860="January"), "Winter", OR(AB860="March", AB860="April", AB860="May"), "Spring", OR(AB860="June", AB860="July", AB860="August"), "Summer", TRUE, "Autumn")</f>
        <v>Autumn</v>
      </c>
      <c r="AB860" s="7" t="str">
        <f>TEXT(Z860, "mmmm")</f>
        <v>November</v>
      </c>
      <c r="AC860" s="1" t="str">
        <f>TEXT(Z860, "dddd")</f>
        <v>Friday</v>
      </c>
      <c r="AD860" s="4" t="s">
        <v>62</v>
      </c>
      <c r="AE860" s="4" t="s">
        <v>62</v>
      </c>
      <c r="AF860" s="4" t="s">
        <v>87</v>
      </c>
      <c r="AG860" s="4" t="s">
        <v>88</v>
      </c>
      <c r="AH860" s="3">
        <v>4</v>
      </c>
    </row>
    <row r="861" spans="1:34">
      <c r="A861" s="4" t="s">
        <v>1806</v>
      </c>
      <c r="B861" s="3">
        <v>48</v>
      </c>
      <c r="C861" s="9" t="str" cm="1">
        <f t="array" ref="C861">_xlfn.IFS(B861&gt;65,"+65",B861&gt;54,"55-65",B861&gt;44,"45-54",B861&gt;35,"36-44",B861&gt;25,"26-35",B861&gt;=18,"18-25")</f>
        <v>45-54</v>
      </c>
      <c r="D861" s="4" t="s">
        <v>66</v>
      </c>
      <c r="E861" s="4" t="s">
        <v>51</v>
      </c>
      <c r="F861" s="4" t="s">
        <v>52</v>
      </c>
      <c r="G861" s="4" t="s">
        <v>80</v>
      </c>
      <c r="H861" s="4" t="s">
        <v>1807</v>
      </c>
      <c r="I861" s="4" t="s">
        <v>110</v>
      </c>
      <c r="J861" s="5">
        <v>298.73</v>
      </c>
      <c r="K861" s="3">
        <v>4</v>
      </c>
      <c r="L861" s="4" t="str">
        <f>IF(AND(J861&gt;350,K861&gt;6), "True","False")</f>
        <v>False</v>
      </c>
      <c r="M861" s="4" t="s">
        <v>56</v>
      </c>
      <c r="N861" s="3">
        <v>1</v>
      </c>
      <c r="O861" s="4" t="str" cm="1">
        <f t="array" ref="O861">_xlfn.IFS(P861&lt;=2,"Poor",P861=3,"Average",P861&gt;=4,"Good")</f>
        <v>Good</v>
      </c>
      <c r="P861" s="3">
        <v>5</v>
      </c>
      <c r="Q861" s="2">
        <v>1</v>
      </c>
      <c r="R861" s="4" t="s">
        <v>72</v>
      </c>
      <c r="S861" s="4" t="s">
        <v>58</v>
      </c>
      <c r="T861" s="3">
        <v>0</v>
      </c>
      <c r="U861" s="4" t="str" cm="1">
        <f t="array" ref="U861">_xlfn.IFS(V861&lt;=4, "Dissatisfied",V861&lt;=7,"Neutral",V861&gt;=8,"Satisfied")</f>
        <v>Dissatisfied</v>
      </c>
      <c r="V861" s="3">
        <v>2</v>
      </c>
      <c r="W861" s="4" t="s">
        <v>59</v>
      </c>
      <c r="X861" s="4" t="s">
        <v>74</v>
      </c>
      <c r="Y861" s="4" t="s">
        <v>75</v>
      </c>
      <c r="Z861" s="1">
        <v>45598</v>
      </c>
      <c r="AA861" s="4" t="str" cm="1">
        <f t="array" ref="AA861">_xlfn.IFS(OR(AB861="December", AB861="February", AB861="January"), "Winter", OR(AB861="March", AB861="April", AB861="May"), "Spring", OR(AB861="June", AB861="July", AB861="August"), "Summer", TRUE, "Autumn")</f>
        <v>Autumn</v>
      </c>
      <c r="AB861" s="7" t="str">
        <f>TEXT(Z861, "mmmm")</f>
        <v>November</v>
      </c>
      <c r="AC861" s="1" t="str">
        <f>TEXT(Z861, "dddd")</f>
        <v>Saturday</v>
      </c>
      <c r="AD861" s="4" t="s">
        <v>76</v>
      </c>
      <c r="AE861" s="4" t="s">
        <v>62</v>
      </c>
      <c r="AF861" s="4" t="s">
        <v>63</v>
      </c>
      <c r="AG861" s="4" t="s">
        <v>88</v>
      </c>
      <c r="AH861" s="3">
        <v>4</v>
      </c>
    </row>
    <row r="862" spans="1:34">
      <c r="A862" s="4" t="s">
        <v>1808</v>
      </c>
      <c r="B862" s="3">
        <v>43</v>
      </c>
      <c r="C862" s="9" t="str" cm="1">
        <f t="array" ref="C862">_xlfn.IFS(B862&gt;65,"+65",B862&gt;54,"55-65",B862&gt;44,"45-54",B862&gt;35,"36-44",B862&gt;25,"26-35",B862&gt;=18,"18-25")</f>
        <v>36-44</v>
      </c>
      <c r="D862" s="4" t="s">
        <v>78</v>
      </c>
      <c r="E862" s="4" t="s">
        <v>72</v>
      </c>
      <c r="F862" s="4" t="s">
        <v>95</v>
      </c>
      <c r="G862" s="4" t="s">
        <v>68</v>
      </c>
      <c r="H862" s="4" t="s">
        <v>1809</v>
      </c>
      <c r="I862" s="4" t="s">
        <v>97</v>
      </c>
      <c r="J862" s="5">
        <v>426.89</v>
      </c>
      <c r="K862" s="3">
        <v>2</v>
      </c>
      <c r="L862" s="4" t="str">
        <f>IF(AND(J862&gt;350,K862&gt;6), "True","False")</f>
        <v>False</v>
      </c>
      <c r="M862" s="4" t="s">
        <v>83</v>
      </c>
      <c r="N862" s="3">
        <v>5</v>
      </c>
      <c r="O862" s="4" t="str" cm="1">
        <f t="array" ref="O862">_xlfn.IFS(P862&lt;=2,"Poor",P862=3,"Average",P862&gt;=4,"Good")</f>
        <v>Poor</v>
      </c>
      <c r="P862" s="3">
        <v>1</v>
      </c>
      <c r="Q862" s="2">
        <v>1</v>
      </c>
      <c r="R862" s="4" t="s">
        <v>72</v>
      </c>
      <c r="S862" s="4" t="s">
        <v>58</v>
      </c>
      <c r="T862" s="3">
        <v>1</v>
      </c>
      <c r="U862" s="4" t="str" cm="1">
        <f t="array" ref="U862">_xlfn.IFS(V862&lt;=4, "Dissatisfied",V862&lt;=7,"Neutral",V862&gt;=8,"Satisfied")</f>
        <v>Dissatisfied</v>
      </c>
      <c r="V862" s="3">
        <v>3</v>
      </c>
      <c r="W862" s="4" t="s">
        <v>59</v>
      </c>
      <c r="X862" s="4" t="s">
        <v>60</v>
      </c>
      <c r="Y862" s="4" t="s">
        <v>86</v>
      </c>
      <c r="Z862" s="1">
        <v>45598</v>
      </c>
      <c r="AA862" s="4" t="str" cm="1">
        <f t="array" ref="AA862">_xlfn.IFS(OR(AB862="December", AB862="February", AB862="January"), "Winter", OR(AB862="March", AB862="April", AB862="May"), "Spring", OR(AB862="June", AB862="July", AB862="August"), "Summer", TRUE, "Autumn")</f>
        <v>Autumn</v>
      </c>
      <c r="AB862" s="7" t="str">
        <f>TEXT(Z862, "mmmm")</f>
        <v>November</v>
      </c>
      <c r="AC862" s="1" t="str">
        <f>TEXT(Z862, "dddd")</f>
        <v>Saturday</v>
      </c>
      <c r="AD862" s="4" t="s">
        <v>62</v>
      </c>
      <c r="AE862" s="4" t="s">
        <v>76</v>
      </c>
      <c r="AF862" s="4" t="s">
        <v>102</v>
      </c>
      <c r="AG862" s="4" t="s">
        <v>93</v>
      </c>
      <c r="AH862" s="3">
        <v>10</v>
      </c>
    </row>
    <row r="863" spans="1:34">
      <c r="A863" s="4" t="s">
        <v>1810</v>
      </c>
      <c r="B863" s="3">
        <v>41</v>
      </c>
      <c r="C863" s="9" t="str" cm="1">
        <f t="array" ref="C863">_xlfn.IFS(B863&gt;65,"+65",B863&gt;54,"55-65",B863&gt;44,"45-54",B863&gt;35,"36-44",B863&gt;25,"26-35",B863&gt;=18,"18-25")</f>
        <v>36-44</v>
      </c>
      <c r="D863" s="4" t="s">
        <v>78</v>
      </c>
      <c r="E863" s="4" t="s">
        <v>51</v>
      </c>
      <c r="F863" s="4" t="s">
        <v>79</v>
      </c>
      <c r="G863" s="4" t="s">
        <v>53</v>
      </c>
      <c r="H863" s="4" t="s">
        <v>1811</v>
      </c>
      <c r="I863" s="4" t="s">
        <v>223</v>
      </c>
      <c r="J863" s="5">
        <v>84.15</v>
      </c>
      <c r="K863" s="3">
        <v>10</v>
      </c>
      <c r="L863" s="4" t="str">
        <f>IF(AND(J863&gt;350,K863&gt;6), "True","False")</f>
        <v>False</v>
      </c>
      <c r="M863" s="4" t="s">
        <v>71</v>
      </c>
      <c r="N863" s="3">
        <v>1</v>
      </c>
      <c r="O863" s="4" t="str" cm="1">
        <f t="array" ref="O863">_xlfn.IFS(P863&lt;=2,"Poor",P863=3,"Average",P863&gt;=4,"Good")</f>
        <v>Average</v>
      </c>
      <c r="P863" s="3">
        <v>3</v>
      </c>
      <c r="Q863" s="2">
        <v>1</v>
      </c>
      <c r="R863" s="4" t="s">
        <v>72</v>
      </c>
      <c r="S863" s="4" t="s">
        <v>58</v>
      </c>
      <c r="T863" s="3">
        <v>2</v>
      </c>
      <c r="U863" s="4" t="str" cm="1">
        <f t="array" ref="U863">_xlfn.IFS(V863&lt;=4, "Dissatisfied",V863&lt;=7,"Neutral",V863&gt;=8,"Satisfied")</f>
        <v>Dissatisfied</v>
      </c>
      <c r="V863" s="3">
        <v>1</v>
      </c>
      <c r="W863" s="4" t="s">
        <v>72</v>
      </c>
      <c r="X863" s="4" t="s">
        <v>101</v>
      </c>
      <c r="Y863" s="4" t="s">
        <v>86</v>
      </c>
      <c r="Z863" s="1">
        <v>45599</v>
      </c>
      <c r="AA863" s="4" t="str" cm="1">
        <f t="array" ref="AA863">_xlfn.IFS(OR(AB863="December", AB863="February", AB863="January"), "Winter", OR(AB863="March", AB863="April", AB863="May"), "Spring", OR(AB863="June", AB863="July", AB863="August"), "Summer", TRUE, "Autumn")</f>
        <v>Autumn</v>
      </c>
      <c r="AB863" s="7" t="str">
        <f>TEXT(Z863, "mmmm")</f>
        <v>November</v>
      </c>
      <c r="AC863" s="1" t="str">
        <f>TEXT(Z863, "dddd")</f>
        <v>Sunday</v>
      </c>
      <c r="AD863" s="4" t="s">
        <v>62</v>
      </c>
      <c r="AE863" s="4" t="s">
        <v>62</v>
      </c>
      <c r="AF863" s="4" t="s">
        <v>92</v>
      </c>
      <c r="AG863" s="4" t="s">
        <v>64</v>
      </c>
      <c r="AH863" s="3">
        <v>1</v>
      </c>
    </row>
    <row r="864" spans="1:34">
      <c r="A864" s="4" t="s">
        <v>1812</v>
      </c>
      <c r="B864" s="3">
        <v>46</v>
      </c>
      <c r="C864" s="9" t="str" cm="1">
        <f t="array" ref="C864">_xlfn.IFS(B864&gt;65,"+65",B864&gt;54,"55-65",B864&gt;44,"45-54",B864&gt;35,"36-44",B864&gt;25,"26-35",B864&gt;=18,"18-25")</f>
        <v>45-54</v>
      </c>
      <c r="D864" s="4" t="s">
        <v>78</v>
      </c>
      <c r="E864" s="4" t="s">
        <v>72</v>
      </c>
      <c r="F864" s="4" t="s">
        <v>52</v>
      </c>
      <c r="G864" s="4" t="s">
        <v>80</v>
      </c>
      <c r="H864" s="4" t="s">
        <v>1813</v>
      </c>
      <c r="I864" s="4" t="s">
        <v>118</v>
      </c>
      <c r="J864" s="5">
        <v>290.52999999999997</v>
      </c>
      <c r="K864" s="3">
        <v>3</v>
      </c>
      <c r="L864" s="4" t="str">
        <f>IF(AND(J864&gt;350,K864&gt;6), "True","False")</f>
        <v>False</v>
      </c>
      <c r="M864" s="4" t="s">
        <v>56</v>
      </c>
      <c r="N864" s="3">
        <v>3</v>
      </c>
      <c r="O864" s="4" t="str" cm="1">
        <f t="array" ref="O864">_xlfn.IFS(P864&lt;=2,"Poor",P864=3,"Average",P864&gt;=4,"Good")</f>
        <v>Poor</v>
      </c>
      <c r="P864" s="3">
        <v>2</v>
      </c>
      <c r="Q864" s="2">
        <v>1</v>
      </c>
      <c r="R864" s="4" t="s">
        <v>59</v>
      </c>
      <c r="S864" s="4" t="s">
        <v>73</v>
      </c>
      <c r="T864" s="3">
        <v>0</v>
      </c>
      <c r="U864" s="4" t="str" cm="1">
        <f t="array" ref="U864">_xlfn.IFS(V864&lt;=4, "Dissatisfied",V864&lt;=7,"Neutral",V864&gt;=8,"Satisfied")</f>
        <v>Neutral</v>
      </c>
      <c r="V864" s="3">
        <v>6</v>
      </c>
      <c r="W864" s="4" t="s">
        <v>72</v>
      </c>
      <c r="X864" s="4" t="s">
        <v>101</v>
      </c>
      <c r="Y864" s="4" t="s">
        <v>75</v>
      </c>
      <c r="Z864" s="1">
        <v>45600</v>
      </c>
      <c r="AA864" s="4" t="str" cm="1">
        <f t="array" ref="AA864">_xlfn.IFS(OR(AB864="December", AB864="February", AB864="January"), "Winter", OR(AB864="March", AB864="April", AB864="May"), "Spring", OR(AB864="June", AB864="July", AB864="August"), "Summer", TRUE, "Autumn")</f>
        <v>Autumn</v>
      </c>
      <c r="AB864" s="7" t="str">
        <f>TEXT(Z864, "mmmm")</f>
        <v>November</v>
      </c>
      <c r="AC864" s="1" t="str">
        <f>TEXT(Z864, "dddd")</f>
        <v>Monday</v>
      </c>
      <c r="AD864" s="4" t="s">
        <v>62</v>
      </c>
      <c r="AE864" s="4" t="s">
        <v>76</v>
      </c>
      <c r="AF864" s="4" t="s">
        <v>87</v>
      </c>
      <c r="AG864" s="4" t="s">
        <v>88</v>
      </c>
      <c r="AH864" s="3">
        <v>10</v>
      </c>
    </row>
    <row r="865" spans="1:34">
      <c r="A865" s="4" t="s">
        <v>1814</v>
      </c>
      <c r="B865" s="3">
        <v>21</v>
      </c>
      <c r="C865" s="9" t="str" cm="1">
        <f t="array" ref="C865">_xlfn.IFS(B865&gt;65,"+65",B865&gt;54,"55-65",B865&gt;44,"45-54",B865&gt;35,"36-44",B865&gt;25,"26-35",B865&gt;=18,"18-25")</f>
        <v>18-25</v>
      </c>
      <c r="D865" s="4" t="s">
        <v>66</v>
      </c>
      <c r="E865" s="4" t="s">
        <v>51</v>
      </c>
      <c r="F865" s="4" t="s">
        <v>67</v>
      </c>
      <c r="G865" s="4" t="s">
        <v>80</v>
      </c>
      <c r="H865" s="4" t="s">
        <v>1815</v>
      </c>
      <c r="I865" s="4" t="s">
        <v>223</v>
      </c>
      <c r="J865" s="5">
        <v>103.4</v>
      </c>
      <c r="K865" s="3">
        <v>9</v>
      </c>
      <c r="L865" s="4" t="str">
        <f>IF(AND(J865&gt;350,K865&gt;6), "True","False")</f>
        <v>False</v>
      </c>
      <c r="M865" s="4" t="s">
        <v>71</v>
      </c>
      <c r="N865" s="3">
        <v>4</v>
      </c>
      <c r="O865" s="4" t="str" cm="1">
        <f t="array" ref="O865">_xlfn.IFS(P865&lt;=2,"Poor",P865=3,"Average",P865&gt;=4,"Good")</f>
        <v>Poor</v>
      </c>
      <c r="P865" s="3">
        <v>1</v>
      </c>
      <c r="Q865" s="2">
        <v>2</v>
      </c>
      <c r="R865" s="4" t="s">
        <v>72</v>
      </c>
      <c r="S865" s="4" t="s">
        <v>58</v>
      </c>
      <c r="T865" s="3">
        <v>1</v>
      </c>
      <c r="U865" s="4" t="str" cm="1">
        <f t="array" ref="U865">_xlfn.IFS(V865&lt;=4, "Dissatisfied",V865&lt;=7,"Neutral",V865&gt;=8,"Satisfied")</f>
        <v>Satisfied</v>
      </c>
      <c r="V865" s="3">
        <v>9</v>
      </c>
      <c r="W865" s="4" t="s">
        <v>85</v>
      </c>
      <c r="X865" s="4" t="s">
        <v>60</v>
      </c>
      <c r="Y865" s="4" t="s">
        <v>75</v>
      </c>
      <c r="Z865" s="1">
        <v>45600</v>
      </c>
      <c r="AA865" s="4" t="str" cm="1">
        <f t="array" ref="AA865">_xlfn.IFS(OR(AB865="December", AB865="February", AB865="January"), "Winter", OR(AB865="March", AB865="April", AB865="May"), "Spring", OR(AB865="June", AB865="July", AB865="August"), "Summer", TRUE, "Autumn")</f>
        <v>Autumn</v>
      </c>
      <c r="AB865" s="7" t="str">
        <f>TEXT(Z865, "mmmm")</f>
        <v>November</v>
      </c>
      <c r="AC865" s="1" t="str">
        <f>TEXT(Z865, "dddd")</f>
        <v>Monday</v>
      </c>
      <c r="AD865" s="4" t="s">
        <v>62</v>
      </c>
      <c r="AE865" s="4" t="s">
        <v>76</v>
      </c>
      <c r="AF865" s="4" t="s">
        <v>87</v>
      </c>
      <c r="AG865" s="4" t="s">
        <v>64</v>
      </c>
      <c r="AH865" s="3">
        <v>9</v>
      </c>
    </row>
    <row r="866" spans="1:34">
      <c r="A866" s="4" t="s">
        <v>1816</v>
      </c>
      <c r="B866" s="3">
        <v>21</v>
      </c>
      <c r="C866" s="9" t="str" cm="1">
        <f t="array" ref="C866">_xlfn.IFS(B866&gt;65,"+65",B866&gt;54,"55-65",B866&gt;44,"45-54",B866&gt;35,"36-44",B866&gt;25,"26-35",B866&gt;=18,"18-25")</f>
        <v>18-25</v>
      </c>
      <c r="D866" s="4" t="s">
        <v>78</v>
      </c>
      <c r="E866" s="4" t="s">
        <v>72</v>
      </c>
      <c r="F866" s="4" t="s">
        <v>67</v>
      </c>
      <c r="G866" s="4" t="s">
        <v>80</v>
      </c>
      <c r="H866" s="4" t="s">
        <v>1817</v>
      </c>
      <c r="I866" s="4" t="s">
        <v>223</v>
      </c>
      <c r="J866" s="5">
        <v>338.96</v>
      </c>
      <c r="K866" s="3">
        <v>10</v>
      </c>
      <c r="L866" s="4" t="str">
        <f>IF(AND(J866&gt;350,K866&gt;6), "True","False")</f>
        <v>False</v>
      </c>
      <c r="M866" s="4" t="s">
        <v>56</v>
      </c>
      <c r="N866" s="3">
        <v>1</v>
      </c>
      <c r="O866" s="4" t="str" cm="1">
        <f t="array" ref="O866">_xlfn.IFS(P866&lt;=2,"Poor",P866=3,"Average",P866&gt;=4,"Good")</f>
        <v>Good</v>
      </c>
      <c r="P866" s="3">
        <v>4</v>
      </c>
      <c r="Q866" s="2">
        <v>2</v>
      </c>
      <c r="R866" s="4" t="s">
        <v>72</v>
      </c>
      <c r="S866" s="4" t="s">
        <v>84</v>
      </c>
      <c r="T866" s="3">
        <v>1</v>
      </c>
      <c r="U866" s="4" t="str" cm="1">
        <f t="array" ref="U866">_xlfn.IFS(V866&lt;=4, "Dissatisfied",V866&lt;=7,"Neutral",V866&gt;=8,"Satisfied")</f>
        <v>Satisfied</v>
      </c>
      <c r="V866" s="3">
        <v>9</v>
      </c>
      <c r="W866" s="4" t="s">
        <v>72</v>
      </c>
      <c r="X866" s="4" t="s">
        <v>101</v>
      </c>
      <c r="Y866" s="4" t="s">
        <v>75</v>
      </c>
      <c r="Z866" s="1">
        <v>45600</v>
      </c>
      <c r="AA866" s="4" t="str" cm="1">
        <f t="array" ref="AA866">_xlfn.IFS(OR(AB866="December", AB866="February", AB866="January"), "Winter", OR(AB866="March", AB866="April", AB866="May"), "Spring", OR(AB866="June", AB866="July", AB866="August"), "Summer", TRUE, "Autumn")</f>
        <v>Autumn</v>
      </c>
      <c r="AB866" s="7" t="str">
        <f>TEXT(Z866, "mmmm")</f>
        <v>November</v>
      </c>
      <c r="AC866" s="1" t="str">
        <f>TEXT(Z866, "dddd")</f>
        <v>Monday</v>
      </c>
      <c r="AD866" s="4" t="s">
        <v>62</v>
      </c>
      <c r="AE866" s="4" t="s">
        <v>62</v>
      </c>
      <c r="AF866" s="4" t="s">
        <v>102</v>
      </c>
      <c r="AG866" s="4" t="s">
        <v>64</v>
      </c>
      <c r="AH866" s="3">
        <v>4</v>
      </c>
    </row>
    <row r="867" spans="1:34">
      <c r="A867" s="4" t="s">
        <v>1818</v>
      </c>
      <c r="B867" s="3">
        <v>48</v>
      </c>
      <c r="C867" s="9" t="str" cm="1">
        <f t="array" ref="C867">_xlfn.IFS(B867&gt;65,"+65",B867&gt;54,"55-65",B867&gt;44,"45-54",B867&gt;35,"36-44",B867&gt;25,"26-35",B867&gt;=18,"18-25")</f>
        <v>45-54</v>
      </c>
      <c r="D867" s="4" t="s">
        <v>78</v>
      </c>
      <c r="E867" s="4" t="s">
        <v>51</v>
      </c>
      <c r="F867" s="4" t="s">
        <v>52</v>
      </c>
      <c r="G867" s="4" t="s">
        <v>80</v>
      </c>
      <c r="H867" s="4" t="s">
        <v>1819</v>
      </c>
      <c r="I867" s="4" t="s">
        <v>194</v>
      </c>
      <c r="J867" s="5">
        <v>423.23</v>
      </c>
      <c r="K867" s="3">
        <v>12</v>
      </c>
      <c r="L867" s="4" t="str">
        <f>IF(AND(J867&gt;350,K867&gt;6), "True","False")</f>
        <v>True</v>
      </c>
      <c r="M867" s="4" t="s">
        <v>71</v>
      </c>
      <c r="N867" s="3">
        <v>3</v>
      </c>
      <c r="O867" s="4" t="str" cm="1">
        <f t="array" ref="O867">_xlfn.IFS(P867&lt;=2,"Poor",P867=3,"Average",P867&gt;=4,"Good")</f>
        <v>Average</v>
      </c>
      <c r="P867" s="3">
        <v>3</v>
      </c>
      <c r="Q867" s="2">
        <v>2</v>
      </c>
      <c r="R867" s="4" t="s">
        <v>72</v>
      </c>
      <c r="S867" s="4" t="s">
        <v>84</v>
      </c>
      <c r="T867" s="3">
        <v>0</v>
      </c>
      <c r="U867" s="4" t="str" cm="1">
        <f t="array" ref="U867">_xlfn.IFS(V867&lt;=4, "Dissatisfied",V867&lt;=7,"Neutral",V867&gt;=8,"Satisfied")</f>
        <v>Neutral</v>
      </c>
      <c r="V867" s="3">
        <v>7</v>
      </c>
      <c r="W867" s="4" t="s">
        <v>59</v>
      </c>
      <c r="X867" s="4" t="s">
        <v>74</v>
      </c>
      <c r="Y867" s="4" t="s">
        <v>75</v>
      </c>
      <c r="Z867" s="1">
        <v>45601</v>
      </c>
      <c r="AA867" s="4" t="str" cm="1">
        <f t="array" ref="AA867">_xlfn.IFS(OR(AB867="December", AB867="February", AB867="January"), "Winter", OR(AB867="March", AB867="April", AB867="May"), "Spring", OR(AB867="June", AB867="July", AB867="August"), "Summer", TRUE, "Autumn")</f>
        <v>Autumn</v>
      </c>
      <c r="AB867" s="7" t="str">
        <f>TEXT(Z867, "mmmm")</f>
        <v>November</v>
      </c>
      <c r="AC867" s="1" t="str">
        <f>TEXT(Z867, "dddd")</f>
        <v>Tuesday</v>
      </c>
      <c r="AD867" s="4" t="s">
        <v>76</v>
      </c>
      <c r="AE867" s="4" t="s">
        <v>76</v>
      </c>
      <c r="AF867" s="4" t="s">
        <v>87</v>
      </c>
      <c r="AG867" s="4" t="s">
        <v>64</v>
      </c>
      <c r="AH867" s="3">
        <v>6</v>
      </c>
    </row>
    <row r="868" spans="1:34">
      <c r="A868" s="4" t="s">
        <v>1820</v>
      </c>
      <c r="B868" s="3">
        <v>24</v>
      </c>
      <c r="C868" s="9" t="str" cm="1">
        <f t="array" ref="C868">_xlfn.IFS(B868&gt;65,"+65",B868&gt;54,"55-65",B868&gt;44,"45-54",B868&gt;35,"36-44",B868&gt;25,"26-35",B868&gt;=18,"18-25")</f>
        <v>18-25</v>
      </c>
      <c r="D868" s="4" t="s">
        <v>78</v>
      </c>
      <c r="E868" s="4" t="s">
        <v>51</v>
      </c>
      <c r="F868" s="4" t="s">
        <v>67</v>
      </c>
      <c r="G868" s="4" t="s">
        <v>68</v>
      </c>
      <c r="H868" s="4" t="s">
        <v>1821</v>
      </c>
      <c r="I868" s="4" t="s">
        <v>97</v>
      </c>
      <c r="J868" s="5">
        <v>365.88</v>
      </c>
      <c r="K868" s="3">
        <v>12</v>
      </c>
      <c r="L868" s="4" t="str">
        <f>IF(AND(J868&gt;350,K868&gt;6), "True","False")</f>
        <v>True</v>
      </c>
      <c r="M868" s="4" t="s">
        <v>56</v>
      </c>
      <c r="N868" s="3">
        <v>3</v>
      </c>
      <c r="O868" s="4" t="str" cm="1">
        <f t="array" ref="O868">_xlfn.IFS(P868&lt;=2,"Poor",P868=3,"Average",P868&gt;=4,"Good")</f>
        <v>Average</v>
      </c>
      <c r="P868" s="3">
        <v>3</v>
      </c>
      <c r="Q868" s="2">
        <v>2</v>
      </c>
      <c r="R868" s="4" t="s">
        <v>85</v>
      </c>
      <c r="S868" s="4" t="s">
        <v>73</v>
      </c>
      <c r="T868" s="3">
        <v>0</v>
      </c>
      <c r="U868" s="4" t="str" cm="1">
        <f t="array" ref="U868">_xlfn.IFS(V868&lt;=4, "Dissatisfied",V868&lt;=7,"Neutral",V868&gt;=8,"Satisfied")</f>
        <v>Satisfied</v>
      </c>
      <c r="V868" s="3">
        <v>9</v>
      </c>
      <c r="W868" s="4" t="s">
        <v>72</v>
      </c>
      <c r="X868" s="4" t="s">
        <v>60</v>
      </c>
      <c r="Y868" s="4" t="s">
        <v>111</v>
      </c>
      <c r="Z868" s="1">
        <v>45601</v>
      </c>
      <c r="AA868" s="4" t="str" cm="1">
        <f t="array" ref="AA868">_xlfn.IFS(OR(AB868="December", AB868="February", AB868="January"), "Winter", OR(AB868="March", AB868="April", AB868="May"), "Spring", OR(AB868="June", AB868="July", AB868="August"), "Summer", TRUE, "Autumn")</f>
        <v>Autumn</v>
      </c>
      <c r="AB868" s="7" t="str">
        <f>TEXT(Z868, "mmmm")</f>
        <v>November</v>
      </c>
      <c r="AC868" s="1" t="str">
        <f>TEXT(Z868, "dddd")</f>
        <v>Tuesday</v>
      </c>
      <c r="AD868" s="4" t="s">
        <v>62</v>
      </c>
      <c r="AE868" s="4" t="s">
        <v>76</v>
      </c>
      <c r="AF868" s="4" t="s">
        <v>63</v>
      </c>
      <c r="AG868" s="4" t="s">
        <v>93</v>
      </c>
      <c r="AH868" s="3">
        <v>7</v>
      </c>
    </row>
    <row r="869" spans="1:34">
      <c r="A869" s="4" t="s">
        <v>1822</v>
      </c>
      <c r="B869" s="3">
        <v>36</v>
      </c>
      <c r="C869" s="9" t="str" cm="1">
        <f t="array" ref="C869">_xlfn.IFS(B869&gt;65,"+65",B869&gt;54,"55-65",B869&gt;44,"45-54",B869&gt;35,"36-44",B869&gt;25,"26-35",B869&gt;=18,"18-25")</f>
        <v>36-44</v>
      </c>
      <c r="D869" s="4" t="s">
        <v>66</v>
      </c>
      <c r="E869" s="4" t="s">
        <v>72</v>
      </c>
      <c r="F869" s="4" t="s">
        <v>95</v>
      </c>
      <c r="G869" s="4" t="s">
        <v>80</v>
      </c>
      <c r="H869" s="4" t="s">
        <v>1823</v>
      </c>
      <c r="I869" s="4" t="s">
        <v>122</v>
      </c>
      <c r="J869" s="5">
        <v>111.7</v>
      </c>
      <c r="K869" s="3">
        <v>6</v>
      </c>
      <c r="L869" s="4" t="str">
        <f>IF(AND(J869&gt;350,K869&gt;6), "True","False")</f>
        <v>False</v>
      </c>
      <c r="M869" s="4" t="s">
        <v>56</v>
      </c>
      <c r="N869" s="3">
        <v>4</v>
      </c>
      <c r="O869" s="4" t="str" cm="1">
        <f t="array" ref="O869">_xlfn.IFS(P869&lt;=2,"Poor",P869=3,"Average",P869&gt;=4,"Good")</f>
        <v>Good</v>
      </c>
      <c r="P869" s="3">
        <v>5</v>
      </c>
      <c r="Q869" s="2">
        <v>0</v>
      </c>
      <c r="R869" s="4" t="s">
        <v>85</v>
      </c>
      <c r="S869" s="4" t="s">
        <v>84</v>
      </c>
      <c r="T869" s="3">
        <v>2</v>
      </c>
      <c r="U869" s="4" t="str" cm="1">
        <f t="array" ref="U869">_xlfn.IFS(V869&lt;=4, "Dissatisfied",V869&lt;=7,"Neutral",V869&gt;=8,"Satisfied")</f>
        <v>Neutral</v>
      </c>
      <c r="V869" s="3">
        <v>5</v>
      </c>
      <c r="W869" s="4" t="s">
        <v>72</v>
      </c>
      <c r="X869" s="4" t="s">
        <v>74</v>
      </c>
      <c r="Y869" s="4" t="s">
        <v>119</v>
      </c>
      <c r="Z869" s="1">
        <v>45603</v>
      </c>
      <c r="AA869" s="4" t="str" cm="1">
        <f t="array" ref="AA869">_xlfn.IFS(OR(AB869="December", AB869="February", AB869="January"), "Winter", OR(AB869="March", AB869="April", AB869="May"), "Spring", OR(AB869="June", AB869="July", AB869="August"), "Summer", TRUE, "Autumn")</f>
        <v>Autumn</v>
      </c>
      <c r="AB869" s="7" t="str">
        <f>TEXT(Z869, "mmmm")</f>
        <v>November</v>
      </c>
      <c r="AC869" s="1" t="str">
        <f>TEXT(Z869, "dddd")</f>
        <v>Thursday</v>
      </c>
      <c r="AD869" s="4" t="s">
        <v>76</v>
      </c>
      <c r="AE869" s="4" t="s">
        <v>76</v>
      </c>
      <c r="AF869" s="4" t="s">
        <v>87</v>
      </c>
      <c r="AG869" s="4" t="s">
        <v>64</v>
      </c>
      <c r="AH869" s="3">
        <v>7</v>
      </c>
    </row>
    <row r="870" spans="1:34">
      <c r="A870" s="4" t="s">
        <v>1824</v>
      </c>
      <c r="B870" s="3">
        <v>25</v>
      </c>
      <c r="C870" s="9" t="str" cm="1">
        <f t="array" ref="C870">_xlfn.IFS(B870&gt;65,"+65",B870&gt;54,"55-65",B870&gt;44,"45-54",B870&gt;35,"36-44",B870&gt;25,"26-35",B870&gt;=18,"18-25")</f>
        <v>18-25</v>
      </c>
      <c r="D870" s="4" t="s">
        <v>66</v>
      </c>
      <c r="E870" s="4" t="s">
        <v>51</v>
      </c>
      <c r="F870" s="4" t="s">
        <v>52</v>
      </c>
      <c r="G870" s="4" t="s">
        <v>68</v>
      </c>
      <c r="H870" s="4" t="s">
        <v>1825</v>
      </c>
      <c r="I870" s="4" t="s">
        <v>70</v>
      </c>
      <c r="J870" s="5">
        <v>190.76</v>
      </c>
      <c r="K870" s="3">
        <v>10</v>
      </c>
      <c r="L870" s="4" t="str">
        <f>IF(AND(J870&gt;350,K870&gt;6), "True","False")</f>
        <v>False</v>
      </c>
      <c r="M870" s="4" t="s">
        <v>71</v>
      </c>
      <c r="N870" s="3">
        <v>5</v>
      </c>
      <c r="O870" s="4" t="str" cm="1">
        <f t="array" ref="O870">_xlfn.IFS(P870&lt;=2,"Poor",P870=3,"Average",P870&gt;=4,"Good")</f>
        <v>Good</v>
      </c>
      <c r="P870" s="3">
        <v>5</v>
      </c>
      <c r="Q870" s="2">
        <v>2</v>
      </c>
      <c r="R870" s="4" t="s">
        <v>57</v>
      </c>
      <c r="S870" s="4" t="s">
        <v>58</v>
      </c>
      <c r="T870" s="3">
        <v>1</v>
      </c>
      <c r="U870" s="4" t="str" cm="1">
        <f t="array" ref="U870">_xlfn.IFS(V870&lt;=4, "Dissatisfied",V870&lt;=7,"Neutral",V870&gt;=8,"Satisfied")</f>
        <v>Dissatisfied</v>
      </c>
      <c r="V870" s="3">
        <v>3</v>
      </c>
      <c r="W870" s="4" t="s">
        <v>72</v>
      </c>
      <c r="X870" s="4" t="s">
        <v>101</v>
      </c>
      <c r="Y870" s="4" t="s">
        <v>111</v>
      </c>
      <c r="Z870" s="1">
        <v>45603</v>
      </c>
      <c r="AA870" s="4" t="str" cm="1">
        <f t="array" ref="AA870">_xlfn.IFS(OR(AB870="December", AB870="February", AB870="January"), "Winter", OR(AB870="March", AB870="April", AB870="May"), "Spring", OR(AB870="June", AB870="July", AB870="August"), "Summer", TRUE, "Autumn")</f>
        <v>Autumn</v>
      </c>
      <c r="AB870" s="7" t="str">
        <f>TEXT(Z870, "mmmm")</f>
        <v>November</v>
      </c>
      <c r="AC870" s="1" t="str">
        <f>TEXT(Z870, "dddd")</f>
        <v>Thursday</v>
      </c>
      <c r="AD870" s="4" t="s">
        <v>76</v>
      </c>
      <c r="AE870" s="4" t="s">
        <v>76</v>
      </c>
      <c r="AF870" s="4" t="s">
        <v>87</v>
      </c>
      <c r="AG870" s="4" t="s">
        <v>93</v>
      </c>
      <c r="AH870" s="3">
        <v>11</v>
      </c>
    </row>
    <row r="871" spans="1:34">
      <c r="A871" s="4" t="s">
        <v>1826</v>
      </c>
      <c r="B871" s="3">
        <v>23</v>
      </c>
      <c r="C871" s="9" t="str" cm="1">
        <f t="array" ref="C871">_xlfn.IFS(B871&gt;65,"+65",B871&gt;54,"55-65",B871&gt;44,"45-54",B871&gt;35,"36-44",B871&gt;25,"26-35",B871&gt;=18,"18-25")</f>
        <v>18-25</v>
      </c>
      <c r="D871" s="4" t="s">
        <v>78</v>
      </c>
      <c r="E871" s="4" t="s">
        <v>72</v>
      </c>
      <c r="F871" s="4" t="s">
        <v>95</v>
      </c>
      <c r="G871" s="4" t="s">
        <v>53</v>
      </c>
      <c r="H871" s="4" t="s">
        <v>1827</v>
      </c>
      <c r="I871" s="4" t="s">
        <v>100</v>
      </c>
      <c r="J871" s="5">
        <v>446.86</v>
      </c>
      <c r="K871" s="3">
        <v>9</v>
      </c>
      <c r="L871" s="4" t="str">
        <f>IF(AND(J871&gt;350,K871&gt;6), "True","False")</f>
        <v>True</v>
      </c>
      <c r="M871" s="4" t="s">
        <v>71</v>
      </c>
      <c r="N871" s="3">
        <v>2</v>
      </c>
      <c r="O871" s="4" t="str" cm="1">
        <f t="array" ref="O871">_xlfn.IFS(P871&lt;=2,"Poor",P871=3,"Average",P871&gt;=4,"Good")</f>
        <v>Poor</v>
      </c>
      <c r="P871" s="3">
        <v>1</v>
      </c>
      <c r="Q871" s="2">
        <v>2</v>
      </c>
      <c r="R871" s="4" t="s">
        <v>57</v>
      </c>
      <c r="S871" s="4" t="s">
        <v>73</v>
      </c>
      <c r="T871" s="3">
        <v>0</v>
      </c>
      <c r="U871" s="4" t="str" cm="1">
        <f t="array" ref="U871">_xlfn.IFS(V871&lt;=4, "Dissatisfied",V871&lt;=7,"Neutral",V871&gt;=8,"Satisfied")</f>
        <v>Dissatisfied</v>
      </c>
      <c r="V871" s="3">
        <v>2</v>
      </c>
      <c r="W871" s="4" t="s">
        <v>85</v>
      </c>
      <c r="X871" s="4" t="s">
        <v>101</v>
      </c>
      <c r="Y871" s="4" t="s">
        <v>86</v>
      </c>
      <c r="Z871" s="1">
        <v>45603</v>
      </c>
      <c r="AA871" s="4" t="str" cm="1">
        <f t="array" ref="AA871">_xlfn.IFS(OR(AB871="December", AB871="February", AB871="January"), "Winter", OR(AB871="March", AB871="April", AB871="May"), "Spring", OR(AB871="June", AB871="July", AB871="August"), "Summer", TRUE, "Autumn")</f>
        <v>Autumn</v>
      </c>
      <c r="AB871" s="7" t="str">
        <f>TEXT(Z871, "mmmm")</f>
        <v>November</v>
      </c>
      <c r="AC871" s="1" t="str">
        <f>TEXT(Z871, "dddd")</f>
        <v>Thursday</v>
      </c>
      <c r="AD871" s="4" t="s">
        <v>76</v>
      </c>
      <c r="AE871" s="4" t="s">
        <v>76</v>
      </c>
      <c r="AF871" s="4" t="s">
        <v>102</v>
      </c>
      <c r="AG871" s="4" t="s">
        <v>88</v>
      </c>
      <c r="AH871" s="3">
        <v>5</v>
      </c>
    </row>
    <row r="872" spans="1:34">
      <c r="A872" s="4" t="s">
        <v>1828</v>
      </c>
      <c r="B872" s="3">
        <v>22</v>
      </c>
      <c r="C872" s="9" t="str" cm="1">
        <f t="array" ref="C872">_xlfn.IFS(B872&gt;65,"+65",B872&gt;54,"55-65",B872&gt;44,"45-54",B872&gt;35,"36-44",B872&gt;25,"26-35",B872&gt;=18,"18-25")</f>
        <v>18-25</v>
      </c>
      <c r="D872" s="4" t="s">
        <v>225</v>
      </c>
      <c r="E872" s="4" t="s">
        <v>72</v>
      </c>
      <c r="F872" s="4" t="s">
        <v>52</v>
      </c>
      <c r="G872" s="4" t="s">
        <v>80</v>
      </c>
      <c r="H872" s="4" t="s">
        <v>1829</v>
      </c>
      <c r="I872" s="4" t="s">
        <v>100</v>
      </c>
      <c r="J872" s="5">
        <v>156.4</v>
      </c>
      <c r="K872" s="3">
        <v>7</v>
      </c>
      <c r="L872" s="4" t="str">
        <f>IF(AND(J872&gt;350,K872&gt;6), "True","False")</f>
        <v>False</v>
      </c>
      <c r="M872" s="4" t="s">
        <v>71</v>
      </c>
      <c r="N872" s="3">
        <v>4</v>
      </c>
      <c r="O872" s="4" t="str" cm="1">
        <f t="array" ref="O872">_xlfn.IFS(P872&lt;=2,"Poor",P872=3,"Average",P872&gt;=4,"Good")</f>
        <v>Good</v>
      </c>
      <c r="P872" s="3">
        <v>5</v>
      </c>
      <c r="Q872" s="2">
        <v>2</v>
      </c>
      <c r="R872" s="4" t="s">
        <v>59</v>
      </c>
      <c r="S872" s="4" t="s">
        <v>84</v>
      </c>
      <c r="T872" s="3">
        <v>1</v>
      </c>
      <c r="U872" s="4" t="str" cm="1">
        <f t="array" ref="U872">_xlfn.IFS(V872&lt;=4, "Dissatisfied",V872&lt;=7,"Neutral",V872&gt;=8,"Satisfied")</f>
        <v>Neutral</v>
      </c>
      <c r="V872" s="3">
        <v>7</v>
      </c>
      <c r="W872" s="4" t="s">
        <v>59</v>
      </c>
      <c r="X872" s="4" t="s">
        <v>101</v>
      </c>
      <c r="Y872" s="4" t="s">
        <v>119</v>
      </c>
      <c r="Z872" s="1">
        <v>45603</v>
      </c>
      <c r="AA872" s="4" t="str" cm="1">
        <f t="array" ref="AA872">_xlfn.IFS(OR(AB872="December", AB872="February", AB872="January"), "Winter", OR(AB872="March", AB872="April", AB872="May"), "Spring", OR(AB872="June", AB872="July", AB872="August"), "Summer", TRUE, "Autumn")</f>
        <v>Autumn</v>
      </c>
      <c r="AB872" s="7" t="str">
        <f>TEXT(Z872, "mmmm")</f>
        <v>November</v>
      </c>
      <c r="AC872" s="1" t="str">
        <f>TEXT(Z872, "dddd")</f>
        <v>Thursday</v>
      </c>
      <c r="AD872" s="4" t="s">
        <v>76</v>
      </c>
      <c r="AE872" s="4" t="s">
        <v>62</v>
      </c>
      <c r="AF872" s="4" t="s">
        <v>63</v>
      </c>
      <c r="AG872" s="4" t="s">
        <v>64</v>
      </c>
      <c r="AH872" s="3">
        <v>4</v>
      </c>
    </row>
    <row r="873" spans="1:34">
      <c r="A873" s="4" t="s">
        <v>1830</v>
      </c>
      <c r="B873" s="3">
        <v>26</v>
      </c>
      <c r="C873" s="9" t="str" cm="1">
        <f t="array" ref="C873">_xlfn.IFS(B873&gt;65,"+65",B873&gt;54,"55-65",B873&gt;44,"45-54",B873&gt;35,"36-44",B873&gt;25,"26-35",B873&gt;=18,"18-25")</f>
        <v>26-35</v>
      </c>
      <c r="D873" s="4" t="s">
        <v>66</v>
      </c>
      <c r="E873" s="4" t="s">
        <v>51</v>
      </c>
      <c r="F873" s="4" t="s">
        <v>67</v>
      </c>
      <c r="G873" s="4" t="s">
        <v>53</v>
      </c>
      <c r="H873" s="4" t="s">
        <v>1831</v>
      </c>
      <c r="I873" s="4" t="s">
        <v>82</v>
      </c>
      <c r="J873" s="5">
        <v>258.02</v>
      </c>
      <c r="K873" s="3">
        <v>2</v>
      </c>
      <c r="L873" s="4" t="str">
        <f>IF(AND(J873&gt;350,K873&gt;6), "True","False")</f>
        <v>False</v>
      </c>
      <c r="M873" s="4" t="s">
        <v>71</v>
      </c>
      <c r="N873" s="3">
        <v>3</v>
      </c>
      <c r="O873" s="4" t="str" cm="1">
        <f t="array" ref="O873">_xlfn.IFS(P873&lt;=2,"Poor",P873=3,"Average",P873&gt;=4,"Good")</f>
        <v>Poor</v>
      </c>
      <c r="P873" s="3">
        <v>2</v>
      </c>
      <c r="Q873" s="2">
        <v>1</v>
      </c>
      <c r="R873" s="4" t="s">
        <v>59</v>
      </c>
      <c r="S873" s="4" t="s">
        <v>73</v>
      </c>
      <c r="T873" s="3">
        <v>2</v>
      </c>
      <c r="U873" s="4" t="str" cm="1">
        <f t="array" ref="U873">_xlfn.IFS(V873&lt;=4, "Dissatisfied",V873&lt;=7,"Neutral",V873&gt;=8,"Satisfied")</f>
        <v>Dissatisfied</v>
      </c>
      <c r="V873" s="3">
        <v>4</v>
      </c>
      <c r="W873" s="4" t="s">
        <v>72</v>
      </c>
      <c r="X873" s="4" t="s">
        <v>101</v>
      </c>
      <c r="Y873" s="4" t="s">
        <v>86</v>
      </c>
      <c r="Z873" s="1">
        <v>45604</v>
      </c>
      <c r="AA873" s="4" t="str" cm="1">
        <f t="array" ref="AA873">_xlfn.IFS(OR(AB873="December", AB873="February", AB873="January"), "Winter", OR(AB873="March", AB873="April", AB873="May"), "Spring", OR(AB873="June", AB873="July", AB873="August"), "Summer", TRUE, "Autumn")</f>
        <v>Autumn</v>
      </c>
      <c r="AB873" s="7" t="str">
        <f>TEXT(Z873, "mmmm")</f>
        <v>November</v>
      </c>
      <c r="AC873" s="1" t="str">
        <f>TEXT(Z873, "dddd")</f>
        <v>Friday</v>
      </c>
      <c r="AD873" s="4" t="s">
        <v>62</v>
      </c>
      <c r="AE873" s="4" t="s">
        <v>62</v>
      </c>
      <c r="AF873" s="4" t="s">
        <v>63</v>
      </c>
      <c r="AG873" s="4" t="s">
        <v>93</v>
      </c>
      <c r="AH873" s="3">
        <v>13</v>
      </c>
    </row>
    <row r="874" spans="1:34">
      <c r="A874" s="4" t="s">
        <v>1832</v>
      </c>
      <c r="B874" s="3">
        <v>25</v>
      </c>
      <c r="C874" s="9" t="str" cm="1">
        <f t="array" ref="C874">_xlfn.IFS(B874&gt;65,"+65",B874&gt;54,"55-65",B874&gt;44,"45-54",B874&gt;35,"36-44",B874&gt;25,"26-35",B874&gt;=18,"18-25")</f>
        <v>18-25</v>
      </c>
      <c r="D874" s="4" t="s">
        <v>78</v>
      </c>
      <c r="E874" s="4" t="s">
        <v>72</v>
      </c>
      <c r="F874" s="4" t="s">
        <v>67</v>
      </c>
      <c r="G874" s="4" t="s">
        <v>80</v>
      </c>
      <c r="H874" s="4" t="s">
        <v>1833</v>
      </c>
      <c r="I874" s="4" t="s">
        <v>223</v>
      </c>
      <c r="J874" s="5">
        <v>239.28</v>
      </c>
      <c r="K874" s="3">
        <v>8</v>
      </c>
      <c r="L874" s="4" t="str">
        <f>IF(AND(J874&gt;350,K874&gt;6), "True","False")</f>
        <v>False</v>
      </c>
      <c r="M874" s="4" t="s">
        <v>56</v>
      </c>
      <c r="N874" s="3">
        <v>1</v>
      </c>
      <c r="O874" s="4" t="str" cm="1">
        <f t="array" ref="O874">_xlfn.IFS(P874&lt;=2,"Poor",P874=3,"Average",P874&gt;=4,"Good")</f>
        <v>Good</v>
      </c>
      <c r="P874" s="3">
        <v>4</v>
      </c>
      <c r="Q874" s="2">
        <v>1</v>
      </c>
      <c r="R874" s="4" t="s">
        <v>85</v>
      </c>
      <c r="S874" s="4" t="s">
        <v>84</v>
      </c>
      <c r="T874" s="3">
        <v>2</v>
      </c>
      <c r="U874" s="4" t="str" cm="1">
        <f t="array" ref="U874">_xlfn.IFS(V874&lt;=4, "Dissatisfied",V874&lt;=7,"Neutral",V874&gt;=8,"Satisfied")</f>
        <v>Neutral</v>
      </c>
      <c r="V874" s="3">
        <v>5</v>
      </c>
      <c r="W874" s="4" t="s">
        <v>85</v>
      </c>
      <c r="X874" s="4" t="s">
        <v>74</v>
      </c>
      <c r="Y874" s="4" t="s">
        <v>111</v>
      </c>
      <c r="Z874" s="1">
        <v>45604</v>
      </c>
      <c r="AA874" s="4" t="str" cm="1">
        <f t="array" ref="AA874">_xlfn.IFS(OR(AB874="December", AB874="February", AB874="January"), "Winter", OR(AB874="March", AB874="April", AB874="May"), "Spring", OR(AB874="June", AB874="July", AB874="August"), "Summer", TRUE, "Autumn")</f>
        <v>Autumn</v>
      </c>
      <c r="AB874" s="7" t="str">
        <f>TEXT(Z874, "mmmm")</f>
        <v>November</v>
      </c>
      <c r="AC874" s="1" t="str">
        <f>TEXT(Z874, "dddd")</f>
        <v>Friday</v>
      </c>
      <c r="AD874" s="4" t="s">
        <v>76</v>
      </c>
      <c r="AE874" s="4" t="s">
        <v>62</v>
      </c>
      <c r="AF874" s="4" t="s">
        <v>92</v>
      </c>
      <c r="AG874" s="4" t="s">
        <v>88</v>
      </c>
      <c r="AH874" s="3">
        <v>10</v>
      </c>
    </row>
    <row r="875" spans="1:34">
      <c r="A875" s="4" t="s">
        <v>1834</v>
      </c>
      <c r="B875" s="3">
        <v>25</v>
      </c>
      <c r="C875" s="9" t="str" cm="1">
        <f t="array" ref="C875">_xlfn.IFS(B875&gt;65,"+65",B875&gt;54,"55-65",B875&gt;44,"45-54",B875&gt;35,"36-44",B875&gt;25,"26-35",B875&gt;=18,"18-25")</f>
        <v>18-25</v>
      </c>
      <c r="D875" s="4" t="s">
        <v>66</v>
      </c>
      <c r="E875" s="4" t="s">
        <v>72</v>
      </c>
      <c r="F875" s="4" t="s">
        <v>95</v>
      </c>
      <c r="G875" s="4" t="s">
        <v>53</v>
      </c>
      <c r="H875" s="4" t="s">
        <v>1835</v>
      </c>
      <c r="I875" s="4" t="s">
        <v>82</v>
      </c>
      <c r="J875" s="5">
        <v>320.94</v>
      </c>
      <c r="K875" s="3">
        <v>11</v>
      </c>
      <c r="L875" s="4" t="str">
        <f>IF(AND(J875&gt;350,K875&gt;6), "True","False")</f>
        <v>False</v>
      </c>
      <c r="M875" s="4" t="s">
        <v>56</v>
      </c>
      <c r="N875" s="3">
        <v>3</v>
      </c>
      <c r="O875" s="4" t="str" cm="1">
        <f t="array" ref="O875">_xlfn.IFS(P875&lt;=2,"Poor",P875=3,"Average",P875&gt;=4,"Good")</f>
        <v>Average</v>
      </c>
      <c r="P875" s="3">
        <v>3</v>
      </c>
      <c r="Q875" s="2">
        <v>2</v>
      </c>
      <c r="R875" s="4" t="s">
        <v>72</v>
      </c>
      <c r="S875" s="4" t="s">
        <v>58</v>
      </c>
      <c r="T875" s="3">
        <v>2</v>
      </c>
      <c r="U875" s="4" t="str" cm="1">
        <f t="array" ref="U875">_xlfn.IFS(V875&lt;=4, "Dissatisfied",V875&lt;=7,"Neutral",V875&gt;=8,"Satisfied")</f>
        <v>Satisfied</v>
      </c>
      <c r="V875" s="3">
        <v>10</v>
      </c>
      <c r="W875" s="4" t="s">
        <v>57</v>
      </c>
      <c r="X875" s="4" t="s">
        <v>60</v>
      </c>
      <c r="Y875" s="4" t="s">
        <v>61</v>
      </c>
      <c r="Z875" s="1">
        <v>45604</v>
      </c>
      <c r="AA875" s="4" t="str" cm="1">
        <f t="array" ref="AA875">_xlfn.IFS(OR(AB875="December", AB875="February", AB875="January"), "Winter", OR(AB875="March", AB875="April", AB875="May"), "Spring", OR(AB875="June", AB875="July", AB875="August"), "Summer", TRUE, "Autumn")</f>
        <v>Autumn</v>
      </c>
      <c r="AB875" s="7" t="str">
        <f>TEXT(Z875, "mmmm")</f>
        <v>November</v>
      </c>
      <c r="AC875" s="1" t="str">
        <f>TEXT(Z875, "dddd")</f>
        <v>Friday</v>
      </c>
      <c r="AD875" s="4" t="s">
        <v>76</v>
      </c>
      <c r="AE875" s="4" t="s">
        <v>76</v>
      </c>
      <c r="AF875" s="4" t="s">
        <v>92</v>
      </c>
      <c r="AG875" s="4" t="s">
        <v>88</v>
      </c>
      <c r="AH875" s="3">
        <v>10</v>
      </c>
    </row>
    <row r="876" spans="1:34">
      <c r="A876" s="4" t="s">
        <v>1836</v>
      </c>
      <c r="B876" s="3">
        <v>41</v>
      </c>
      <c r="C876" s="9" t="str" cm="1">
        <f t="array" ref="C876">_xlfn.IFS(B876&gt;65,"+65",B876&gt;54,"55-65",B876&gt;44,"45-54",B876&gt;35,"36-44",B876&gt;25,"26-35",B876&gt;=18,"18-25")</f>
        <v>36-44</v>
      </c>
      <c r="D876" s="4" t="s">
        <v>78</v>
      </c>
      <c r="E876" s="4" t="s">
        <v>51</v>
      </c>
      <c r="F876" s="4" t="s">
        <v>52</v>
      </c>
      <c r="G876" s="4" t="s">
        <v>80</v>
      </c>
      <c r="H876" s="4" t="s">
        <v>1837</v>
      </c>
      <c r="I876" s="4" t="s">
        <v>105</v>
      </c>
      <c r="J876" s="5">
        <v>205.49</v>
      </c>
      <c r="K876" s="3">
        <v>4</v>
      </c>
      <c r="L876" s="4" t="str">
        <f>IF(AND(J876&gt;350,K876&gt;6), "True","False")</f>
        <v>False</v>
      </c>
      <c r="M876" s="4" t="s">
        <v>71</v>
      </c>
      <c r="N876" s="3">
        <v>5</v>
      </c>
      <c r="O876" s="4" t="str" cm="1">
        <f t="array" ref="O876">_xlfn.IFS(P876&lt;=2,"Poor",P876=3,"Average",P876&gt;=4,"Good")</f>
        <v>Average</v>
      </c>
      <c r="P876" s="3">
        <v>3</v>
      </c>
      <c r="Q876" s="2">
        <v>2</v>
      </c>
      <c r="R876" s="4" t="s">
        <v>59</v>
      </c>
      <c r="S876" s="4" t="s">
        <v>84</v>
      </c>
      <c r="T876" s="3">
        <v>2</v>
      </c>
      <c r="U876" s="4" t="str" cm="1">
        <f t="array" ref="U876">_xlfn.IFS(V876&lt;=4, "Dissatisfied",V876&lt;=7,"Neutral",V876&gt;=8,"Satisfied")</f>
        <v>Dissatisfied</v>
      </c>
      <c r="V876" s="3">
        <v>2</v>
      </c>
      <c r="W876" s="4" t="s">
        <v>72</v>
      </c>
      <c r="X876" s="4" t="s">
        <v>74</v>
      </c>
      <c r="Y876" s="4" t="s">
        <v>61</v>
      </c>
      <c r="Z876" s="1">
        <v>45605</v>
      </c>
      <c r="AA876" s="4" t="str" cm="1">
        <f t="array" ref="AA876">_xlfn.IFS(OR(AB876="December", AB876="February", AB876="January"), "Winter", OR(AB876="March", AB876="April", AB876="May"), "Spring", OR(AB876="June", AB876="July", AB876="August"), "Summer", TRUE, "Autumn")</f>
        <v>Autumn</v>
      </c>
      <c r="AB876" s="7" t="str">
        <f>TEXT(Z876, "mmmm")</f>
        <v>November</v>
      </c>
      <c r="AC876" s="1" t="str">
        <f>TEXT(Z876, "dddd")</f>
        <v>Saturday</v>
      </c>
      <c r="AD876" s="4" t="s">
        <v>62</v>
      </c>
      <c r="AE876" s="4" t="s">
        <v>76</v>
      </c>
      <c r="AF876" s="4" t="s">
        <v>63</v>
      </c>
      <c r="AG876" s="4" t="s">
        <v>93</v>
      </c>
      <c r="AH876" s="3">
        <v>11</v>
      </c>
    </row>
    <row r="877" spans="1:34">
      <c r="A877" s="4" t="s">
        <v>1838</v>
      </c>
      <c r="B877" s="3">
        <v>27</v>
      </c>
      <c r="C877" s="9" t="str" cm="1">
        <f t="array" ref="C877">_xlfn.IFS(B877&gt;65,"+65",B877&gt;54,"55-65",B877&gt;44,"45-54",B877&gt;35,"36-44",B877&gt;25,"26-35",B877&gt;=18,"18-25")</f>
        <v>26-35</v>
      </c>
      <c r="D877" s="4" t="s">
        <v>78</v>
      </c>
      <c r="E877" s="4" t="s">
        <v>51</v>
      </c>
      <c r="F877" s="4" t="s">
        <v>67</v>
      </c>
      <c r="G877" s="4" t="s">
        <v>68</v>
      </c>
      <c r="H877" s="4" t="s">
        <v>1839</v>
      </c>
      <c r="I877" s="4" t="s">
        <v>110</v>
      </c>
      <c r="J877" s="5">
        <v>78</v>
      </c>
      <c r="K877" s="3">
        <v>5</v>
      </c>
      <c r="L877" s="4" t="str">
        <f>IF(AND(J877&gt;350,K877&gt;6), "True","False")</f>
        <v>False</v>
      </c>
      <c r="M877" s="4" t="s">
        <v>56</v>
      </c>
      <c r="N877" s="3">
        <v>1</v>
      </c>
      <c r="O877" s="4" t="str" cm="1">
        <f t="array" ref="O877">_xlfn.IFS(P877&lt;=2,"Poor",P877=3,"Average",P877&gt;=4,"Good")</f>
        <v>Good</v>
      </c>
      <c r="P877" s="3">
        <v>5</v>
      </c>
      <c r="Q877" s="2">
        <v>0</v>
      </c>
      <c r="R877" s="4" t="s">
        <v>57</v>
      </c>
      <c r="S877" s="4" t="s">
        <v>58</v>
      </c>
      <c r="T877" s="3">
        <v>1</v>
      </c>
      <c r="U877" s="4" t="str" cm="1">
        <f t="array" ref="U877">_xlfn.IFS(V877&lt;=4, "Dissatisfied",V877&lt;=7,"Neutral",V877&gt;=8,"Satisfied")</f>
        <v>Dissatisfied</v>
      </c>
      <c r="V877" s="3">
        <v>1</v>
      </c>
      <c r="W877" s="4" t="s">
        <v>59</v>
      </c>
      <c r="X877" s="4" t="s">
        <v>101</v>
      </c>
      <c r="Y877" s="4" t="s">
        <v>75</v>
      </c>
      <c r="Z877" s="1">
        <v>45605</v>
      </c>
      <c r="AA877" s="4" t="str" cm="1">
        <f t="array" ref="AA877">_xlfn.IFS(OR(AB877="December", AB877="February", AB877="January"), "Winter", OR(AB877="March", AB877="April", AB877="May"), "Spring", OR(AB877="June", AB877="July", AB877="August"), "Summer", TRUE, "Autumn")</f>
        <v>Autumn</v>
      </c>
      <c r="AB877" s="7" t="str">
        <f>TEXT(Z877, "mmmm")</f>
        <v>November</v>
      </c>
      <c r="AC877" s="1" t="str">
        <f>TEXT(Z877, "dddd")</f>
        <v>Saturday</v>
      </c>
      <c r="AD877" s="4" t="s">
        <v>62</v>
      </c>
      <c r="AE877" s="4" t="s">
        <v>76</v>
      </c>
      <c r="AF877" s="4" t="s">
        <v>102</v>
      </c>
      <c r="AG877" s="4" t="s">
        <v>88</v>
      </c>
      <c r="AH877" s="3">
        <v>11</v>
      </c>
    </row>
    <row r="878" spans="1:34">
      <c r="A878" s="4" t="s">
        <v>1840</v>
      </c>
      <c r="B878" s="3">
        <v>25</v>
      </c>
      <c r="C878" s="9" t="str" cm="1">
        <f t="array" ref="C878">_xlfn.IFS(B878&gt;65,"+65",B878&gt;54,"55-65",B878&gt;44,"45-54",B878&gt;35,"36-44",B878&gt;25,"26-35",B878&gt;=18,"18-25")</f>
        <v>18-25</v>
      </c>
      <c r="D878" s="4" t="s">
        <v>66</v>
      </c>
      <c r="E878" s="4" t="s">
        <v>72</v>
      </c>
      <c r="F878" s="4" t="s">
        <v>95</v>
      </c>
      <c r="G878" s="4" t="s">
        <v>68</v>
      </c>
      <c r="H878" s="4" t="s">
        <v>1841</v>
      </c>
      <c r="I878" s="4" t="s">
        <v>164</v>
      </c>
      <c r="J878" s="5">
        <v>214.82</v>
      </c>
      <c r="K878" s="3">
        <v>9</v>
      </c>
      <c r="L878" s="4" t="str">
        <f>IF(AND(J878&gt;350,K878&gt;6), "True","False")</f>
        <v>False</v>
      </c>
      <c r="M878" s="4" t="s">
        <v>83</v>
      </c>
      <c r="N878" s="3">
        <v>5</v>
      </c>
      <c r="O878" s="4" t="str" cm="1">
        <f t="array" ref="O878">_xlfn.IFS(P878&lt;=2,"Poor",P878=3,"Average",P878&gt;=4,"Good")</f>
        <v>Good</v>
      </c>
      <c r="P878" s="3">
        <v>4</v>
      </c>
      <c r="Q878" s="2">
        <v>0.3</v>
      </c>
      <c r="R878" s="4" t="s">
        <v>57</v>
      </c>
      <c r="S878" s="4" t="s">
        <v>73</v>
      </c>
      <c r="T878" s="3">
        <v>1</v>
      </c>
      <c r="U878" s="4" t="str" cm="1">
        <f t="array" ref="U878">_xlfn.IFS(V878&lt;=4, "Dissatisfied",V878&lt;=7,"Neutral",V878&gt;=8,"Satisfied")</f>
        <v>Satisfied</v>
      </c>
      <c r="V878" s="3">
        <v>9</v>
      </c>
      <c r="W878" s="4" t="s">
        <v>85</v>
      </c>
      <c r="X878" s="4" t="s">
        <v>74</v>
      </c>
      <c r="Y878" s="4" t="s">
        <v>111</v>
      </c>
      <c r="Z878" s="1">
        <v>45605</v>
      </c>
      <c r="AA878" s="4" t="str" cm="1">
        <f t="array" ref="AA878">_xlfn.IFS(OR(AB878="December", AB878="February", AB878="January"), "Winter", OR(AB878="March", AB878="April", AB878="May"), "Spring", OR(AB878="June", AB878="July", AB878="August"), "Summer", TRUE, "Autumn")</f>
        <v>Autumn</v>
      </c>
      <c r="AB878" s="7" t="str">
        <f>TEXT(Z878, "mmmm")</f>
        <v>November</v>
      </c>
      <c r="AC878" s="1" t="str">
        <f>TEXT(Z878, "dddd")</f>
        <v>Saturday</v>
      </c>
      <c r="AD878" s="4" t="s">
        <v>62</v>
      </c>
      <c r="AE878" s="4" t="s">
        <v>76</v>
      </c>
      <c r="AF878" s="4" t="s">
        <v>87</v>
      </c>
      <c r="AG878" s="4" t="s">
        <v>88</v>
      </c>
      <c r="AH878" s="3">
        <v>11</v>
      </c>
    </row>
    <row r="879" spans="1:34">
      <c r="A879" s="4" t="s">
        <v>1842</v>
      </c>
      <c r="B879" s="3">
        <v>44</v>
      </c>
      <c r="C879" s="9" t="str" cm="1">
        <f t="array" ref="C879">_xlfn.IFS(B879&gt;65,"+65",B879&gt;54,"55-65",B879&gt;44,"45-54",B879&gt;35,"36-44",B879&gt;25,"26-35",B879&gt;=18,"18-25")</f>
        <v>36-44</v>
      </c>
      <c r="D879" s="4" t="s">
        <v>78</v>
      </c>
      <c r="E879" s="4" t="s">
        <v>72</v>
      </c>
      <c r="F879" s="4" t="s">
        <v>79</v>
      </c>
      <c r="G879" s="4" t="s">
        <v>53</v>
      </c>
      <c r="H879" s="4" t="s">
        <v>1843</v>
      </c>
      <c r="I879" s="4" t="s">
        <v>97</v>
      </c>
      <c r="J879" s="5">
        <v>360.92</v>
      </c>
      <c r="K879" s="3">
        <v>7</v>
      </c>
      <c r="L879" s="4" t="str">
        <f>IF(AND(J879&gt;350,K879&gt;6), "True","False")</f>
        <v>True</v>
      </c>
      <c r="M879" s="4" t="s">
        <v>56</v>
      </c>
      <c r="N879" s="3">
        <v>2</v>
      </c>
      <c r="O879" s="4" t="str" cm="1">
        <f t="array" ref="O879">_xlfn.IFS(P879&lt;=2,"Poor",P879=3,"Average",P879&gt;=4,"Good")</f>
        <v>Poor</v>
      </c>
      <c r="P879" s="3">
        <v>1</v>
      </c>
      <c r="Q879" s="2">
        <v>2</v>
      </c>
      <c r="R879" s="4" t="s">
        <v>57</v>
      </c>
      <c r="S879" s="4" t="s">
        <v>73</v>
      </c>
      <c r="T879" s="3">
        <v>0</v>
      </c>
      <c r="U879" s="4" t="str" cm="1">
        <f t="array" ref="U879">_xlfn.IFS(V879&lt;=4, "Dissatisfied",V879&lt;=7,"Neutral",V879&gt;=8,"Satisfied")</f>
        <v>Satisfied</v>
      </c>
      <c r="V879" s="3">
        <v>9</v>
      </c>
      <c r="W879" s="4" t="s">
        <v>59</v>
      </c>
      <c r="X879" s="4" t="s">
        <v>60</v>
      </c>
      <c r="Y879" s="4" t="s">
        <v>86</v>
      </c>
      <c r="Z879" s="1">
        <v>45606</v>
      </c>
      <c r="AA879" s="4" t="str" cm="1">
        <f t="array" ref="AA879">_xlfn.IFS(OR(AB879="December", AB879="February", AB879="January"), "Winter", OR(AB879="March", AB879="April", AB879="May"), "Spring", OR(AB879="June", AB879="July", AB879="August"), "Summer", TRUE, "Autumn")</f>
        <v>Autumn</v>
      </c>
      <c r="AB879" s="7" t="str">
        <f>TEXT(Z879, "mmmm")</f>
        <v>November</v>
      </c>
      <c r="AC879" s="1" t="str">
        <f>TEXT(Z879, "dddd")</f>
        <v>Sunday</v>
      </c>
      <c r="AD879" s="4" t="s">
        <v>76</v>
      </c>
      <c r="AE879" s="4" t="s">
        <v>62</v>
      </c>
      <c r="AF879" s="4" t="s">
        <v>92</v>
      </c>
      <c r="AG879" s="4" t="s">
        <v>64</v>
      </c>
      <c r="AH879" s="3">
        <v>8</v>
      </c>
    </row>
    <row r="880" spans="1:34">
      <c r="A880" s="4" t="s">
        <v>1844</v>
      </c>
      <c r="B880" s="3">
        <v>34</v>
      </c>
      <c r="C880" s="9" t="str" cm="1">
        <f t="array" ref="C880">_xlfn.IFS(B880&gt;65,"+65",B880&gt;54,"55-65",B880&gt;44,"45-54",B880&gt;35,"36-44",B880&gt;25,"26-35",B880&gt;=18,"18-25")</f>
        <v>26-35</v>
      </c>
      <c r="D880" s="4" t="s">
        <v>78</v>
      </c>
      <c r="E880" s="4" t="s">
        <v>51</v>
      </c>
      <c r="F880" s="4" t="s">
        <v>79</v>
      </c>
      <c r="G880" s="4" t="s">
        <v>53</v>
      </c>
      <c r="H880" s="4" t="s">
        <v>1845</v>
      </c>
      <c r="I880" s="4" t="s">
        <v>110</v>
      </c>
      <c r="J880" s="5">
        <v>315.02999999999997</v>
      </c>
      <c r="K880" s="3">
        <v>4</v>
      </c>
      <c r="L880" s="4" t="str">
        <f>IF(AND(J880&gt;350,K880&gt;6), "True","False")</f>
        <v>False</v>
      </c>
      <c r="M880" s="4" t="s">
        <v>56</v>
      </c>
      <c r="N880" s="3">
        <v>1</v>
      </c>
      <c r="O880" s="4" t="str" cm="1">
        <f t="array" ref="O880">_xlfn.IFS(P880&lt;=2,"Poor",P880=3,"Average",P880&gt;=4,"Good")</f>
        <v>Good</v>
      </c>
      <c r="P880" s="3">
        <v>5</v>
      </c>
      <c r="Q880" s="2">
        <v>0</v>
      </c>
      <c r="R880" s="4" t="s">
        <v>72</v>
      </c>
      <c r="S880" s="4" t="s">
        <v>73</v>
      </c>
      <c r="T880" s="3">
        <v>1</v>
      </c>
      <c r="U880" s="4" t="str" cm="1">
        <f t="array" ref="U880">_xlfn.IFS(V880&lt;=4, "Dissatisfied",V880&lt;=7,"Neutral",V880&gt;=8,"Satisfied")</f>
        <v>Neutral</v>
      </c>
      <c r="V880" s="3">
        <v>6</v>
      </c>
      <c r="W880" s="4" t="s">
        <v>59</v>
      </c>
      <c r="X880" s="4" t="s">
        <v>74</v>
      </c>
      <c r="Y880" s="4" t="s">
        <v>86</v>
      </c>
      <c r="Z880" s="1">
        <v>45606</v>
      </c>
      <c r="AA880" s="4" t="str" cm="1">
        <f t="array" ref="AA880">_xlfn.IFS(OR(AB880="December", AB880="February", AB880="January"), "Winter", OR(AB880="March", AB880="April", AB880="May"), "Spring", OR(AB880="June", AB880="July", AB880="August"), "Summer", TRUE, "Autumn")</f>
        <v>Autumn</v>
      </c>
      <c r="AB880" s="7" t="str">
        <f>TEXT(Z880, "mmmm")</f>
        <v>November</v>
      </c>
      <c r="AC880" s="1" t="str">
        <f>TEXT(Z880, "dddd")</f>
        <v>Sunday</v>
      </c>
      <c r="AD880" s="4" t="s">
        <v>62</v>
      </c>
      <c r="AE880" s="4" t="s">
        <v>76</v>
      </c>
      <c r="AF880" s="4" t="s">
        <v>87</v>
      </c>
      <c r="AG880" s="4" t="s">
        <v>93</v>
      </c>
      <c r="AH880" s="3">
        <v>2</v>
      </c>
    </row>
    <row r="881" spans="1:34">
      <c r="A881" s="4" t="s">
        <v>1846</v>
      </c>
      <c r="B881" s="3">
        <v>32</v>
      </c>
      <c r="C881" s="9" t="str" cm="1">
        <f t="array" ref="C881">_xlfn.IFS(B881&gt;65,"+65",B881&gt;54,"55-65",B881&gt;44,"45-54",B881&gt;35,"36-44",B881&gt;25,"26-35",B881&gt;=18,"18-25")</f>
        <v>26-35</v>
      </c>
      <c r="D881" s="4" t="s">
        <v>66</v>
      </c>
      <c r="E881" s="4" t="s">
        <v>51</v>
      </c>
      <c r="F881" s="4" t="s">
        <v>52</v>
      </c>
      <c r="G881" s="4" t="s">
        <v>68</v>
      </c>
      <c r="H881" s="4" t="s">
        <v>1847</v>
      </c>
      <c r="I881" s="4" t="s">
        <v>146</v>
      </c>
      <c r="J881" s="5">
        <v>167.61</v>
      </c>
      <c r="K881" s="3">
        <v>2</v>
      </c>
      <c r="L881" s="4" t="str">
        <f>IF(AND(J881&gt;350,K881&gt;6), "True","False")</f>
        <v>False</v>
      </c>
      <c r="M881" s="4" t="s">
        <v>56</v>
      </c>
      <c r="N881" s="3">
        <v>3</v>
      </c>
      <c r="O881" s="4" t="str" cm="1">
        <f t="array" ref="O881">_xlfn.IFS(P881&lt;=2,"Poor",P881=3,"Average",P881&gt;=4,"Good")</f>
        <v>Good</v>
      </c>
      <c r="P881" s="3">
        <v>5</v>
      </c>
      <c r="Q881" s="2">
        <v>1</v>
      </c>
      <c r="R881" s="4" t="s">
        <v>57</v>
      </c>
      <c r="S881" s="4" t="s">
        <v>58</v>
      </c>
      <c r="T881" s="3">
        <v>2</v>
      </c>
      <c r="U881" s="4" t="str" cm="1">
        <f t="array" ref="U881">_xlfn.IFS(V881&lt;=4, "Dissatisfied",V881&lt;=7,"Neutral",V881&gt;=8,"Satisfied")</f>
        <v>Dissatisfied</v>
      </c>
      <c r="V881" s="3">
        <v>2</v>
      </c>
      <c r="W881" s="4" t="s">
        <v>59</v>
      </c>
      <c r="X881" s="4" t="s">
        <v>101</v>
      </c>
      <c r="Y881" s="4" t="s">
        <v>111</v>
      </c>
      <c r="Z881" s="1">
        <v>45606</v>
      </c>
      <c r="AA881" s="4" t="str" cm="1">
        <f t="array" ref="AA881">_xlfn.IFS(OR(AB881="December", AB881="February", AB881="January"), "Winter", OR(AB881="March", AB881="April", AB881="May"), "Spring", OR(AB881="June", AB881="July", AB881="August"), "Summer", TRUE, "Autumn")</f>
        <v>Autumn</v>
      </c>
      <c r="AB881" s="7" t="str">
        <f>TEXT(Z881, "mmmm")</f>
        <v>November</v>
      </c>
      <c r="AC881" s="1" t="str">
        <f>TEXT(Z881, "dddd")</f>
        <v>Sunday</v>
      </c>
      <c r="AD881" s="4" t="s">
        <v>62</v>
      </c>
      <c r="AE881" s="4" t="s">
        <v>76</v>
      </c>
      <c r="AF881" s="4" t="s">
        <v>63</v>
      </c>
      <c r="AG881" s="4" t="s">
        <v>88</v>
      </c>
      <c r="AH881" s="3">
        <v>13</v>
      </c>
    </row>
    <row r="882" spans="1:34">
      <c r="A882" s="4" t="s">
        <v>1848</v>
      </c>
      <c r="B882" s="3">
        <v>48</v>
      </c>
      <c r="C882" s="9" t="str" cm="1">
        <f t="array" ref="C882">_xlfn.IFS(B882&gt;65,"+65",B882&gt;54,"55-65",B882&gt;44,"45-54",B882&gt;35,"36-44",B882&gt;25,"26-35",B882&gt;=18,"18-25")</f>
        <v>45-54</v>
      </c>
      <c r="D882" s="4" t="s">
        <v>66</v>
      </c>
      <c r="E882" s="4" t="s">
        <v>51</v>
      </c>
      <c r="F882" s="4" t="s">
        <v>95</v>
      </c>
      <c r="G882" s="4" t="s">
        <v>68</v>
      </c>
      <c r="H882" s="4" t="s">
        <v>1849</v>
      </c>
      <c r="I882" s="4" t="s">
        <v>133</v>
      </c>
      <c r="J882" s="5">
        <v>276.25</v>
      </c>
      <c r="K882" s="3">
        <v>11</v>
      </c>
      <c r="L882" s="4" t="str">
        <f>IF(AND(J882&gt;350,K882&gt;6), "True","False")</f>
        <v>False</v>
      </c>
      <c r="M882" s="4" t="s">
        <v>71</v>
      </c>
      <c r="N882" s="3">
        <v>2</v>
      </c>
      <c r="O882" s="4" t="str" cm="1">
        <f t="array" ref="O882">_xlfn.IFS(P882&lt;=2,"Poor",P882=3,"Average",P882&gt;=4,"Good")</f>
        <v>Poor</v>
      </c>
      <c r="P882" s="3">
        <v>1</v>
      </c>
      <c r="Q882" s="2">
        <v>2</v>
      </c>
      <c r="R882" s="4" t="s">
        <v>72</v>
      </c>
      <c r="S882" s="4" t="s">
        <v>58</v>
      </c>
      <c r="T882" s="3">
        <v>2</v>
      </c>
      <c r="U882" s="4" t="str" cm="1">
        <f t="array" ref="U882">_xlfn.IFS(V882&lt;=4, "Dissatisfied",V882&lt;=7,"Neutral",V882&gt;=8,"Satisfied")</f>
        <v>Dissatisfied</v>
      </c>
      <c r="V882" s="3">
        <v>4</v>
      </c>
      <c r="W882" s="4" t="s">
        <v>57</v>
      </c>
      <c r="X882" s="4" t="s">
        <v>60</v>
      </c>
      <c r="Y882" s="4" t="s">
        <v>61</v>
      </c>
      <c r="Z882" s="1">
        <v>45607</v>
      </c>
      <c r="AA882" s="4" t="str" cm="1">
        <f t="array" ref="AA882">_xlfn.IFS(OR(AB882="December", AB882="February", AB882="January"), "Winter", OR(AB882="March", AB882="April", AB882="May"), "Spring", OR(AB882="June", AB882="July", AB882="August"), "Summer", TRUE, "Autumn")</f>
        <v>Autumn</v>
      </c>
      <c r="AB882" s="7" t="str">
        <f>TEXT(Z882, "mmmm")</f>
        <v>November</v>
      </c>
      <c r="AC882" s="1" t="str">
        <f>TEXT(Z882, "dddd")</f>
        <v>Monday</v>
      </c>
      <c r="AD882" s="4" t="s">
        <v>62</v>
      </c>
      <c r="AE882" s="4" t="s">
        <v>62</v>
      </c>
      <c r="AF882" s="4" t="s">
        <v>92</v>
      </c>
      <c r="AG882" s="4" t="s">
        <v>93</v>
      </c>
      <c r="AH882" s="3">
        <v>8</v>
      </c>
    </row>
    <row r="883" spans="1:34">
      <c r="A883" s="4" t="s">
        <v>1850</v>
      </c>
      <c r="B883" s="3">
        <v>38</v>
      </c>
      <c r="C883" s="9" t="str" cm="1">
        <f t="array" ref="C883">_xlfn.IFS(B883&gt;65,"+65",B883&gt;54,"55-65",B883&gt;44,"45-54",B883&gt;35,"36-44",B883&gt;25,"26-35",B883&gt;=18,"18-25")</f>
        <v>36-44</v>
      </c>
      <c r="D883" s="4" t="s">
        <v>66</v>
      </c>
      <c r="E883" s="4" t="s">
        <v>51</v>
      </c>
      <c r="F883" s="4" t="s">
        <v>52</v>
      </c>
      <c r="G883" s="4" t="s">
        <v>68</v>
      </c>
      <c r="H883" s="4" t="s">
        <v>1851</v>
      </c>
      <c r="I883" s="4" t="s">
        <v>275</v>
      </c>
      <c r="J883" s="5">
        <v>407.88</v>
      </c>
      <c r="K883" s="3">
        <v>4</v>
      </c>
      <c r="L883" s="4" t="str">
        <f>IF(AND(J883&gt;350,K883&gt;6), "True","False")</f>
        <v>False</v>
      </c>
      <c r="M883" s="4" t="s">
        <v>71</v>
      </c>
      <c r="N883" s="3">
        <v>1</v>
      </c>
      <c r="O883" s="4" t="str" cm="1">
        <f t="array" ref="O883">_xlfn.IFS(P883&lt;=2,"Poor",P883=3,"Average",P883&gt;=4,"Good")</f>
        <v>Average</v>
      </c>
      <c r="P883" s="3">
        <v>3</v>
      </c>
      <c r="Q883" s="2">
        <v>1</v>
      </c>
      <c r="R883" s="4" t="s">
        <v>57</v>
      </c>
      <c r="S883" s="4" t="s">
        <v>73</v>
      </c>
      <c r="T883" s="3">
        <v>1</v>
      </c>
      <c r="U883" s="4" t="str" cm="1">
        <f t="array" ref="U883">_xlfn.IFS(V883&lt;=4, "Dissatisfied",V883&lt;=7,"Neutral",V883&gt;=8,"Satisfied")</f>
        <v>Satisfied</v>
      </c>
      <c r="V883" s="3">
        <v>10</v>
      </c>
      <c r="W883" s="4" t="s">
        <v>85</v>
      </c>
      <c r="X883" s="4" t="s">
        <v>74</v>
      </c>
      <c r="Y883" s="4" t="s">
        <v>61</v>
      </c>
      <c r="Z883" s="1">
        <v>45607</v>
      </c>
      <c r="AA883" s="4" t="str" cm="1">
        <f t="array" ref="AA883">_xlfn.IFS(OR(AB883="December", AB883="February", AB883="January"), "Winter", OR(AB883="March", AB883="April", AB883="May"), "Spring", OR(AB883="June", AB883="July", AB883="August"), "Summer", TRUE, "Autumn")</f>
        <v>Autumn</v>
      </c>
      <c r="AB883" s="7" t="str">
        <f>TEXT(Z883, "mmmm")</f>
        <v>November</v>
      </c>
      <c r="AC883" s="1" t="str">
        <f>TEXT(Z883, "dddd")</f>
        <v>Monday</v>
      </c>
      <c r="AD883" s="4" t="s">
        <v>76</v>
      </c>
      <c r="AE883" s="4" t="s">
        <v>76</v>
      </c>
      <c r="AF883" s="4" t="s">
        <v>87</v>
      </c>
      <c r="AG883" s="4" t="s">
        <v>64</v>
      </c>
      <c r="AH883" s="3">
        <v>14</v>
      </c>
    </row>
    <row r="884" spans="1:34">
      <c r="A884" s="4" t="s">
        <v>1852</v>
      </c>
      <c r="B884" s="3">
        <v>24</v>
      </c>
      <c r="C884" s="9" t="str" cm="1">
        <f t="array" ref="C884">_xlfn.IFS(B884&gt;65,"+65",B884&gt;54,"55-65",B884&gt;44,"45-54",B884&gt;35,"36-44",B884&gt;25,"26-35",B884&gt;=18,"18-25")</f>
        <v>18-25</v>
      </c>
      <c r="D884" s="4" t="s">
        <v>78</v>
      </c>
      <c r="E884" s="4" t="s">
        <v>72</v>
      </c>
      <c r="F884" s="4" t="s">
        <v>67</v>
      </c>
      <c r="G884" s="4" t="s">
        <v>80</v>
      </c>
      <c r="H884" s="4" t="s">
        <v>1853</v>
      </c>
      <c r="I884" s="4" t="s">
        <v>118</v>
      </c>
      <c r="J884" s="5">
        <v>470.38</v>
      </c>
      <c r="K884" s="3">
        <v>8</v>
      </c>
      <c r="L884" s="4" t="str">
        <f>IF(AND(J884&gt;350,K884&gt;6), "True","False")</f>
        <v>True</v>
      </c>
      <c r="M884" s="4" t="s">
        <v>83</v>
      </c>
      <c r="N884" s="3">
        <v>2</v>
      </c>
      <c r="O884" s="4" t="str" cm="1">
        <f t="array" ref="O884">_xlfn.IFS(P884&lt;=2,"Poor",P884=3,"Average",P884&gt;=4,"Good")</f>
        <v>Good</v>
      </c>
      <c r="P884" s="3">
        <v>4</v>
      </c>
      <c r="Q884" s="2">
        <v>0</v>
      </c>
      <c r="R884" s="4" t="s">
        <v>85</v>
      </c>
      <c r="S884" s="4" t="s">
        <v>58</v>
      </c>
      <c r="T884" s="3">
        <v>2</v>
      </c>
      <c r="U884" s="4" t="str" cm="1">
        <f t="array" ref="U884">_xlfn.IFS(V884&lt;=4, "Dissatisfied",V884&lt;=7,"Neutral",V884&gt;=8,"Satisfied")</f>
        <v>Dissatisfied</v>
      </c>
      <c r="V884" s="3">
        <v>3</v>
      </c>
      <c r="W884" s="4" t="s">
        <v>72</v>
      </c>
      <c r="X884" s="4" t="s">
        <v>60</v>
      </c>
      <c r="Y884" s="4" t="s">
        <v>111</v>
      </c>
      <c r="Z884" s="1">
        <v>45607</v>
      </c>
      <c r="AA884" s="4" t="str" cm="1">
        <f t="array" ref="AA884">_xlfn.IFS(OR(AB884="December", AB884="February", AB884="January"), "Winter", OR(AB884="March", AB884="April", AB884="May"), "Spring", OR(AB884="June", AB884="July", AB884="August"), "Summer", TRUE, "Autumn")</f>
        <v>Autumn</v>
      </c>
      <c r="AB884" s="7" t="str">
        <f>TEXT(Z884, "mmmm")</f>
        <v>November</v>
      </c>
      <c r="AC884" s="1" t="str">
        <f>TEXT(Z884, "dddd")</f>
        <v>Monday</v>
      </c>
      <c r="AD884" s="4" t="s">
        <v>62</v>
      </c>
      <c r="AE884" s="4" t="s">
        <v>62</v>
      </c>
      <c r="AF884" s="4" t="s">
        <v>92</v>
      </c>
      <c r="AG884" s="4" t="s">
        <v>64</v>
      </c>
      <c r="AH884" s="3">
        <v>9</v>
      </c>
    </row>
    <row r="885" spans="1:34">
      <c r="A885" s="4" t="s">
        <v>1854</v>
      </c>
      <c r="B885" s="3">
        <v>49</v>
      </c>
      <c r="C885" s="9" t="str" cm="1">
        <f t="array" ref="C885">_xlfn.IFS(B885&gt;65,"+65",B885&gt;54,"55-65",B885&gt;44,"45-54",B885&gt;35,"36-44",B885&gt;25,"26-35",B885&gt;=18,"18-25")</f>
        <v>45-54</v>
      </c>
      <c r="D885" s="4" t="s">
        <v>66</v>
      </c>
      <c r="E885" s="4" t="s">
        <v>51</v>
      </c>
      <c r="F885" s="4" t="s">
        <v>95</v>
      </c>
      <c r="G885" s="4" t="s">
        <v>53</v>
      </c>
      <c r="H885" s="4" t="s">
        <v>1855</v>
      </c>
      <c r="I885" s="4" t="s">
        <v>70</v>
      </c>
      <c r="J885" s="5">
        <v>435.52</v>
      </c>
      <c r="K885" s="3">
        <v>9</v>
      </c>
      <c r="L885" s="4" t="str">
        <f>IF(AND(J885&gt;350,K885&gt;6), "True","False")</f>
        <v>True</v>
      </c>
      <c r="M885" s="4" t="s">
        <v>56</v>
      </c>
      <c r="N885" s="3">
        <v>5</v>
      </c>
      <c r="O885" s="4" t="str" cm="1">
        <f t="array" ref="O885">_xlfn.IFS(P885&lt;=2,"Poor",P885=3,"Average",P885&gt;=4,"Good")</f>
        <v>Average</v>
      </c>
      <c r="P885" s="3">
        <v>3</v>
      </c>
      <c r="Q885" s="2">
        <v>2</v>
      </c>
      <c r="R885" s="4" t="s">
        <v>72</v>
      </c>
      <c r="S885" s="4" t="s">
        <v>58</v>
      </c>
      <c r="T885" s="3">
        <v>1</v>
      </c>
      <c r="U885" s="4" t="str" cm="1">
        <f t="array" ref="U885">_xlfn.IFS(V885&lt;=4, "Dissatisfied",V885&lt;=7,"Neutral",V885&gt;=8,"Satisfied")</f>
        <v>Dissatisfied</v>
      </c>
      <c r="V885" s="3">
        <v>2</v>
      </c>
      <c r="W885" s="4" t="s">
        <v>85</v>
      </c>
      <c r="X885" s="4" t="s">
        <v>101</v>
      </c>
      <c r="Y885" s="4" t="s">
        <v>75</v>
      </c>
      <c r="Z885" s="1">
        <v>45608</v>
      </c>
      <c r="AA885" s="4" t="str" cm="1">
        <f t="array" ref="AA885">_xlfn.IFS(OR(AB885="December", AB885="February", AB885="January"), "Winter", OR(AB885="March", AB885="April", AB885="May"), "Spring", OR(AB885="June", AB885="July", AB885="August"), "Summer", TRUE, "Autumn")</f>
        <v>Autumn</v>
      </c>
      <c r="AB885" s="7" t="str">
        <f>TEXT(Z885, "mmmm")</f>
        <v>November</v>
      </c>
      <c r="AC885" s="1" t="str">
        <f>TEXT(Z885, "dddd")</f>
        <v>Tuesday</v>
      </c>
      <c r="AD885" s="4" t="s">
        <v>62</v>
      </c>
      <c r="AE885" s="4" t="s">
        <v>76</v>
      </c>
      <c r="AF885" s="4" t="s">
        <v>92</v>
      </c>
      <c r="AG885" s="4" t="s">
        <v>88</v>
      </c>
      <c r="AH885" s="3">
        <v>11</v>
      </c>
    </row>
    <row r="886" spans="1:34">
      <c r="A886" s="4" t="s">
        <v>1856</v>
      </c>
      <c r="B886" s="3">
        <v>43</v>
      </c>
      <c r="C886" s="9" t="str" cm="1">
        <f t="array" ref="C886">_xlfn.IFS(B886&gt;65,"+65",B886&gt;54,"55-65",B886&gt;44,"45-54",B886&gt;35,"36-44",B886&gt;25,"26-35",B886&gt;=18,"18-25")</f>
        <v>36-44</v>
      </c>
      <c r="D886" s="4" t="s">
        <v>66</v>
      </c>
      <c r="E886" s="4" t="s">
        <v>51</v>
      </c>
      <c r="F886" s="4" t="s">
        <v>79</v>
      </c>
      <c r="G886" s="4" t="s">
        <v>80</v>
      </c>
      <c r="H886" s="4" t="s">
        <v>1857</v>
      </c>
      <c r="I886" s="4" t="s">
        <v>97</v>
      </c>
      <c r="J886" s="5">
        <v>385.08</v>
      </c>
      <c r="K886" s="3">
        <v>7</v>
      </c>
      <c r="L886" s="4" t="str">
        <f>IF(AND(J886&gt;350,K886&gt;6), "True","False")</f>
        <v>True</v>
      </c>
      <c r="M886" s="4" t="s">
        <v>71</v>
      </c>
      <c r="N886" s="3">
        <v>2</v>
      </c>
      <c r="O886" s="4" t="str" cm="1">
        <f t="array" ref="O886">_xlfn.IFS(P886&lt;=2,"Poor",P886=3,"Average",P886&gt;=4,"Good")</f>
        <v>Good</v>
      </c>
      <c r="P886" s="3">
        <v>4</v>
      </c>
      <c r="Q886" s="2">
        <v>1</v>
      </c>
      <c r="R886" s="4" t="s">
        <v>72</v>
      </c>
      <c r="S886" s="4" t="s">
        <v>84</v>
      </c>
      <c r="T886" s="3">
        <v>1</v>
      </c>
      <c r="U886" s="4" t="str" cm="1">
        <f t="array" ref="U886">_xlfn.IFS(V886&lt;=4, "Dissatisfied",V886&lt;=7,"Neutral",V886&gt;=8,"Satisfied")</f>
        <v>Dissatisfied</v>
      </c>
      <c r="V886" s="3">
        <v>1</v>
      </c>
      <c r="W886" s="4" t="s">
        <v>59</v>
      </c>
      <c r="X886" s="4" t="s">
        <v>74</v>
      </c>
      <c r="Y886" s="4" t="s">
        <v>75</v>
      </c>
      <c r="Z886" s="1">
        <v>45608</v>
      </c>
      <c r="AA886" s="4" t="str" cm="1">
        <f t="array" ref="AA886">_xlfn.IFS(OR(AB886="December", AB886="February", AB886="January"), "Winter", OR(AB886="March", AB886="April", AB886="May"), "Spring", OR(AB886="June", AB886="July", AB886="August"), "Summer", TRUE, "Autumn")</f>
        <v>Autumn</v>
      </c>
      <c r="AB886" s="7" t="str">
        <f>TEXT(Z886, "mmmm")</f>
        <v>November</v>
      </c>
      <c r="AC886" s="1" t="str">
        <f>TEXT(Z886, "dddd")</f>
        <v>Tuesday</v>
      </c>
      <c r="AD886" s="4" t="s">
        <v>76</v>
      </c>
      <c r="AE886" s="4" t="s">
        <v>62</v>
      </c>
      <c r="AF886" s="4" t="s">
        <v>92</v>
      </c>
      <c r="AG886" s="4" t="s">
        <v>88</v>
      </c>
      <c r="AH886" s="3">
        <v>1</v>
      </c>
    </row>
    <row r="887" spans="1:34">
      <c r="A887" s="4" t="s">
        <v>1858</v>
      </c>
      <c r="B887" s="3">
        <v>35</v>
      </c>
      <c r="C887" s="9" t="str" cm="1">
        <f t="array" ref="C887">_xlfn.IFS(B887&gt;65,"+65",B887&gt;54,"55-65",B887&gt;44,"45-54",B887&gt;35,"36-44",B887&gt;25,"26-35",B887&gt;=18,"18-25")</f>
        <v>26-35</v>
      </c>
      <c r="D887" s="4" t="s">
        <v>66</v>
      </c>
      <c r="E887" s="4" t="s">
        <v>72</v>
      </c>
      <c r="F887" s="4" t="s">
        <v>95</v>
      </c>
      <c r="G887" s="4" t="s">
        <v>53</v>
      </c>
      <c r="H887" s="4" t="s">
        <v>1859</v>
      </c>
      <c r="I887" s="4" t="s">
        <v>223</v>
      </c>
      <c r="J887" s="5">
        <v>74.69</v>
      </c>
      <c r="K887" s="3">
        <v>10</v>
      </c>
      <c r="L887" s="4" t="str">
        <f>IF(AND(J887&gt;350,K887&gt;6), "True","False")</f>
        <v>False</v>
      </c>
      <c r="M887" s="4" t="s">
        <v>71</v>
      </c>
      <c r="N887" s="3">
        <v>5</v>
      </c>
      <c r="O887" s="4" t="str" cm="1">
        <f t="array" ref="O887">_xlfn.IFS(P887&lt;=2,"Poor",P887=3,"Average",P887&gt;=4,"Good")</f>
        <v>Average</v>
      </c>
      <c r="P887" s="3">
        <v>3</v>
      </c>
      <c r="Q887" s="2">
        <v>1</v>
      </c>
      <c r="R887" s="4" t="s">
        <v>59</v>
      </c>
      <c r="S887" s="4" t="s">
        <v>84</v>
      </c>
      <c r="T887" s="3">
        <v>0</v>
      </c>
      <c r="U887" s="4" t="str" cm="1">
        <f t="array" ref="U887">_xlfn.IFS(V887&lt;=4, "Dissatisfied",V887&lt;=7,"Neutral",V887&gt;=8,"Satisfied")</f>
        <v>Neutral</v>
      </c>
      <c r="V887" s="3">
        <v>6</v>
      </c>
      <c r="W887" s="4" t="s">
        <v>85</v>
      </c>
      <c r="X887" s="4" t="s">
        <v>101</v>
      </c>
      <c r="Y887" s="4" t="s">
        <v>86</v>
      </c>
      <c r="Z887" s="1">
        <v>45608</v>
      </c>
      <c r="AA887" s="4" t="str" cm="1">
        <f t="array" ref="AA887">_xlfn.IFS(OR(AB887="December", AB887="February", AB887="January"), "Winter", OR(AB887="March", AB887="April", AB887="May"), "Spring", OR(AB887="June", AB887="July", AB887="August"), "Summer", TRUE, "Autumn")</f>
        <v>Autumn</v>
      </c>
      <c r="AB887" s="7" t="str">
        <f>TEXT(Z887, "mmmm")</f>
        <v>November</v>
      </c>
      <c r="AC887" s="1" t="str">
        <f>TEXT(Z887, "dddd")</f>
        <v>Tuesday</v>
      </c>
      <c r="AD887" s="4" t="s">
        <v>76</v>
      </c>
      <c r="AE887" s="4" t="s">
        <v>62</v>
      </c>
      <c r="AF887" s="4" t="s">
        <v>63</v>
      </c>
      <c r="AG887" s="4" t="s">
        <v>88</v>
      </c>
      <c r="AH887" s="3">
        <v>3</v>
      </c>
    </row>
    <row r="888" spans="1:34">
      <c r="A888" s="4" t="s">
        <v>1860</v>
      </c>
      <c r="B888" s="3">
        <v>19</v>
      </c>
      <c r="C888" s="9" t="str" cm="1">
        <f t="array" ref="C888">_xlfn.IFS(B888&gt;65,"+65",B888&gt;54,"55-65",B888&gt;44,"45-54",B888&gt;35,"36-44",B888&gt;25,"26-35",B888&gt;=18,"18-25")</f>
        <v>18-25</v>
      </c>
      <c r="D888" s="4" t="s">
        <v>78</v>
      </c>
      <c r="E888" s="4" t="s">
        <v>72</v>
      </c>
      <c r="F888" s="4" t="s">
        <v>52</v>
      </c>
      <c r="G888" s="4" t="s">
        <v>53</v>
      </c>
      <c r="H888" s="4" t="s">
        <v>1861</v>
      </c>
      <c r="I888" s="4" t="s">
        <v>55</v>
      </c>
      <c r="J888" s="5">
        <v>287.95</v>
      </c>
      <c r="K888" s="3">
        <v>3</v>
      </c>
      <c r="L888" s="4" t="str">
        <f>IF(AND(J888&gt;350,K888&gt;6), "True","False")</f>
        <v>False</v>
      </c>
      <c r="M888" s="4" t="s">
        <v>83</v>
      </c>
      <c r="N888" s="3">
        <v>2</v>
      </c>
      <c r="O888" s="4" t="str" cm="1">
        <f t="array" ref="O888">_xlfn.IFS(P888&lt;=2,"Poor",P888=3,"Average",P888&gt;=4,"Good")</f>
        <v>Average</v>
      </c>
      <c r="P888" s="3">
        <v>3</v>
      </c>
      <c r="Q888" s="2">
        <v>2</v>
      </c>
      <c r="R888" s="4" t="s">
        <v>57</v>
      </c>
      <c r="S888" s="4" t="s">
        <v>73</v>
      </c>
      <c r="T888" s="3">
        <v>2</v>
      </c>
      <c r="U888" s="4" t="str" cm="1">
        <f t="array" ref="U888">_xlfn.IFS(V888&lt;=4, "Dissatisfied",V888&lt;=7,"Neutral",V888&gt;=8,"Satisfied")</f>
        <v>Neutral</v>
      </c>
      <c r="V888" s="3">
        <v>7</v>
      </c>
      <c r="W888" s="4" t="s">
        <v>72</v>
      </c>
      <c r="X888" s="4" t="s">
        <v>74</v>
      </c>
      <c r="Y888" s="4" t="s">
        <v>86</v>
      </c>
      <c r="Z888" s="1">
        <v>45608</v>
      </c>
      <c r="AA888" s="4" t="str" cm="1">
        <f t="array" ref="AA888">_xlfn.IFS(OR(AB888="December", AB888="February", AB888="January"), "Winter", OR(AB888="March", AB888="April", AB888="May"), "Spring", OR(AB888="June", AB888="July", AB888="August"), "Summer", TRUE, "Autumn")</f>
        <v>Autumn</v>
      </c>
      <c r="AB888" s="7" t="str">
        <f>TEXT(Z888, "mmmm")</f>
        <v>November</v>
      </c>
      <c r="AC888" s="1" t="str">
        <f>TEXT(Z888, "dddd")</f>
        <v>Tuesday</v>
      </c>
      <c r="AD888" s="4" t="s">
        <v>62</v>
      </c>
      <c r="AE888" s="4" t="s">
        <v>62</v>
      </c>
      <c r="AF888" s="4" t="s">
        <v>87</v>
      </c>
      <c r="AG888" s="4" t="s">
        <v>64</v>
      </c>
      <c r="AH888" s="3">
        <v>11</v>
      </c>
    </row>
    <row r="889" spans="1:34">
      <c r="A889" s="4" t="s">
        <v>1862</v>
      </c>
      <c r="B889" s="3">
        <v>48</v>
      </c>
      <c r="C889" s="9" t="str" cm="1">
        <f t="array" ref="C889">_xlfn.IFS(B889&gt;65,"+65",B889&gt;54,"55-65",B889&gt;44,"45-54",B889&gt;35,"36-44",B889&gt;25,"26-35",B889&gt;=18,"18-25")</f>
        <v>45-54</v>
      </c>
      <c r="D889" s="4" t="s">
        <v>66</v>
      </c>
      <c r="E889" s="4" t="s">
        <v>51</v>
      </c>
      <c r="F889" s="4" t="s">
        <v>95</v>
      </c>
      <c r="G889" s="4" t="s">
        <v>80</v>
      </c>
      <c r="H889" s="4" t="s">
        <v>1863</v>
      </c>
      <c r="I889" s="4" t="s">
        <v>172</v>
      </c>
      <c r="J889" s="5">
        <v>481.21</v>
      </c>
      <c r="K889" s="3">
        <v>3</v>
      </c>
      <c r="L889" s="4" t="str">
        <f>IF(AND(J889&gt;350,K889&gt;6), "True","False")</f>
        <v>False</v>
      </c>
      <c r="M889" s="4" t="s">
        <v>83</v>
      </c>
      <c r="N889" s="3">
        <v>1</v>
      </c>
      <c r="O889" s="4" t="str" cm="1">
        <f t="array" ref="O889">_xlfn.IFS(P889&lt;=2,"Poor",P889=3,"Average",P889&gt;=4,"Good")</f>
        <v>Poor</v>
      </c>
      <c r="P889" s="3">
        <v>2</v>
      </c>
      <c r="Q889" s="2">
        <v>1</v>
      </c>
      <c r="R889" s="4" t="s">
        <v>72</v>
      </c>
      <c r="S889" s="4" t="s">
        <v>58</v>
      </c>
      <c r="T889" s="3">
        <v>0</v>
      </c>
      <c r="U889" s="4" t="str" cm="1">
        <f t="array" ref="U889">_xlfn.IFS(V889&lt;=4, "Dissatisfied",V889&lt;=7,"Neutral",V889&gt;=8,"Satisfied")</f>
        <v>Dissatisfied</v>
      </c>
      <c r="V889" s="3">
        <v>1</v>
      </c>
      <c r="W889" s="4" t="s">
        <v>57</v>
      </c>
      <c r="X889" s="4" t="s">
        <v>101</v>
      </c>
      <c r="Y889" s="4" t="s">
        <v>119</v>
      </c>
      <c r="Z889" s="1">
        <v>45609</v>
      </c>
      <c r="AA889" s="4" t="str" cm="1">
        <f t="array" ref="AA889">_xlfn.IFS(OR(AB889="December", AB889="February", AB889="January"), "Winter", OR(AB889="March", AB889="April", AB889="May"), "Spring", OR(AB889="June", AB889="July", AB889="August"), "Summer", TRUE, "Autumn")</f>
        <v>Autumn</v>
      </c>
      <c r="AB889" s="7" t="str">
        <f>TEXT(Z889, "mmmm")</f>
        <v>November</v>
      </c>
      <c r="AC889" s="1" t="str">
        <f>TEXT(Z889, "dddd")</f>
        <v>Wednesday</v>
      </c>
      <c r="AD889" s="4" t="s">
        <v>76</v>
      </c>
      <c r="AE889" s="4" t="s">
        <v>76</v>
      </c>
      <c r="AF889" s="4" t="s">
        <v>102</v>
      </c>
      <c r="AG889" s="4" t="s">
        <v>88</v>
      </c>
      <c r="AH889" s="3">
        <v>11</v>
      </c>
    </row>
    <row r="890" spans="1:34">
      <c r="A890" s="4" t="s">
        <v>1864</v>
      </c>
      <c r="B890" s="3">
        <v>38</v>
      </c>
      <c r="C890" s="9" t="str" cm="1">
        <f t="array" ref="C890">_xlfn.IFS(B890&gt;65,"+65",B890&gt;54,"55-65",B890&gt;44,"45-54",B890&gt;35,"36-44",B890&gt;25,"26-35",B890&gt;=18,"18-25")</f>
        <v>36-44</v>
      </c>
      <c r="D890" s="4" t="s">
        <v>78</v>
      </c>
      <c r="E890" s="4" t="s">
        <v>72</v>
      </c>
      <c r="F890" s="4" t="s">
        <v>52</v>
      </c>
      <c r="G890" s="4" t="s">
        <v>68</v>
      </c>
      <c r="H890" s="4" t="s">
        <v>1865</v>
      </c>
      <c r="I890" s="4" t="s">
        <v>100</v>
      </c>
      <c r="J890" s="5">
        <v>485.42</v>
      </c>
      <c r="K890" s="3">
        <v>5</v>
      </c>
      <c r="L890" s="4" t="str">
        <f>IF(AND(J890&gt;350,K890&gt;6), "True","False")</f>
        <v>False</v>
      </c>
      <c r="M890" s="4" t="s">
        <v>56</v>
      </c>
      <c r="N890" s="3">
        <v>1</v>
      </c>
      <c r="O890" s="4" t="str" cm="1">
        <f t="array" ref="O890">_xlfn.IFS(P890&lt;=2,"Poor",P890=3,"Average",P890&gt;=4,"Good")</f>
        <v>Poor</v>
      </c>
      <c r="P890" s="3">
        <v>2</v>
      </c>
      <c r="Q890" s="2">
        <v>2</v>
      </c>
      <c r="R890" s="4" t="s">
        <v>72</v>
      </c>
      <c r="S890" s="4" t="s">
        <v>84</v>
      </c>
      <c r="T890" s="3">
        <v>1</v>
      </c>
      <c r="U890" s="4" t="str" cm="1">
        <f t="array" ref="U890">_xlfn.IFS(V890&lt;=4, "Dissatisfied",V890&lt;=7,"Neutral",V890&gt;=8,"Satisfied")</f>
        <v>Neutral</v>
      </c>
      <c r="V890" s="3">
        <v>6</v>
      </c>
      <c r="W890" s="4" t="s">
        <v>72</v>
      </c>
      <c r="X890" s="4" t="s">
        <v>101</v>
      </c>
      <c r="Y890" s="4" t="s">
        <v>111</v>
      </c>
      <c r="Z890" s="1">
        <v>45609</v>
      </c>
      <c r="AA890" s="4" t="str" cm="1">
        <f t="array" ref="AA890">_xlfn.IFS(OR(AB890="December", AB890="February", AB890="January"), "Winter", OR(AB890="March", AB890="April", AB890="May"), "Spring", OR(AB890="June", AB890="July", AB890="August"), "Summer", TRUE, "Autumn")</f>
        <v>Autumn</v>
      </c>
      <c r="AB890" s="7" t="str">
        <f>TEXT(Z890, "mmmm")</f>
        <v>November</v>
      </c>
      <c r="AC890" s="1" t="str">
        <f>TEXT(Z890, "dddd")</f>
        <v>Wednesday</v>
      </c>
      <c r="AD890" s="4" t="s">
        <v>62</v>
      </c>
      <c r="AE890" s="4" t="s">
        <v>76</v>
      </c>
      <c r="AF890" s="4" t="s">
        <v>102</v>
      </c>
      <c r="AG890" s="4" t="s">
        <v>88</v>
      </c>
      <c r="AH890" s="3">
        <v>4</v>
      </c>
    </row>
    <row r="891" spans="1:34">
      <c r="A891" s="4" t="s">
        <v>1866</v>
      </c>
      <c r="B891" s="3">
        <v>34</v>
      </c>
      <c r="C891" s="9" t="str" cm="1">
        <f t="array" ref="C891">_xlfn.IFS(B891&gt;65,"+65",B891&gt;54,"55-65",B891&gt;44,"45-54",B891&gt;35,"36-44",B891&gt;25,"26-35",B891&gt;=18,"18-25")</f>
        <v>26-35</v>
      </c>
      <c r="D891" s="4" t="s">
        <v>66</v>
      </c>
      <c r="E891" s="4" t="s">
        <v>72</v>
      </c>
      <c r="F891" s="4" t="s">
        <v>52</v>
      </c>
      <c r="G891" s="4" t="s">
        <v>68</v>
      </c>
      <c r="H891" s="4" t="s">
        <v>1867</v>
      </c>
      <c r="I891" s="4" t="s">
        <v>275</v>
      </c>
      <c r="J891" s="5">
        <v>110.4</v>
      </c>
      <c r="K891" s="3">
        <v>12</v>
      </c>
      <c r="L891" s="4" t="str">
        <f>IF(AND(J891&gt;350,K891&gt;6), "True","False")</f>
        <v>False</v>
      </c>
      <c r="M891" s="4" t="s">
        <v>83</v>
      </c>
      <c r="N891" s="3">
        <v>5</v>
      </c>
      <c r="O891" s="4" t="str" cm="1">
        <f t="array" ref="O891">_xlfn.IFS(P891&lt;=2,"Poor",P891=3,"Average",P891&gt;=4,"Good")</f>
        <v>Poor</v>
      </c>
      <c r="P891" s="3">
        <v>1</v>
      </c>
      <c r="Q891" s="2">
        <v>2</v>
      </c>
      <c r="R891" s="4" t="s">
        <v>57</v>
      </c>
      <c r="S891" s="4" t="s">
        <v>84</v>
      </c>
      <c r="T891" s="3">
        <v>1</v>
      </c>
      <c r="U891" s="4" t="str" cm="1">
        <f t="array" ref="U891">_xlfn.IFS(V891&lt;=4, "Dissatisfied",V891&lt;=7,"Neutral",V891&gt;=8,"Satisfied")</f>
        <v>Dissatisfied</v>
      </c>
      <c r="V891" s="3">
        <v>3</v>
      </c>
      <c r="W891" s="4" t="s">
        <v>85</v>
      </c>
      <c r="X891" s="4" t="s">
        <v>74</v>
      </c>
      <c r="Y891" s="4" t="s">
        <v>75</v>
      </c>
      <c r="Z891" s="1">
        <v>45609</v>
      </c>
      <c r="AA891" s="4" t="str" cm="1">
        <f t="array" ref="AA891">_xlfn.IFS(OR(AB891="December", AB891="February", AB891="January"), "Winter", OR(AB891="March", AB891="April", AB891="May"), "Spring", OR(AB891="June", AB891="July", AB891="August"), "Summer", TRUE, "Autumn")</f>
        <v>Autumn</v>
      </c>
      <c r="AB891" s="7" t="str">
        <f>TEXT(Z891, "mmmm")</f>
        <v>November</v>
      </c>
      <c r="AC891" s="1" t="str">
        <f>TEXT(Z891, "dddd")</f>
        <v>Wednesday</v>
      </c>
      <c r="AD891" s="4" t="s">
        <v>76</v>
      </c>
      <c r="AE891" s="4" t="s">
        <v>76</v>
      </c>
      <c r="AF891" s="4" t="s">
        <v>63</v>
      </c>
      <c r="AG891" s="4" t="s">
        <v>64</v>
      </c>
      <c r="AH891" s="3">
        <v>12</v>
      </c>
    </row>
    <row r="892" spans="1:34">
      <c r="A892" s="4" t="s">
        <v>1868</v>
      </c>
      <c r="B892" s="3">
        <v>29</v>
      </c>
      <c r="C892" s="9" t="str" cm="1">
        <f t="array" ref="C892">_xlfn.IFS(B892&gt;65,"+65",B892&gt;54,"55-65",B892&gt;44,"45-54",B892&gt;35,"36-44",B892&gt;25,"26-35",B892&gt;=18,"18-25")</f>
        <v>26-35</v>
      </c>
      <c r="D892" s="4" t="s">
        <v>78</v>
      </c>
      <c r="E892" s="4" t="s">
        <v>72</v>
      </c>
      <c r="F892" s="4" t="s">
        <v>79</v>
      </c>
      <c r="G892" s="4" t="s">
        <v>80</v>
      </c>
      <c r="H892" s="4" t="s">
        <v>1869</v>
      </c>
      <c r="I892" s="4" t="s">
        <v>100</v>
      </c>
      <c r="J892" s="5">
        <v>235.46</v>
      </c>
      <c r="K892" s="3">
        <v>10</v>
      </c>
      <c r="L892" s="4" t="str">
        <f>IF(AND(J892&gt;350,K892&gt;6), "True","False")</f>
        <v>False</v>
      </c>
      <c r="M892" s="4" t="s">
        <v>71</v>
      </c>
      <c r="N892" s="3">
        <v>3</v>
      </c>
      <c r="O892" s="4" t="str" cm="1">
        <f t="array" ref="O892">_xlfn.IFS(P892&lt;=2,"Poor",P892=3,"Average",P892&gt;=4,"Good")</f>
        <v>Good</v>
      </c>
      <c r="P892" s="3">
        <v>4</v>
      </c>
      <c r="Q892" s="2">
        <v>2</v>
      </c>
      <c r="R892" s="4" t="s">
        <v>57</v>
      </c>
      <c r="S892" s="4" t="s">
        <v>58</v>
      </c>
      <c r="T892" s="3">
        <v>0</v>
      </c>
      <c r="U892" s="4" t="str" cm="1">
        <f t="array" ref="U892">_xlfn.IFS(V892&lt;=4, "Dissatisfied",V892&lt;=7,"Neutral",V892&gt;=8,"Satisfied")</f>
        <v>Neutral</v>
      </c>
      <c r="V892" s="3">
        <v>7</v>
      </c>
      <c r="W892" s="4" t="s">
        <v>57</v>
      </c>
      <c r="X892" s="4" t="s">
        <v>101</v>
      </c>
      <c r="Y892" s="4" t="s">
        <v>119</v>
      </c>
      <c r="Z892" s="1">
        <v>45609</v>
      </c>
      <c r="AA892" s="4" t="str" cm="1">
        <f t="array" ref="AA892">_xlfn.IFS(OR(AB892="December", AB892="February", AB892="January"), "Winter", OR(AB892="March", AB892="April", AB892="May"), "Spring", OR(AB892="June", AB892="July", AB892="August"), "Summer", TRUE, "Autumn")</f>
        <v>Autumn</v>
      </c>
      <c r="AB892" s="7" t="str">
        <f>TEXT(Z892, "mmmm")</f>
        <v>November</v>
      </c>
      <c r="AC892" s="1" t="str">
        <f>TEXT(Z892, "dddd")</f>
        <v>Wednesday</v>
      </c>
      <c r="AD892" s="4" t="s">
        <v>76</v>
      </c>
      <c r="AE892" s="4" t="s">
        <v>62</v>
      </c>
      <c r="AF892" s="4" t="s">
        <v>92</v>
      </c>
      <c r="AG892" s="4" t="s">
        <v>88</v>
      </c>
      <c r="AH892" s="3">
        <v>2</v>
      </c>
    </row>
    <row r="893" spans="1:34">
      <c r="A893" s="4" t="s">
        <v>1870</v>
      </c>
      <c r="B893" s="3">
        <v>44</v>
      </c>
      <c r="C893" s="9" t="str" cm="1">
        <f t="array" ref="C893">_xlfn.IFS(B893&gt;65,"+65",B893&gt;54,"55-65",B893&gt;44,"45-54",B893&gt;35,"36-44",B893&gt;25,"26-35",B893&gt;=18,"18-25")</f>
        <v>36-44</v>
      </c>
      <c r="D893" s="4" t="s">
        <v>78</v>
      </c>
      <c r="E893" s="4" t="s">
        <v>72</v>
      </c>
      <c r="F893" s="4" t="s">
        <v>95</v>
      </c>
      <c r="G893" s="4" t="s">
        <v>80</v>
      </c>
      <c r="H893" s="4" t="s">
        <v>1871</v>
      </c>
      <c r="I893" s="4" t="s">
        <v>70</v>
      </c>
      <c r="J893" s="5">
        <v>403.57</v>
      </c>
      <c r="K893" s="3">
        <v>6</v>
      </c>
      <c r="L893" s="4" t="str">
        <f>IF(AND(J893&gt;350,K893&gt;6), "True","False")</f>
        <v>False</v>
      </c>
      <c r="M893" s="4" t="s">
        <v>56</v>
      </c>
      <c r="N893" s="3">
        <v>2</v>
      </c>
      <c r="O893" s="4" t="str" cm="1">
        <f t="array" ref="O893">_xlfn.IFS(P893&lt;=2,"Poor",P893=3,"Average",P893&gt;=4,"Good")</f>
        <v>Poor</v>
      </c>
      <c r="P893" s="3">
        <v>2</v>
      </c>
      <c r="Q893" s="2">
        <v>2</v>
      </c>
      <c r="R893" s="4" t="s">
        <v>72</v>
      </c>
      <c r="S893" s="4" t="s">
        <v>58</v>
      </c>
      <c r="T893" s="3">
        <v>2</v>
      </c>
      <c r="U893" s="4" t="str" cm="1">
        <f t="array" ref="U893">_xlfn.IFS(V893&lt;=4, "Dissatisfied",V893&lt;=7,"Neutral",V893&gt;=8,"Satisfied")</f>
        <v>Dissatisfied</v>
      </c>
      <c r="V893" s="3">
        <v>2</v>
      </c>
      <c r="W893" s="4" t="s">
        <v>57</v>
      </c>
      <c r="X893" s="4" t="s">
        <v>60</v>
      </c>
      <c r="Y893" s="4" t="s">
        <v>111</v>
      </c>
      <c r="Z893" s="1">
        <v>45610</v>
      </c>
      <c r="AA893" s="4" t="str" cm="1">
        <f t="array" ref="AA893">_xlfn.IFS(OR(AB893="December", AB893="February", AB893="January"), "Winter", OR(AB893="March", AB893="April", AB893="May"), "Spring", OR(AB893="June", AB893="July", AB893="August"), "Summer", TRUE, "Autumn")</f>
        <v>Autumn</v>
      </c>
      <c r="AB893" s="7" t="str">
        <f>TEXT(Z893, "mmmm")</f>
        <v>November</v>
      </c>
      <c r="AC893" s="1" t="str">
        <f>TEXT(Z893, "dddd")</f>
        <v>Thursday</v>
      </c>
      <c r="AD893" s="4" t="s">
        <v>76</v>
      </c>
      <c r="AE893" s="4" t="s">
        <v>76</v>
      </c>
      <c r="AF893" s="4" t="s">
        <v>92</v>
      </c>
      <c r="AG893" s="4" t="s">
        <v>93</v>
      </c>
      <c r="AH893" s="3">
        <v>1</v>
      </c>
    </row>
    <row r="894" spans="1:34">
      <c r="A894" s="4" t="s">
        <v>1872</v>
      </c>
      <c r="B894" s="3">
        <v>34</v>
      </c>
      <c r="C894" s="9" t="str" cm="1">
        <f t="array" ref="C894">_xlfn.IFS(B894&gt;65,"+65",B894&gt;54,"55-65",B894&gt;44,"45-54",B894&gt;35,"36-44",B894&gt;25,"26-35",B894&gt;=18,"18-25")</f>
        <v>26-35</v>
      </c>
      <c r="D894" s="4" t="s">
        <v>232</v>
      </c>
      <c r="E894" s="4" t="s">
        <v>72</v>
      </c>
      <c r="F894" s="4" t="s">
        <v>95</v>
      </c>
      <c r="G894" s="4" t="s">
        <v>53</v>
      </c>
      <c r="H894" s="4" t="s">
        <v>1873</v>
      </c>
      <c r="I894" s="4" t="s">
        <v>156</v>
      </c>
      <c r="J894" s="5">
        <v>358.5</v>
      </c>
      <c r="K894" s="3">
        <v>3</v>
      </c>
      <c r="L894" s="4" t="str">
        <f>IF(AND(J894&gt;350,K894&gt;6), "True","False")</f>
        <v>False</v>
      </c>
      <c r="M894" s="4" t="s">
        <v>56</v>
      </c>
      <c r="N894" s="3">
        <v>3</v>
      </c>
      <c r="O894" s="4" t="str" cm="1">
        <f t="array" ref="O894">_xlfn.IFS(P894&lt;=2,"Poor",P894=3,"Average",P894&gt;=4,"Good")</f>
        <v>Good</v>
      </c>
      <c r="P894" s="3">
        <v>4</v>
      </c>
      <c r="Q894" s="2">
        <v>2</v>
      </c>
      <c r="R894" s="4" t="s">
        <v>85</v>
      </c>
      <c r="S894" s="4" t="s">
        <v>73</v>
      </c>
      <c r="T894" s="3">
        <v>2</v>
      </c>
      <c r="U894" s="4" t="str" cm="1">
        <f t="array" ref="U894">_xlfn.IFS(V894&lt;=4, "Dissatisfied",V894&lt;=7,"Neutral",V894&gt;=8,"Satisfied")</f>
        <v>Dissatisfied</v>
      </c>
      <c r="V894" s="3">
        <v>3</v>
      </c>
      <c r="W894" s="4" t="s">
        <v>57</v>
      </c>
      <c r="X894" s="4" t="s">
        <v>74</v>
      </c>
      <c r="Y894" s="4" t="s">
        <v>61</v>
      </c>
      <c r="Z894" s="1">
        <v>45610</v>
      </c>
      <c r="AA894" s="4" t="str" cm="1">
        <f t="array" ref="AA894">_xlfn.IFS(OR(AB894="December", AB894="February", AB894="January"), "Winter", OR(AB894="March", AB894="April", AB894="May"), "Spring", OR(AB894="June", AB894="July", AB894="August"), "Summer", TRUE, "Autumn")</f>
        <v>Autumn</v>
      </c>
      <c r="AB894" s="7" t="str">
        <f>TEXT(Z894, "mmmm")</f>
        <v>November</v>
      </c>
      <c r="AC894" s="1" t="str">
        <f>TEXT(Z894, "dddd")</f>
        <v>Thursday</v>
      </c>
      <c r="AD894" s="4" t="s">
        <v>76</v>
      </c>
      <c r="AE894" s="4" t="s">
        <v>62</v>
      </c>
      <c r="AF894" s="4" t="s">
        <v>92</v>
      </c>
      <c r="AG894" s="4" t="s">
        <v>64</v>
      </c>
      <c r="AH894" s="3">
        <v>8</v>
      </c>
    </row>
    <row r="895" spans="1:34">
      <c r="A895" s="4" t="s">
        <v>1874</v>
      </c>
      <c r="B895" s="3">
        <v>24</v>
      </c>
      <c r="C895" s="9" t="str" cm="1">
        <f t="array" ref="C895">_xlfn.IFS(B895&gt;65,"+65",B895&gt;54,"55-65",B895&gt;44,"45-54",B895&gt;35,"36-44",B895&gt;25,"26-35",B895&gt;=18,"18-25")</f>
        <v>18-25</v>
      </c>
      <c r="D895" s="4" t="s">
        <v>66</v>
      </c>
      <c r="E895" s="4" t="s">
        <v>51</v>
      </c>
      <c r="F895" s="4" t="s">
        <v>52</v>
      </c>
      <c r="G895" s="4" t="s">
        <v>80</v>
      </c>
      <c r="H895" s="4" t="s">
        <v>1875</v>
      </c>
      <c r="I895" s="4" t="s">
        <v>100</v>
      </c>
      <c r="J895" s="5">
        <v>418.62</v>
      </c>
      <c r="K895" s="3">
        <v>9</v>
      </c>
      <c r="L895" s="4" t="str">
        <f>IF(AND(J895&gt;350,K895&gt;6), "True","False")</f>
        <v>True</v>
      </c>
      <c r="M895" s="4" t="s">
        <v>71</v>
      </c>
      <c r="N895" s="3">
        <v>1</v>
      </c>
      <c r="O895" s="4" t="str" cm="1">
        <f t="array" ref="O895">_xlfn.IFS(P895&lt;=2,"Poor",P895=3,"Average",P895&gt;=4,"Good")</f>
        <v>Poor</v>
      </c>
      <c r="P895" s="3">
        <v>2</v>
      </c>
      <c r="Q895" s="2">
        <v>0</v>
      </c>
      <c r="R895" s="4" t="s">
        <v>59</v>
      </c>
      <c r="S895" s="4" t="s">
        <v>58</v>
      </c>
      <c r="T895" s="3">
        <v>0</v>
      </c>
      <c r="U895" s="4" t="str" cm="1">
        <f t="array" ref="U895">_xlfn.IFS(V895&lt;=4, "Dissatisfied",V895&lt;=7,"Neutral",V895&gt;=8,"Satisfied")</f>
        <v>Satisfied</v>
      </c>
      <c r="V895" s="3">
        <v>9</v>
      </c>
      <c r="W895" s="4" t="s">
        <v>57</v>
      </c>
      <c r="X895" s="4" t="s">
        <v>60</v>
      </c>
      <c r="Y895" s="4" t="s">
        <v>111</v>
      </c>
      <c r="Z895" s="1">
        <v>45610</v>
      </c>
      <c r="AA895" s="4" t="str" cm="1">
        <f t="array" ref="AA895">_xlfn.IFS(OR(AB895="December", AB895="February", AB895="January"), "Winter", OR(AB895="March", AB895="April", AB895="May"), "Spring", OR(AB895="June", AB895="July", AB895="August"), "Summer", TRUE, "Autumn")</f>
        <v>Autumn</v>
      </c>
      <c r="AB895" s="7" t="str">
        <f>TEXT(Z895, "mmmm")</f>
        <v>November</v>
      </c>
      <c r="AC895" s="1" t="str">
        <f>TEXT(Z895, "dddd")</f>
        <v>Thursday</v>
      </c>
      <c r="AD895" s="4" t="s">
        <v>62</v>
      </c>
      <c r="AE895" s="4" t="s">
        <v>76</v>
      </c>
      <c r="AF895" s="4" t="s">
        <v>63</v>
      </c>
      <c r="AG895" s="4" t="s">
        <v>64</v>
      </c>
      <c r="AH895" s="3">
        <v>11</v>
      </c>
    </row>
    <row r="896" spans="1:34">
      <c r="A896" s="4" t="s">
        <v>1876</v>
      </c>
      <c r="B896" s="3">
        <v>44</v>
      </c>
      <c r="C896" s="9" t="str" cm="1">
        <f t="array" ref="C896">_xlfn.IFS(B896&gt;65,"+65",B896&gt;54,"55-65",B896&gt;44,"45-54",B896&gt;35,"36-44",B896&gt;25,"26-35",B896&gt;=18,"18-25")</f>
        <v>36-44</v>
      </c>
      <c r="D896" s="4" t="s">
        <v>66</v>
      </c>
      <c r="E896" s="4" t="s">
        <v>51</v>
      </c>
      <c r="F896" s="4" t="s">
        <v>52</v>
      </c>
      <c r="G896" s="4" t="s">
        <v>68</v>
      </c>
      <c r="H896" s="4" t="s">
        <v>1877</v>
      </c>
      <c r="I896" s="4" t="s">
        <v>164</v>
      </c>
      <c r="J896" s="5">
        <v>61.86</v>
      </c>
      <c r="K896" s="3">
        <v>5</v>
      </c>
      <c r="L896" s="4" t="str">
        <f>IF(AND(J896&gt;350,K896&gt;6), "True","False")</f>
        <v>False</v>
      </c>
      <c r="M896" s="4" t="s">
        <v>71</v>
      </c>
      <c r="N896" s="3">
        <v>4</v>
      </c>
      <c r="O896" s="4" t="str" cm="1">
        <f t="array" ref="O896">_xlfn.IFS(P896&lt;=2,"Poor",P896=3,"Average",P896&gt;=4,"Good")</f>
        <v>Good</v>
      </c>
      <c r="P896" s="3">
        <v>5</v>
      </c>
      <c r="Q896" s="2">
        <v>2</v>
      </c>
      <c r="R896" s="4" t="s">
        <v>57</v>
      </c>
      <c r="S896" s="4" t="s">
        <v>58</v>
      </c>
      <c r="T896" s="3">
        <v>2</v>
      </c>
      <c r="U896" s="4" t="str" cm="1">
        <f t="array" ref="U896">_xlfn.IFS(V896&lt;=4, "Dissatisfied",V896&lt;=7,"Neutral",V896&gt;=8,"Satisfied")</f>
        <v>Satisfied</v>
      </c>
      <c r="V896" s="3">
        <v>8</v>
      </c>
      <c r="W896" s="4" t="s">
        <v>57</v>
      </c>
      <c r="X896" s="4" t="s">
        <v>60</v>
      </c>
      <c r="Y896" s="4" t="s">
        <v>61</v>
      </c>
      <c r="Z896" s="1">
        <v>45611</v>
      </c>
      <c r="AA896" s="4" t="str" cm="1">
        <f t="array" ref="AA896">_xlfn.IFS(OR(AB896="December", AB896="February", AB896="January"), "Winter", OR(AB896="March", AB896="April", AB896="May"), "Spring", OR(AB896="June", AB896="July", AB896="August"), "Summer", TRUE, "Autumn")</f>
        <v>Autumn</v>
      </c>
      <c r="AB896" s="7" t="str">
        <f>TEXT(Z896, "mmmm")</f>
        <v>November</v>
      </c>
      <c r="AC896" s="1" t="str">
        <f>TEXT(Z896, "dddd")</f>
        <v>Friday</v>
      </c>
      <c r="AD896" s="4" t="s">
        <v>76</v>
      </c>
      <c r="AE896" s="4" t="s">
        <v>62</v>
      </c>
      <c r="AF896" s="4" t="s">
        <v>63</v>
      </c>
      <c r="AG896" s="4" t="s">
        <v>64</v>
      </c>
      <c r="AH896" s="3">
        <v>9</v>
      </c>
    </row>
    <row r="897" spans="1:34">
      <c r="A897" s="4" t="s">
        <v>1878</v>
      </c>
      <c r="B897" s="3">
        <v>32</v>
      </c>
      <c r="C897" s="9" t="str" cm="1">
        <f t="array" ref="C897">_xlfn.IFS(B897&gt;65,"+65",B897&gt;54,"55-65",B897&gt;44,"45-54",B897&gt;35,"36-44",B897&gt;25,"26-35",B897&gt;=18,"18-25")</f>
        <v>26-35</v>
      </c>
      <c r="D897" s="4" t="s">
        <v>456</v>
      </c>
      <c r="E897" s="4" t="s">
        <v>51</v>
      </c>
      <c r="F897" s="4" t="s">
        <v>95</v>
      </c>
      <c r="G897" s="4" t="s">
        <v>68</v>
      </c>
      <c r="H897" s="4" t="s">
        <v>1879</v>
      </c>
      <c r="I897" s="4" t="s">
        <v>122</v>
      </c>
      <c r="J897" s="5">
        <v>249.73</v>
      </c>
      <c r="K897" s="3">
        <v>5</v>
      </c>
      <c r="L897" s="4" t="str">
        <f>IF(AND(J897&gt;350,K897&gt;6), "True","False")</f>
        <v>False</v>
      </c>
      <c r="M897" s="4" t="s">
        <v>83</v>
      </c>
      <c r="N897" s="3">
        <v>1</v>
      </c>
      <c r="O897" s="4" t="str" cm="1">
        <f t="array" ref="O897">_xlfn.IFS(P897&lt;=2,"Poor",P897=3,"Average",P897&gt;=4,"Good")</f>
        <v>Good</v>
      </c>
      <c r="P897" s="3">
        <v>4</v>
      </c>
      <c r="Q897" s="2">
        <v>2</v>
      </c>
      <c r="R897" s="4" t="s">
        <v>59</v>
      </c>
      <c r="S897" s="4" t="s">
        <v>73</v>
      </c>
      <c r="T897" s="3">
        <v>1</v>
      </c>
      <c r="U897" s="4" t="str" cm="1">
        <f t="array" ref="U897">_xlfn.IFS(V897&lt;=4, "Dissatisfied",V897&lt;=7,"Neutral",V897&gt;=8,"Satisfied")</f>
        <v>Dissatisfied</v>
      </c>
      <c r="V897" s="3">
        <v>4</v>
      </c>
      <c r="W897" s="4" t="s">
        <v>59</v>
      </c>
      <c r="X897" s="4" t="s">
        <v>101</v>
      </c>
      <c r="Y897" s="4" t="s">
        <v>61</v>
      </c>
      <c r="Z897" s="1">
        <v>45611</v>
      </c>
      <c r="AA897" s="4" t="str" cm="1">
        <f t="array" ref="AA897">_xlfn.IFS(OR(AB897="December", AB897="February", AB897="January"), "Winter", OR(AB897="March", AB897="April", AB897="May"), "Spring", OR(AB897="June", AB897="July", AB897="August"), "Summer", TRUE, "Autumn")</f>
        <v>Autumn</v>
      </c>
      <c r="AB897" s="7" t="str">
        <f>TEXT(Z897, "mmmm")</f>
        <v>November</v>
      </c>
      <c r="AC897" s="1" t="str">
        <f>TEXT(Z897, "dddd")</f>
        <v>Friday</v>
      </c>
      <c r="AD897" s="4" t="s">
        <v>62</v>
      </c>
      <c r="AE897" s="4" t="s">
        <v>76</v>
      </c>
      <c r="AF897" s="4" t="s">
        <v>102</v>
      </c>
      <c r="AG897" s="4" t="s">
        <v>88</v>
      </c>
      <c r="AH897" s="3">
        <v>1</v>
      </c>
    </row>
    <row r="898" spans="1:34">
      <c r="A898" s="4" t="s">
        <v>1880</v>
      </c>
      <c r="B898" s="3">
        <v>29</v>
      </c>
      <c r="C898" s="9" t="str" cm="1">
        <f t="array" ref="C898">_xlfn.IFS(B898&gt;65,"+65",B898&gt;54,"55-65",B898&gt;44,"45-54",B898&gt;35,"36-44",B898&gt;25,"26-35",B898&gt;=18,"18-25")</f>
        <v>26-35</v>
      </c>
      <c r="D898" s="4" t="s">
        <v>66</v>
      </c>
      <c r="E898" s="4" t="s">
        <v>72</v>
      </c>
      <c r="F898" s="4" t="s">
        <v>95</v>
      </c>
      <c r="G898" s="4" t="s">
        <v>53</v>
      </c>
      <c r="H898" s="4" t="s">
        <v>166</v>
      </c>
      <c r="I898" s="4" t="s">
        <v>172</v>
      </c>
      <c r="J898" s="5">
        <v>319.38</v>
      </c>
      <c r="K898" s="3">
        <v>9</v>
      </c>
      <c r="L898" s="4" t="str">
        <f>IF(AND(J898&gt;350,K898&gt;6), "True","False")</f>
        <v>False</v>
      </c>
      <c r="M898" s="4" t="s">
        <v>71</v>
      </c>
      <c r="N898" s="3">
        <v>4</v>
      </c>
      <c r="O898" s="4" t="str" cm="1">
        <f t="array" ref="O898">_xlfn.IFS(P898&lt;=2,"Poor",P898=3,"Average",P898&gt;=4,"Good")</f>
        <v>Poor</v>
      </c>
      <c r="P898" s="3">
        <v>1</v>
      </c>
      <c r="Q898" s="2">
        <v>0</v>
      </c>
      <c r="R898" s="4" t="s">
        <v>59</v>
      </c>
      <c r="S898" s="4" t="s">
        <v>58</v>
      </c>
      <c r="T898" s="3">
        <v>1</v>
      </c>
      <c r="U898" s="4" t="str" cm="1">
        <f t="array" ref="U898">_xlfn.IFS(V898&lt;=4, "Dissatisfied",V898&lt;=7,"Neutral",V898&gt;=8,"Satisfied")</f>
        <v>Neutral</v>
      </c>
      <c r="V898" s="3">
        <v>6</v>
      </c>
      <c r="W898" s="4" t="s">
        <v>72</v>
      </c>
      <c r="X898" s="4" t="s">
        <v>74</v>
      </c>
      <c r="Y898" s="4" t="s">
        <v>86</v>
      </c>
      <c r="Z898" s="1">
        <v>45611</v>
      </c>
      <c r="AA898" s="4" t="str" cm="1">
        <f t="array" ref="AA898">_xlfn.IFS(OR(AB898="December", AB898="February", AB898="January"), "Winter", OR(AB898="March", AB898="April", AB898="May"), "Spring", OR(AB898="June", AB898="July", AB898="August"), "Summer", TRUE, "Autumn")</f>
        <v>Autumn</v>
      </c>
      <c r="AB898" s="7" t="str">
        <f>TEXT(Z898, "mmmm")</f>
        <v>November</v>
      </c>
      <c r="AC898" s="1" t="str">
        <f>TEXT(Z898, "dddd")</f>
        <v>Friday</v>
      </c>
      <c r="AD898" s="4" t="s">
        <v>62</v>
      </c>
      <c r="AE898" s="4" t="s">
        <v>62</v>
      </c>
      <c r="AF898" s="4" t="s">
        <v>63</v>
      </c>
      <c r="AG898" s="4" t="s">
        <v>88</v>
      </c>
      <c r="AH898" s="3">
        <v>8</v>
      </c>
    </row>
    <row r="899" spans="1:34">
      <c r="A899" s="4" t="s">
        <v>1881</v>
      </c>
      <c r="B899" s="3">
        <v>50</v>
      </c>
      <c r="C899" s="9" t="str" cm="1">
        <f t="array" ref="C899">_xlfn.IFS(B899&gt;65,"+65",B899&gt;54,"55-65",B899&gt;44,"45-54",B899&gt;35,"36-44",B899&gt;25,"26-35",B899&gt;=18,"18-25")</f>
        <v>45-54</v>
      </c>
      <c r="D899" s="4" t="s">
        <v>66</v>
      </c>
      <c r="E899" s="4" t="s">
        <v>51</v>
      </c>
      <c r="F899" s="4" t="s">
        <v>67</v>
      </c>
      <c r="G899" s="4" t="s">
        <v>53</v>
      </c>
      <c r="H899" s="4" t="s">
        <v>1882</v>
      </c>
      <c r="I899" s="4" t="s">
        <v>55</v>
      </c>
      <c r="J899" s="5">
        <v>135.80000000000001</v>
      </c>
      <c r="K899" s="3">
        <v>2</v>
      </c>
      <c r="L899" s="4" t="str">
        <f>IF(AND(J899&gt;350,K899&gt;6), "True","False")</f>
        <v>False</v>
      </c>
      <c r="M899" s="4" t="s">
        <v>71</v>
      </c>
      <c r="N899" s="3">
        <v>2</v>
      </c>
      <c r="O899" s="4" t="str" cm="1">
        <f t="array" ref="O899">_xlfn.IFS(P899&lt;=2,"Poor",P899=3,"Average",P899&gt;=4,"Good")</f>
        <v>Good</v>
      </c>
      <c r="P899" s="3">
        <v>5</v>
      </c>
      <c r="Q899" s="2">
        <v>1</v>
      </c>
      <c r="R899" s="4" t="s">
        <v>59</v>
      </c>
      <c r="S899" s="4" t="s">
        <v>84</v>
      </c>
      <c r="T899" s="3">
        <v>1</v>
      </c>
      <c r="U899" s="4" t="str" cm="1">
        <f t="array" ref="U899">_xlfn.IFS(V899&lt;=4, "Dissatisfied",V899&lt;=7,"Neutral",V899&gt;=8,"Satisfied")</f>
        <v>Dissatisfied</v>
      </c>
      <c r="V899" s="3">
        <v>2</v>
      </c>
      <c r="W899" s="4" t="s">
        <v>72</v>
      </c>
      <c r="X899" s="4" t="s">
        <v>101</v>
      </c>
      <c r="Y899" s="4" t="s">
        <v>75</v>
      </c>
      <c r="Z899" s="1">
        <v>45612</v>
      </c>
      <c r="AA899" s="4" t="str" cm="1">
        <f t="array" ref="AA899">_xlfn.IFS(OR(AB899="December", AB899="February", AB899="January"), "Winter", OR(AB899="March", AB899="April", AB899="May"), "Spring", OR(AB899="June", AB899="July", AB899="August"), "Summer", TRUE, "Autumn")</f>
        <v>Autumn</v>
      </c>
      <c r="AB899" s="7" t="str">
        <f>TEXT(Z899, "mmmm")</f>
        <v>November</v>
      </c>
      <c r="AC899" s="1" t="str">
        <f>TEXT(Z899, "dddd")</f>
        <v>Saturday</v>
      </c>
      <c r="AD899" s="4" t="s">
        <v>76</v>
      </c>
      <c r="AE899" s="4" t="s">
        <v>62</v>
      </c>
      <c r="AF899" s="4" t="s">
        <v>87</v>
      </c>
      <c r="AG899" s="4" t="s">
        <v>88</v>
      </c>
      <c r="AH899" s="3">
        <v>9</v>
      </c>
    </row>
    <row r="900" spans="1:34">
      <c r="A900" s="4" t="s">
        <v>1883</v>
      </c>
      <c r="B900" s="3">
        <v>49</v>
      </c>
      <c r="C900" s="9" t="str" cm="1">
        <f t="array" ref="C900">_xlfn.IFS(B900&gt;65,"+65",B900&gt;54,"55-65",B900&gt;44,"45-54",B900&gt;35,"36-44",B900&gt;25,"26-35",B900&gt;=18,"18-25")</f>
        <v>45-54</v>
      </c>
      <c r="D900" s="4" t="s">
        <v>66</v>
      </c>
      <c r="E900" s="4" t="s">
        <v>72</v>
      </c>
      <c r="F900" s="4" t="s">
        <v>52</v>
      </c>
      <c r="G900" s="4" t="s">
        <v>68</v>
      </c>
      <c r="H900" s="4" t="s">
        <v>1884</v>
      </c>
      <c r="I900" s="4" t="s">
        <v>110</v>
      </c>
      <c r="J900" s="5">
        <v>124.17</v>
      </c>
      <c r="K900" s="3">
        <v>12</v>
      </c>
      <c r="L900" s="4" t="str">
        <f>IF(AND(J900&gt;350,K900&gt;6), "True","False")</f>
        <v>False</v>
      </c>
      <c r="M900" s="4" t="s">
        <v>83</v>
      </c>
      <c r="N900" s="3">
        <v>5</v>
      </c>
      <c r="O900" s="4" t="str" cm="1">
        <f t="array" ref="O900">_xlfn.IFS(P900&lt;=2,"Poor",P900=3,"Average",P900&gt;=4,"Good")</f>
        <v>Poor</v>
      </c>
      <c r="P900" s="3">
        <v>2</v>
      </c>
      <c r="Q900" s="2">
        <v>2</v>
      </c>
      <c r="R900" s="4" t="s">
        <v>72</v>
      </c>
      <c r="S900" s="4" t="s">
        <v>73</v>
      </c>
      <c r="T900" s="3">
        <v>2</v>
      </c>
      <c r="U900" s="4" t="str" cm="1">
        <f t="array" ref="U900">_xlfn.IFS(V900&lt;=4, "Dissatisfied",V900&lt;=7,"Neutral",V900&gt;=8,"Satisfied")</f>
        <v>Dissatisfied</v>
      </c>
      <c r="V900" s="3">
        <v>4</v>
      </c>
      <c r="W900" s="4" t="s">
        <v>72</v>
      </c>
      <c r="X900" s="4" t="s">
        <v>60</v>
      </c>
      <c r="Y900" s="4" t="s">
        <v>75</v>
      </c>
      <c r="Z900" s="1">
        <v>45612</v>
      </c>
      <c r="AA900" s="4" t="str" cm="1">
        <f t="array" ref="AA900">_xlfn.IFS(OR(AB900="December", AB900="February", AB900="January"), "Winter", OR(AB900="March", AB900="April", AB900="May"), "Spring", OR(AB900="June", AB900="July", AB900="August"), "Summer", TRUE, "Autumn")</f>
        <v>Autumn</v>
      </c>
      <c r="AB900" s="7" t="str">
        <f>TEXT(Z900, "mmmm")</f>
        <v>November</v>
      </c>
      <c r="AC900" s="1" t="str">
        <f>TEXT(Z900, "dddd")</f>
        <v>Saturday</v>
      </c>
      <c r="AD900" s="4" t="s">
        <v>62</v>
      </c>
      <c r="AE900" s="4" t="s">
        <v>62</v>
      </c>
      <c r="AF900" s="4" t="s">
        <v>87</v>
      </c>
      <c r="AG900" s="4" t="s">
        <v>64</v>
      </c>
      <c r="AH900" s="3">
        <v>6</v>
      </c>
    </row>
    <row r="901" spans="1:34">
      <c r="A901" s="4" t="s">
        <v>1885</v>
      </c>
      <c r="B901" s="3">
        <v>31</v>
      </c>
      <c r="C901" s="9" t="str" cm="1">
        <f t="array" ref="C901">_xlfn.IFS(B901&gt;65,"+65",B901&gt;54,"55-65",B901&gt;44,"45-54",B901&gt;35,"36-44",B901&gt;25,"26-35",B901&gt;=18,"18-25")</f>
        <v>26-35</v>
      </c>
      <c r="D901" s="4" t="s">
        <v>66</v>
      </c>
      <c r="E901" s="4" t="s">
        <v>72</v>
      </c>
      <c r="F901" s="4" t="s">
        <v>79</v>
      </c>
      <c r="G901" s="4" t="s">
        <v>53</v>
      </c>
      <c r="H901" s="4" t="s">
        <v>1886</v>
      </c>
      <c r="I901" s="4" t="s">
        <v>97</v>
      </c>
      <c r="J901" s="5">
        <v>236.05</v>
      </c>
      <c r="K901" s="3">
        <v>6</v>
      </c>
      <c r="L901" s="4" t="str">
        <f>IF(AND(J901&gt;350,K901&gt;6), "True","False")</f>
        <v>False</v>
      </c>
      <c r="M901" s="4" t="s">
        <v>71</v>
      </c>
      <c r="N901" s="3">
        <v>2</v>
      </c>
      <c r="O901" s="4" t="str" cm="1">
        <f t="array" ref="O901">_xlfn.IFS(P901&lt;=2,"Poor",P901=3,"Average",P901&gt;=4,"Good")</f>
        <v>Average</v>
      </c>
      <c r="P901" s="3">
        <v>3</v>
      </c>
      <c r="Q901" s="2">
        <v>0</v>
      </c>
      <c r="R901" s="4" t="s">
        <v>57</v>
      </c>
      <c r="S901" s="4" t="s">
        <v>73</v>
      </c>
      <c r="T901" s="3">
        <v>1</v>
      </c>
      <c r="U901" s="4" t="str" cm="1">
        <f t="array" ref="U901">_xlfn.IFS(V901&lt;=4, "Dissatisfied",V901&lt;=7,"Neutral",V901&gt;=8,"Satisfied")</f>
        <v>Dissatisfied</v>
      </c>
      <c r="V901" s="3">
        <v>4</v>
      </c>
      <c r="W901" s="4" t="s">
        <v>72</v>
      </c>
      <c r="X901" s="4" t="s">
        <v>101</v>
      </c>
      <c r="Y901" s="4" t="s">
        <v>111</v>
      </c>
      <c r="Z901" s="1">
        <v>45612</v>
      </c>
      <c r="AA901" s="4" t="str" cm="1">
        <f t="array" ref="AA901">_xlfn.IFS(OR(AB901="December", AB901="February", AB901="January"), "Winter", OR(AB901="March", AB901="April", AB901="May"), "Spring", OR(AB901="June", AB901="July", AB901="August"), "Summer", TRUE, "Autumn")</f>
        <v>Autumn</v>
      </c>
      <c r="AB901" s="7" t="str">
        <f>TEXT(Z901, "mmmm")</f>
        <v>November</v>
      </c>
      <c r="AC901" s="1" t="str">
        <f>TEXT(Z901, "dddd")</f>
        <v>Saturday</v>
      </c>
      <c r="AD901" s="4" t="s">
        <v>76</v>
      </c>
      <c r="AE901" s="4" t="s">
        <v>62</v>
      </c>
      <c r="AF901" s="4" t="s">
        <v>63</v>
      </c>
      <c r="AG901" s="4" t="s">
        <v>88</v>
      </c>
      <c r="AH901" s="3">
        <v>13</v>
      </c>
    </row>
    <row r="902" spans="1:34">
      <c r="A902" s="4" t="s">
        <v>1887</v>
      </c>
      <c r="B902" s="3">
        <v>25</v>
      </c>
      <c r="C902" s="9" t="str" cm="1">
        <f t="array" ref="C902">_xlfn.IFS(B902&gt;65,"+65",B902&gt;54,"55-65",B902&gt;44,"45-54",B902&gt;35,"36-44",B902&gt;25,"26-35",B902&gt;=18,"18-25")</f>
        <v>18-25</v>
      </c>
      <c r="D902" s="4" t="s">
        <v>66</v>
      </c>
      <c r="E902" s="4" t="s">
        <v>51</v>
      </c>
      <c r="F902" s="4" t="s">
        <v>95</v>
      </c>
      <c r="G902" s="4" t="s">
        <v>80</v>
      </c>
      <c r="H902" s="4" t="s">
        <v>1888</v>
      </c>
      <c r="I902" s="4" t="s">
        <v>151</v>
      </c>
      <c r="J902" s="5">
        <v>56.85</v>
      </c>
      <c r="K902" s="3">
        <v>5</v>
      </c>
      <c r="L902" s="4" t="str">
        <f>IF(AND(J902&gt;350,K902&gt;6), "True","False")</f>
        <v>False</v>
      </c>
      <c r="M902" s="4" t="s">
        <v>56</v>
      </c>
      <c r="N902" s="3">
        <v>2</v>
      </c>
      <c r="O902" s="4" t="str" cm="1">
        <f t="array" ref="O902">_xlfn.IFS(P902&lt;=2,"Poor",P902=3,"Average",P902&gt;=4,"Good")</f>
        <v>Poor</v>
      </c>
      <c r="P902" s="3">
        <v>1</v>
      </c>
      <c r="Q902" s="2">
        <v>2</v>
      </c>
      <c r="R902" s="4" t="s">
        <v>57</v>
      </c>
      <c r="S902" s="4" t="s">
        <v>73</v>
      </c>
      <c r="T902" s="3">
        <v>0</v>
      </c>
      <c r="U902" s="4" t="str" cm="1">
        <f t="array" ref="U902">_xlfn.IFS(V902&lt;=4, "Dissatisfied",V902&lt;=7,"Neutral",V902&gt;=8,"Satisfied")</f>
        <v>Dissatisfied</v>
      </c>
      <c r="V902" s="3">
        <v>1</v>
      </c>
      <c r="W902" s="4" t="s">
        <v>72</v>
      </c>
      <c r="X902" s="4" t="s">
        <v>60</v>
      </c>
      <c r="Y902" s="4" t="s">
        <v>61</v>
      </c>
      <c r="Z902" s="1">
        <v>45612</v>
      </c>
      <c r="AA902" s="4" t="str" cm="1">
        <f t="array" ref="AA902">_xlfn.IFS(OR(AB902="December", AB902="February", AB902="January"), "Winter", OR(AB902="March", AB902="April", AB902="May"), "Spring", OR(AB902="June", AB902="July", AB902="August"), "Summer", TRUE, "Autumn")</f>
        <v>Autumn</v>
      </c>
      <c r="AB902" s="7" t="str">
        <f>TEXT(Z902, "mmmm")</f>
        <v>November</v>
      </c>
      <c r="AC902" s="1" t="str">
        <f>TEXT(Z902, "dddd")</f>
        <v>Saturday</v>
      </c>
      <c r="AD902" s="4" t="s">
        <v>62</v>
      </c>
      <c r="AE902" s="4" t="s">
        <v>76</v>
      </c>
      <c r="AF902" s="4" t="s">
        <v>102</v>
      </c>
      <c r="AG902" s="4" t="s">
        <v>64</v>
      </c>
      <c r="AH902" s="3">
        <v>14</v>
      </c>
    </row>
    <row r="903" spans="1:34">
      <c r="A903" s="4" t="s">
        <v>1889</v>
      </c>
      <c r="B903" s="3">
        <v>20</v>
      </c>
      <c r="C903" s="9" t="str" cm="1">
        <f t="array" ref="C903">_xlfn.IFS(B903&gt;65,"+65",B903&gt;54,"55-65",B903&gt;44,"45-54",B903&gt;35,"36-44",B903&gt;25,"26-35",B903&gt;=18,"18-25")</f>
        <v>18-25</v>
      </c>
      <c r="D903" s="4" t="s">
        <v>232</v>
      </c>
      <c r="E903" s="4" t="s">
        <v>72</v>
      </c>
      <c r="F903" s="4" t="s">
        <v>52</v>
      </c>
      <c r="G903" s="4" t="s">
        <v>68</v>
      </c>
      <c r="H903" s="4" t="s">
        <v>1890</v>
      </c>
      <c r="I903" s="4" t="s">
        <v>194</v>
      </c>
      <c r="J903" s="5">
        <v>207.18</v>
      </c>
      <c r="K903" s="3">
        <v>11</v>
      </c>
      <c r="L903" s="4" t="str">
        <f>IF(AND(J903&gt;350,K903&gt;6), "True","False")</f>
        <v>False</v>
      </c>
      <c r="M903" s="4" t="s">
        <v>56</v>
      </c>
      <c r="N903" s="3">
        <v>1</v>
      </c>
      <c r="O903" s="4" t="str" cm="1">
        <f t="array" ref="O903">_xlfn.IFS(P903&lt;=2,"Poor",P903=3,"Average",P903&gt;=4,"Good")</f>
        <v>Average</v>
      </c>
      <c r="P903" s="3">
        <v>3</v>
      </c>
      <c r="Q903" s="2">
        <v>0</v>
      </c>
      <c r="R903" s="4" t="s">
        <v>59</v>
      </c>
      <c r="S903" s="4" t="s">
        <v>84</v>
      </c>
      <c r="T903" s="3">
        <v>1</v>
      </c>
      <c r="U903" s="4" t="str" cm="1">
        <f t="array" ref="U903">_xlfn.IFS(V903&lt;=4, "Dissatisfied",V903&lt;=7,"Neutral",V903&gt;=8,"Satisfied")</f>
        <v>Neutral</v>
      </c>
      <c r="V903" s="3">
        <v>5</v>
      </c>
      <c r="W903" s="4" t="s">
        <v>72</v>
      </c>
      <c r="X903" s="4" t="s">
        <v>74</v>
      </c>
      <c r="Y903" s="4" t="s">
        <v>86</v>
      </c>
      <c r="Z903" s="1">
        <v>45612</v>
      </c>
      <c r="AA903" s="4" t="str" cm="1">
        <f t="array" ref="AA903">_xlfn.IFS(OR(AB903="December", AB903="February", AB903="January"), "Winter", OR(AB903="March", AB903="April", AB903="May"), "Spring", OR(AB903="June", AB903="July", AB903="August"), "Summer", TRUE, "Autumn")</f>
        <v>Autumn</v>
      </c>
      <c r="AB903" s="7" t="str">
        <f>TEXT(Z903, "mmmm")</f>
        <v>November</v>
      </c>
      <c r="AC903" s="1" t="str">
        <f>TEXT(Z903, "dddd")</f>
        <v>Saturday</v>
      </c>
      <c r="AD903" s="4" t="s">
        <v>76</v>
      </c>
      <c r="AE903" s="4" t="s">
        <v>76</v>
      </c>
      <c r="AF903" s="4" t="s">
        <v>102</v>
      </c>
      <c r="AG903" s="4" t="s">
        <v>64</v>
      </c>
      <c r="AH903" s="3">
        <v>8</v>
      </c>
    </row>
    <row r="904" spans="1:34">
      <c r="A904" s="4" t="s">
        <v>1891</v>
      </c>
      <c r="B904" s="3">
        <v>46</v>
      </c>
      <c r="C904" s="9" t="str" cm="1">
        <f t="array" ref="C904">_xlfn.IFS(B904&gt;65,"+65",B904&gt;54,"55-65",B904&gt;44,"45-54",B904&gt;35,"36-44",B904&gt;25,"26-35",B904&gt;=18,"18-25")</f>
        <v>45-54</v>
      </c>
      <c r="D904" s="4" t="s">
        <v>78</v>
      </c>
      <c r="E904" s="4" t="s">
        <v>51</v>
      </c>
      <c r="F904" s="4" t="s">
        <v>67</v>
      </c>
      <c r="G904" s="4" t="s">
        <v>68</v>
      </c>
      <c r="H904" s="4" t="s">
        <v>1892</v>
      </c>
      <c r="I904" s="4" t="s">
        <v>133</v>
      </c>
      <c r="J904" s="5">
        <v>54.46</v>
      </c>
      <c r="K904" s="3">
        <v>5</v>
      </c>
      <c r="L904" s="4" t="str">
        <f>IF(AND(J904&gt;350,K904&gt;6), "True","False")</f>
        <v>False</v>
      </c>
      <c r="M904" s="4" t="s">
        <v>56</v>
      </c>
      <c r="N904" s="3">
        <v>4</v>
      </c>
      <c r="O904" s="4" t="str" cm="1">
        <f t="array" ref="O904">_xlfn.IFS(P904&lt;=2,"Poor",P904=3,"Average",P904&gt;=4,"Good")</f>
        <v>Good</v>
      </c>
      <c r="P904" s="3">
        <v>5</v>
      </c>
      <c r="Q904" s="2">
        <v>1</v>
      </c>
      <c r="R904" s="4" t="s">
        <v>72</v>
      </c>
      <c r="S904" s="4" t="s">
        <v>58</v>
      </c>
      <c r="T904" s="3">
        <v>1</v>
      </c>
      <c r="U904" s="4" t="str" cm="1">
        <f t="array" ref="U904">_xlfn.IFS(V904&lt;=4, "Dissatisfied",V904&lt;=7,"Neutral",V904&gt;=8,"Satisfied")</f>
        <v>Dissatisfied</v>
      </c>
      <c r="V904" s="3">
        <v>1</v>
      </c>
      <c r="W904" s="4" t="s">
        <v>59</v>
      </c>
      <c r="X904" s="4" t="s">
        <v>74</v>
      </c>
      <c r="Y904" s="4" t="s">
        <v>111</v>
      </c>
      <c r="Z904" s="1">
        <v>45613</v>
      </c>
      <c r="AA904" s="4" t="str" cm="1">
        <f t="array" ref="AA904">_xlfn.IFS(OR(AB904="December", AB904="February", AB904="January"), "Winter", OR(AB904="March", AB904="April", AB904="May"), "Spring", OR(AB904="June", AB904="July", AB904="August"), "Summer", TRUE, "Autumn")</f>
        <v>Autumn</v>
      </c>
      <c r="AB904" s="7" t="str">
        <f>TEXT(Z904, "mmmm")</f>
        <v>November</v>
      </c>
      <c r="AC904" s="1" t="str">
        <f>TEXT(Z904, "dddd")</f>
        <v>Sunday</v>
      </c>
      <c r="AD904" s="4" t="s">
        <v>76</v>
      </c>
      <c r="AE904" s="4" t="s">
        <v>76</v>
      </c>
      <c r="AF904" s="4" t="s">
        <v>92</v>
      </c>
      <c r="AG904" s="4" t="s">
        <v>64</v>
      </c>
      <c r="AH904" s="3">
        <v>1</v>
      </c>
    </row>
    <row r="905" spans="1:34">
      <c r="A905" s="4" t="s">
        <v>1893</v>
      </c>
      <c r="B905" s="3">
        <v>43</v>
      </c>
      <c r="C905" s="9" t="str" cm="1">
        <f t="array" ref="C905">_xlfn.IFS(B905&gt;65,"+65",B905&gt;54,"55-65",B905&gt;44,"45-54",B905&gt;35,"36-44",B905&gt;25,"26-35",B905&gt;=18,"18-25")</f>
        <v>36-44</v>
      </c>
      <c r="D905" s="4" t="s">
        <v>66</v>
      </c>
      <c r="E905" s="4" t="s">
        <v>51</v>
      </c>
      <c r="F905" s="4" t="s">
        <v>67</v>
      </c>
      <c r="G905" s="4" t="s">
        <v>53</v>
      </c>
      <c r="H905" s="4" t="s">
        <v>1894</v>
      </c>
      <c r="I905" s="4" t="s">
        <v>97</v>
      </c>
      <c r="J905" s="5">
        <v>319.39</v>
      </c>
      <c r="K905" s="3">
        <v>7</v>
      </c>
      <c r="L905" s="4" t="str">
        <f>IF(AND(J905&gt;350,K905&gt;6), "True","False")</f>
        <v>False</v>
      </c>
      <c r="M905" s="4" t="s">
        <v>83</v>
      </c>
      <c r="N905" s="3">
        <v>4</v>
      </c>
      <c r="O905" s="4" t="str" cm="1">
        <f t="array" ref="O905">_xlfn.IFS(P905&lt;=2,"Poor",P905=3,"Average",P905&gt;=4,"Good")</f>
        <v>Good</v>
      </c>
      <c r="P905" s="3">
        <v>5</v>
      </c>
      <c r="Q905" s="2">
        <v>0</v>
      </c>
      <c r="R905" s="4" t="s">
        <v>57</v>
      </c>
      <c r="S905" s="4" t="s">
        <v>73</v>
      </c>
      <c r="T905" s="3">
        <v>1</v>
      </c>
      <c r="U905" s="4" t="str" cm="1">
        <f t="array" ref="U905">_xlfn.IFS(V905&lt;=4, "Dissatisfied",V905&lt;=7,"Neutral",V905&gt;=8,"Satisfied")</f>
        <v>Satisfied</v>
      </c>
      <c r="V905" s="3">
        <v>10</v>
      </c>
      <c r="W905" s="4" t="s">
        <v>72</v>
      </c>
      <c r="X905" s="4" t="s">
        <v>101</v>
      </c>
      <c r="Y905" s="4" t="s">
        <v>119</v>
      </c>
      <c r="Z905" s="1">
        <v>45613</v>
      </c>
      <c r="AA905" s="4" t="str" cm="1">
        <f t="array" ref="AA905">_xlfn.IFS(OR(AB905="December", AB905="February", AB905="January"), "Winter", OR(AB905="March", AB905="April", AB905="May"), "Spring", OR(AB905="June", AB905="July", AB905="August"), "Summer", TRUE, "Autumn")</f>
        <v>Autumn</v>
      </c>
      <c r="AB905" s="7" t="str">
        <f>TEXT(Z905, "mmmm")</f>
        <v>November</v>
      </c>
      <c r="AC905" s="1" t="str">
        <f>TEXT(Z905, "dddd")</f>
        <v>Sunday</v>
      </c>
      <c r="AD905" s="4" t="s">
        <v>76</v>
      </c>
      <c r="AE905" s="4" t="s">
        <v>62</v>
      </c>
      <c r="AF905" s="4" t="s">
        <v>87</v>
      </c>
      <c r="AG905" s="4" t="s">
        <v>64</v>
      </c>
      <c r="AH905" s="3">
        <v>3</v>
      </c>
    </row>
    <row r="906" spans="1:34">
      <c r="A906" s="4" t="s">
        <v>1895</v>
      </c>
      <c r="B906" s="3">
        <v>40</v>
      </c>
      <c r="C906" s="9" t="str" cm="1">
        <f t="array" ref="C906">_xlfn.IFS(B906&gt;65,"+65",B906&gt;54,"55-65",B906&gt;44,"45-54",B906&gt;35,"36-44",B906&gt;25,"26-35",B906&gt;=18,"18-25")</f>
        <v>36-44</v>
      </c>
      <c r="D906" s="4" t="s">
        <v>66</v>
      </c>
      <c r="E906" s="4" t="s">
        <v>72</v>
      </c>
      <c r="F906" s="4" t="s">
        <v>67</v>
      </c>
      <c r="G906" s="4" t="s">
        <v>80</v>
      </c>
      <c r="H906" s="4" t="s">
        <v>1896</v>
      </c>
      <c r="I906" s="4" t="s">
        <v>172</v>
      </c>
      <c r="J906" s="5">
        <v>334.67</v>
      </c>
      <c r="K906" s="3">
        <v>12</v>
      </c>
      <c r="L906" s="4" t="str">
        <f>IF(AND(J906&gt;350,K906&gt;6), "True","False")</f>
        <v>False</v>
      </c>
      <c r="M906" s="4" t="s">
        <v>71</v>
      </c>
      <c r="N906" s="3">
        <v>2</v>
      </c>
      <c r="O906" s="4" t="str" cm="1">
        <f t="array" ref="O906">_xlfn.IFS(P906&lt;=2,"Poor",P906=3,"Average",P906&gt;=4,"Good")</f>
        <v>Poor</v>
      </c>
      <c r="P906" s="3">
        <v>1</v>
      </c>
      <c r="Q906" s="2">
        <v>2</v>
      </c>
      <c r="R906" s="4" t="s">
        <v>57</v>
      </c>
      <c r="S906" s="4" t="s">
        <v>84</v>
      </c>
      <c r="T906" s="3">
        <v>2</v>
      </c>
      <c r="U906" s="4" t="str" cm="1">
        <f t="array" ref="U906">_xlfn.IFS(V906&lt;=4, "Dissatisfied",V906&lt;=7,"Neutral",V906&gt;=8,"Satisfied")</f>
        <v>Neutral</v>
      </c>
      <c r="V906" s="3">
        <v>5</v>
      </c>
      <c r="W906" s="4" t="s">
        <v>57</v>
      </c>
      <c r="X906" s="4" t="s">
        <v>74</v>
      </c>
      <c r="Y906" s="4" t="s">
        <v>75</v>
      </c>
      <c r="Z906" s="1">
        <v>45614</v>
      </c>
      <c r="AA906" s="4" t="str" cm="1">
        <f t="array" ref="AA906">_xlfn.IFS(OR(AB906="December", AB906="February", AB906="January"), "Winter", OR(AB906="March", AB906="April", AB906="May"), "Spring", OR(AB906="June", AB906="July", AB906="August"), "Summer", TRUE, "Autumn")</f>
        <v>Autumn</v>
      </c>
      <c r="AB906" s="7" t="str">
        <f>TEXT(Z906, "mmmm")</f>
        <v>November</v>
      </c>
      <c r="AC906" s="1" t="str">
        <f>TEXT(Z906, "dddd")</f>
        <v>Monday</v>
      </c>
      <c r="AD906" s="4" t="s">
        <v>62</v>
      </c>
      <c r="AE906" s="4" t="s">
        <v>76</v>
      </c>
      <c r="AF906" s="4" t="s">
        <v>63</v>
      </c>
      <c r="AG906" s="4" t="s">
        <v>64</v>
      </c>
      <c r="AH906" s="3">
        <v>13</v>
      </c>
    </row>
    <row r="907" spans="1:34">
      <c r="A907" s="4" t="s">
        <v>1897</v>
      </c>
      <c r="B907" s="3">
        <v>40</v>
      </c>
      <c r="C907" s="9" t="str" cm="1">
        <f t="array" ref="C907">_xlfn.IFS(B907&gt;65,"+65",B907&gt;54,"55-65",B907&gt;44,"45-54",B907&gt;35,"36-44",B907&gt;25,"26-35",B907&gt;=18,"18-25")</f>
        <v>36-44</v>
      </c>
      <c r="D907" s="4" t="s">
        <v>66</v>
      </c>
      <c r="E907" s="4" t="s">
        <v>72</v>
      </c>
      <c r="F907" s="4" t="s">
        <v>67</v>
      </c>
      <c r="G907" s="4" t="s">
        <v>53</v>
      </c>
      <c r="H907" s="4" t="s">
        <v>1898</v>
      </c>
      <c r="I907" s="4" t="s">
        <v>110</v>
      </c>
      <c r="J907" s="5">
        <v>341.24</v>
      </c>
      <c r="K907" s="3">
        <v>9</v>
      </c>
      <c r="L907" s="4" t="str">
        <f>IF(AND(J907&gt;350,K907&gt;6), "True","False")</f>
        <v>False</v>
      </c>
      <c r="M907" s="4" t="s">
        <v>83</v>
      </c>
      <c r="N907" s="3">
        <v>5</v>
      </c>
      <c r="O907" s="4" t="str" cm="1">
        <f t="array" ref="O907">_xlfn.IFS(P907&lt;=2,"Poor",P907=3,"Average",P907&gt;=4,"Good")</f>
        <v>Good</v>
      </c>
      <c r="P907" s="3">
        <v>5</v>
      </c>
      <c r="Q907" s="2">
        <v>2</v>
      </c>
      <c r="R907" s="4" t="s">
        <v>59</v>
      </c>
      <c r="S907" s="4" t="s">
        <v>84</v>
      </c>
      <c r="T907" s="3">
        <v>1</v>
      </c>
      <c r="U907" s="4" t="str" cm="1">
        <f t="array" ref="U907">_xlfn.IFS(V907&lt;=4, "Dissatisfied",V907&lt;=7,"Neutral",V907&gt;=8,"Satisfied")</f>
        <v>Dissatisfied</v>
      </c>
      <c r="V907" s="3">
        <v>3</v>
      </c>
      <c r="W907" s="4" t="s">
        <v>57</v>
      </c>
      <c r="X907" s="4" t="s">
        <v>74</v>
      </c>
      <c r="Y907" s="4" t="s">
        <v>119</v>
      </c>
      <c r="Z907" s="1">
        <v>45614</v>
      </c>
      <c r="AA907" s="4" t="str" cm="1">
        <f t="array" ref="AA907">_xlfn.IFS(OR(AB907="December", AB907="February", AB907="January"), "Winter", OR(AB907="March", AB907="April", AB907="May"), "Spring", OR(AB907="June", AB907="July", AB907="August"), "Summer", TRUE, "Autumn")</f>
        <v>Autumn</v>
      </c>
      <c r="AB907" s="7" t="str">
        <f>TEXT(Z907, "mmmm")</f>
        <v>November</v>
      </c>
      <c r="AC907" s="1" t="str">
        <f>TEXT(Z907, "dddd")</f>
        <v>Monday</v>
      </c>
      <c r="AD907" s="4" t="s">
        <v>62</v>
      </c>
      <c r="AE907" s="4" t="s">
        <v>76</v>
      </c>
      <c r="AF907" s="4" t="s">
        <v>63</v>
      </c>
      <c r="AG907" s="4" t="s">
        <v>64</v>
      </c>
      <c r="AH907" s="3">
        <v>4</v>
      </c>
    </row>
    <row r="908" spans="1:34">
      <c r="A908" s="4" t="s">
        <v>1899</v>
      </c>
      <c r="B908" s="3">
        <v>30</v>
      </c>
      <c r="C908" s="9" t="str" cm="1">
        <f t="array" ref="C908">_xlfn.IFS(B908&gt;65,"+65",B908&gt;54,"55-65",B908&gt;44,"45-54",B908&gt;35,"36-44",B908&gt;25,"26-35",B908&gt;=18,"18-25")</f>
        <v>26-35</v>
      </c>
      <c r="D908" s="4" t="s">
        <v>78</v>
      </c>
      <c r="E908" s="4" t="s">
        <v>51</v>
      </c>
      <c r="F908" s="4" t="s">
        <v>67</v>
      </c>
      <c r="G908" s="4" t="s">
        <v>53</v>
      </c>
      <c r="H908" s="4" t="s">
        <v>1900</v>
      </c>
      <c r="I908" s="4" t="s">
        <v>105</v>
      </c>
      <c r="J908" s="5">
        <v>489.1</v>
      </c>
      <c r="K908" s="3">
        <v>9</v>
      </c>
      <c r="L908" s="4" t="str">
        <f>IF(AND(J908&gt;350,K908&gt;6), "True","False")</f>
        <v>True</v>
      </c>
      <c r="M908" s="4" t="s">
        <v>83</v>
      </c>
      <c r="N908" s="3">
        <v>3</v>
      </c>
      <c r="O908" s="4" t="str" cm="1">
        <f t="array" ref="O908">_xlfn.IFS(P908&lt;=2,"Poor",P908=3,"Average",P908&gt;=4,"Good")</f>
        <v>Good</v>
      </c>
      <c r="P908" s="3">
        <v>4</v>
      </c>
      <c r="Q908" s="2">
        <v>1</v>
      </c>
      <c r="R908" s="4" t="s">
        <v>59</v>
      </c>
      <c r="S908" s="4" t="s">
        <v>84</v>
      </c>
      <c r="T908" s="3">
        <v>2</v>
      </c>
      <c r="U908" s="4" t="str" cm="1">
        <f t="array" ref="U908">_xlfn.IFS(V908&lt;=4, "Dissatisfied",V908&lt;=7,"Neutral",V908&gt;=8,"Satisfied")</f>
        <v>Dissatisfied</v>
      </c>
      <c r="V908" s="3">
        <v>4</v>
      </c>
      <c r="W908" s="4" t="s">
        <v>85</v>
      </c>
      <c r="X908" s="4" t="s">
        <v>60</v>
      </c>
      <c r="Y908" s="4" t="s">
        <v>119</v>
      </c>
      <c r="Z908" s="1">
        <v>45614</v>
      </c>
      <c r="AA908" s="4" t="str" cm="1">
        <f t="array" ref="AA908">_xlfn.IFS(OR(AB908="December", AB908="February", AB908="January"), "Winter", OR(AB908="March", AB908="April", AB908="May"), "Spring", OR(AB908="June", AB908="July", AB908="August"), "Summer", TRUE, "Autumn")</f>
        <v>Autumn</v>
      </c>
      <c r="AB908" s="7" t="str">
        <f>TEXT(Z908, "mmmm")</f>
        <v>November</v>
      </c>
      <c r="AC908" s="1" t="str">
        <f>TEXT(Z908, "dddd")</f>
        <v>Monday</v>
      </c>
      <c r="AD908" s="4" t="s">
        <v>62</v>
      </c>
      <c r="AE908" s="4" t="s">
        <v>76</v>
      </c>
      <c r="AF908" s="4" t="s">
        <v>63</v>
      </c>
      <c r="AG908" s="4" t="s">
        <v>64</v>
      </c>
      <c r="AH908" s="3">
        <v>13</v>
      </c>
    </row>
    <row r="909" spans="1:34">
      <c r="A909" s="4" t="s">
        <v>1901</v>
      </c>
      <c r="B909" s="3">
        <v>24</v>
      </c>
      <c r="C909" s="9" t="str" cm="1">
        <f t="array" ref="C909">_xlfn.IFS(B909&gt;65,"+65",B909&gt;54,"55-65",B909&gt;44,"45-54",B909&gt;35,"36-44",B909&gt;25,"26-35",B909&gt;=18,"18-25")</f>
        <v>18-25</v>
      </c>
      <c r="D909" s="4" t="s">
        <v>66</v>
      </c>
      <c r="E909" s="4" t="s">
        <v>51</v>
      </c>
      <c r="F909" s="4" t="s">
        <v>52</v>
      </c>
      <c r="G909" s="4" t="s">
        <v>80</v>
      </c>
      <c r="H909" s="4" t="s">
        <v>1902</v>
      </c>
      <c r="I909" s="4" t="s">
        <v>100</v>
      </c>
      <c r="J909" s="5">
        <v>263.5</v>
      </c>
      <c r="K909" s="3">
        <v>6</v>
      </c>
      <c r="L909" s="4" t="str">
        <f>IF(AND(J909&gt;350,K909&gt;6), "True","False")</f>
        <v>False</v>
      </c>
      <c r="M909" s="4" t="s">
        <v>83</v>
      </c>
      <c r="N909" s="3">
        <v>3</v>
      </c>
      <c r="O909" s="4" t="str" cm="1">
        <f t="array" ref="O909">_xlfn.IFS(P909&lt;=2,"Poor",P909=3,"Average",P909&gt;=4,"Good")</f>
        <v>Poor</v>
      </c>
      <c r="P909" s="3">
        <v>2</v>
      </c>
      <c r="Q909" s="2">
        <v>2</v>
      </c>
      <c r="R909" s="4" t="s">
        <v>57</v>
      </c>
      <c r="S909" s="4" t="s">
        <v>58</v>
      </c>
      <c r="T909" s="3">
        <v>0</v>
      </c>
      <c r="U909" s="4" t="str" cm="1">
        <f t="array" ref="U909">_xlfn.IFS(V909&lt;=4, "Dissatisfied",V909&lt;=7,"Neutral",V909&gt;=8,"Satisfied")</f>
        <v>Satisfied</v>
      </c>
      <c r="V909" s="3">
        <v>8</v>
      </c>
      <c r="W909" s="4" t="s">
        <v>59</v>
      </c>
      <c r="X909" s="4" t="s">
        <v>74</v>
      </c>
      <c r="Y909" s="4" t="s">
        <v>75</v>
      </c>
      <c r="Z909" s="1">
        <v>45614</v>
      </c>
      <c r="AA909" s="4" t="str" cm="1">
        <f t="array" ref="AA909">_xlfn.IFS(OR(AB909="December", AB909="February", AB909="January"), "Winter", OR(AB909="March", AB909="April", AB909="May"), "Spring", OR(AB909="June", AB909="July", AB909="August"), "Summer", TRUE, "Autumn")</f>
        <v>Autumn</v>
      </c>
      <c r="AB909" s="7" t="str">
        <f>TEXT(Z909, "mmmm")</f>
        <v>November</v>
      </c>
      <c r="AC909" s="1" t="str">
        <f>TEXT(Z909, "dddd")</f>
        <v>Monday</v>
      </c>
      <c r="AD909" s="4" t="s">
        <v>76</v>
      </c>
      <c r="AE909" s="4" t="s">
        <v>76</v>
      </c>
      <c r="AF909" s="4" t="s">
        <v>87</v>
      </c>
      <c r="AG909" s="4" t="s">
        <v>64</v>
      </c>
      <c r="AH909" s="3">
        <v>1</v>
      </c>
    </row>
    <row r="910" spans="1:34">
      <c r="A910" s="4" t="s">
        <v>1903</v>
      </c>
      <c r="B910" s="3">
        <v>29</v>
      </c>
      <c r="C910" s="9" t="str" cm="1">
        <f t="array" ref="C910">_xlfn.IFS(B910&gt;65,"+65",B910&gt;54,"55-65",B910&gt;44,"45-54",B910&gt;35,"36-44",B910&gt;25,"26-35",B910&gt;=18,"18-25")</f>
        <v>26-35</v>
      </c>
      <c r="D910" s="4" t="s">
        <v>66</v>
      </c>
      <c r="E910" s="4" t="s">
        <v>72</v>
      </c>
      <c r="F910" s="4" t="s">
        <v>67</v>
      </c>
      <c r="G910" s="4" t="s">
        <v>80</v>
      </c>
      <c r="H910" s="4" t="s">
        <v>1904</v>
      </c>
      <c r="I910" s="4" t="s">
        <v>122</v>
      </c>
      <c r="J910" s="5">
        <v>340.55</v>
      </c>
      <c r="K910" s="3">
        <v>7</v>
      </c>
      <c r="L910" s="4" t="str">
        <f>IF(AND(J910&gt;350,K910&gt;6), "True","False")</f>
        <v>False</v>
      </c>
      <c r="M910" s="4" t="s">
        <v>71</v>
      </c>
      <c r="N910" s="3">
        <v>4</v>
      </c>
      <c r="O910" s="4" t="str" cm="1">
        <f t="array" ref="O910">_xlfn.IFS(P910&lt;=2,"Poor",P910=3,"Average",P910&gt;=4,"Good")</f>
        <v>Good</v>
      </c>
      <c r="P910" s="3">
        <v>5</v>
      </c>
      <c r="Q910" s="2">
        <v>0</v>
      </c>
      <c r="R910" s="4" t="s">
        <v>59</v>
      </c>
      <c r="S910" s="4" t="s">
        <v>58</v>
      </c>
      <c r="T910" s="3">
        <v>0</v>
      </c>
      <c r="U910" s="4" t="str" cm="1">
        <f t="array" ref="U910">_xlfn.IFS(V910&lt;=4, "Dissatisfied",V910&lt;=7,"Neutral",V910&gt;=8,"Satisfied")</f>
        <v>Neutral</v>
      </c>
      <c r="V910" s="3">
        <v>7</v>
      </c>
      <c r="W910" s="4" t="s">
        <v>57</v>
      </c>
      <c r="X910" s="4" t="s">
        <v>101</v>
      </c>
      <c r="Y910" s="4" t="s">
        <v>119</v>
      </c>
      <c r="Z910" s="1">
        <v>45615</v>
      </c>
      <c r="AA910" s="4" t="str" cm="1">
        <f t="array" ref="AA910">_xlfn.IFS(OR(AB910="December", AB910="February", AB910="January"), "Winter", OR(AB910="March", AB910="April", AB910="May"), "Spring", OR(AB910="June", AB910="July", AB910="August"), "Summer", TRUE, "Autumn")</f>
        <v>Autumn</v>
      </c>
      <c r="AB910" s="7" t="str">
        <f>TEXT(Z910, "mmmm")</f>
        <v>November</v>
      </c>
      <c r="AC910" s="1" t="str">
        <f>TEXT(Z910, "dddd")</f>
        <v>Tuesday</v>
      </c>
      <c r="AD910" s="4" t="s">
        <v>76</v>
      </c>
      <c r="AE910" s="4" t="s">
        <v>62</v>
      </c>
      <c r="AF910" s="4" t="s">
        <v>87</v>
      </c>
      <c r="AG910" s="4" t="s">
        <v>93</v>
      </c>
      <c r="AH910" s="3">
        <v>1</v>
      </c>
    </row>
    <row r="911" spans="1:34">
      <c r="A911" s="4" t="s">
        <v>1905</v>
      </c>
      <c r="B911" s="3">
        <v>27</v>
      </c>
      <c r="C911" s="9" t="str" cm="1">
        <f t="array" ref="C911">_xlfn.IFS(B911&gt;65,"+65",B911&gt;54,"55-65",B911&gt;44,"45-54",B911&gt;35,"36-44",B911&gt;25,"26-35",B911&gt;=18,"18-25")</f>
        <v>26-35</v>
      </c>
      <c r="D911" s="4" t="s">
        <v>78</v>
      </c>
      <c r="E911" s="4" t="s">
        <v>72</v>
      </c>
      <c r="F911" s="4" t="s">
        <v>52</v>
      </c>
      <c r="G911" s="4" t="s">
        <v>53</v>
      </c>
      <c r="H911" s="4" t="s">
        <v>1906</v>
      </c>
      <c r="I911" s="4" t="s">
        <v>133</v>
      </c>
      <c r="J911" s="5">
        <v>388.01</v>
      </c>
      <c r="K911" s="3">
        <v>2</v>
      </c>
      <c r="L911" s="4" t="str">
        <f>IF(AND(J911&gt;350,K911&gt;6), "True","False")</f>
        <v>False</v>
      </c>
      <c r="M911" s="4" t="s">
        <v>56</v>
      </c>
      <c r="N911" s="3">
        <v>1</v>
      </c>
      <c r="O911" s="4" t="str" cm="1">
        <f t="array" ref="O911">_xlfn.IFS(P911&lt;=2,"Poor",P911=3,"Average",P911&gt;=4,"Good")</f>
        <v>Good</v>
      </c>
      <c r="P911" s="3">
        <v>5</v>
      </c>
      <c r="Q911" s="2">
        <v>1</v>
      </c>
      <c r="R911" s="4" t="s">
        <v>72</v>
      </c>
      <c r="S911" s="4" t="s">
        <v>73</v>
      </c>
      <c r="T911" s="3">
        <v>1</v>
      </c>
      <c r="U911" s="4" t="str" cm="1">
        <f t="array" ref="U911">_xlfn.IFS(V911&lt;=4, "Dissatisfied",V911&lt;=7,"Neutral",V911&gt;=8,"Satisfied")</f>
        <v>Dissatisfied</v>
      </c>
      <c r="V911" s="3">
        <v>2</v>
      </c>
      <c r="W911" s="4" t="s">
        <v>57</v>
      </c>
      <c r="X911" s="4" t="s">
        <v>74</v>
      </c>
      <c r="Y911" s="4" t="s">
        <v>86</v>
      </c>
      <c r="Z911" s="1">
        <v>45615</v>
      </c>
      <c r="AA911" s="4" t="str" cm="1">
        <f t="array" ref="AA911">_xlfn.IFS(OR(AB911="December", AB911="February", AB911="January"), "Winter", OR(AB911="March", AB911="April", AB911="May"), "Spring", OR(AB911="June", AB911="July", AB911="August"), "Summer", TRUE, "Autumn")</f>
        <v>Autumn</v>
      </c>
      <c r="AB911" s="7" t="str">
        <f>TEXT(Z911, "mmmm")</f>
        <v>November</v>
      </c>
      <c r="AC911" s="1" t="str">
        <f>TEXT(Z911, "dddd")</f>
        <v>Tuesday</v>
      </c>
      <c r="AD911" s="4" t="s">
        <v>76</v>
      </c>
      <c r="AE911" s="4" t="s">
        <v>62</v>
      </c>
      <c r="AF911" s="4" t="s">
        <v>102</v>
      </c>
      <c r="AG911" s="4" t="s">
        <v>64</v>
      </c>
      <c r="AH911" s="3">
        <v>10</v>
      </c>
    </row>
    <row r="912" spans="1:34">
      <c r="A912" s="4" t="s">
        <v>1907</v>
      </c>
      <c r="B912" s="3">
        <v>27</v>
      </c>
      <c r="C912" s="9" t="str" cm="1">
        <f t="array" ref="C912">_xlfn.IFS(B912&gt;65,"+65",B912&gt;54,"55-65",B912&gt;44,"45-54",B912&gt;35,"36-44",B912&gt;25,"26-35",B912&gt;=18,"18-25")</f>
        <v>26-35</v>
      </c>
      <c r="D912" s="4" t="s">
        <v>66</v>
      </c>
      <c r="E912" s="4" t="s">
        <v>51</v>
      </c>
      <c r="F912" s="4" t="s">
        <v>95</v>
      </c>
      <c r="G912" s="4" t="s">
        <v>68</v>
      </c>
      <c r="H912" s="4" t="s">
        <v>1908</v>
      </c>
      <c r="I912" s="4" t="s">
        <v>97</v>
      </c>
      <c r="J912" s="5">
        <v>476.63</v>
      </c>
      <c r="K912" s="3">
        <v>9</v>
      </c>
      <c r="L912" s="4" t="str">
        <f>IF(AND(J912&gt;350,K912&gt;6), "True","False")</f>
        <v>True</v>
      </c>
      <c r="M912" s="4" t="s">
        <v>71</v>
      </c>
      <c r="N912" s="3">
        <v>3</v>
      </c>
      <c r="O912" s="4" t="str" cm="1">
        <f t="array" ref="O912">_xlfn.IFS(P912&lt;=2,"Poor",P912=3,"Average",P912&gt;=4,"Good")</f>
        <v>Good</v>
      </c>
      <c r="P912" s="3">
        <v>5</v>
      </c>
      <c r="Q912" s="2">
        <v>2</v>
      </c>
      <c r="R912" s="4" t="s">
        <v>85</v>
      </c>
      <c r="S912" s="4" t="s">
        <v>58</v>
      </c>
      <c r="T912" s="3">
        <v>2</v>
      </c>
      <c r="U912" s="4" t="str" cm="1">
        <f t="array" ref="U912">_xlfn.IFS(V912&lt;=4, "Dissatisfied",V912&lt;=7,"Neutral",V912&gt;=8,"Satisfied")</f>
        <v>Dissatisfied</v>
      </c>
      <c r="V912" s="3">
        <v>2</v>
      </c>
      <c r="W912" s="4" t="s">
        <v>57</v>
      </c>
      <c r="X912" s="4" t="s">
        <v>101</v>
      </c>
      <c r="Y912" s="4" t="s">
        <v>75</v>
      </c>
      <c r="Z912" s="1">
        <v>45615</v>
      </c>
      <c r="AA912" s="4" t="str" cm="1">
        <f t="array" ref="AA912">_xlfn.IFS(OR(AB912="December", AB912="February", AB912="January"), "Winter", OR(AB912="March", AB912="April", AB912="May"), "Spring", OR(AB912="June", AB912="July", AB912="August"), "Summer", TRUE, "Autumn")</f>
        <v>Autumn</v>
      </c>
      <c r="AB912" s="7" t="str">
        <f>TEXT(Z912, "mmmm")</f>
        <v>November</v>
      </c>
      <c r="AC912" s="1" t="str">
        <f>TEXT(Z912, "dddd")</f>
        <v>Tuesday</v>
      </c>
      <c r="AD912" s="4" t="s">
        <v>62</v>
      </c>
      <c r="AE912" s="4" t="s">
        <v>76</v>
      </c>
      <c r="AF912" s="4" t="s">
        <v>92</v>
      </c>
      <c r="AG912" s="4" t="s">
        <v>88</v>
      </c>
      <c r="AH912" s="3">
        <v>1</v>
      </c>
    </row>
    <row r="913" spans="1:34">
      <c r="A913" s="4" t="s">
        <v>1909</v>
      </c>
      <c r="B913" s="3">
        <v>22</v>
      </c>
      <c r="C913" s="9" t="str" cm="1">
        <f t="array" ref="C913">_xlfn.IFS(B913&gt;65,"+65",B913&gt;54,"55-65",B913&gt;44,"45-54",B913&gt;35,"36-44",B913&gt;25,"26-35",B913&gt;=18,"18-25")</f>
        <v>18-25</v>
      </c>
      <c r="D913" s="4" t="s">
        <v>225</v>
      </c>
      <c r="E913" s="4" t="s">
        <v>51</v>
      </c>
      <c r="F913" s="4" t="s">
        <v>79</v>
      </c>
      <c r="G913" s="4" t="s">
        <v>68</v>
      </c>
      <c r="H913" s="4" t="s">
        <v>1910</v>
      </c>
      <c r="I913" s="4" t="s">
        <v>97</v>
      </c>
      <c r="J913" s="5">
        <v>324.39</v>
      </c>
      <c r="K913" s="3">
        <v>5</v>
      </c>
      <c r="L913" s="4" t="str">
        <f>IF(AND(J913&gt;350,K913&gt;6), "True","False")</f>
        <v>False</v>
      </c>
      <c r="M913" s="4" t="s">
        <v>56</v>
      </c>
      <c r="N913" s="3">
        <v>2</v>
      </c>
      <c r="O913" s="4" t="str" cm="1">
        <f t="array" ref="O913">_xlfn.IFS(P913&lt;=2,"Poor",P913=3,"Average",P913&gt;=4,"Good")</f>
        <v>Poor</v>
      </c>
      <c r="P913" s="3">
        <v>2</v>
      </c>
      <c r="Q913" s="2">
        <v>0</v>
      </c>
      <c r="R913" s="4" t="s">
        <v>72</v>
      </c>
      <c r="S913" s="4" t="s">
        <v>73</v>
      </c>
      <c r="T913" s="3">
        <v>1</v>
      </c>
      <c r="U913" s="4" t="str" cm="1">
        <f t="array" ref="U913">_xlfn.IFS(V913&lt;=4, "Dissatisfied",V913&lt;=7,"Neutral",V913&gt;=8,"Satisfied")</f>
        <v>Neutral</v>
      </c>
      <c r="V913" s="3">
        <v>6</v>
      </c>
      <c r="W913" s="4" t="s">
        <v>85</v>
      </c>
      <c r="X913" s="4" t="s">
        <v>101</v>
      </c>
      <c r="Y913" s="4" t="s">
        <v>86</v>
      </c>
      <c r="Z913" s="1">
        <v>45615</v>
      </c>
      <c r="AA913" s="4" t="str" cm="1">
        <f t="array" ref="AA913">_xlfn.IFS(OR(AB913="December", AB913="February", AB913="January"), "Winter", OR(AB913="March", AB913="April", AB913="May"), "Spring", OR(AB913="June", AB913="July", AB913="August"), "Summer", TRUE, "Autumn")</f>
        <v>Autumn</v>
      </c>
      <c r="AB913" s="7" t="str">
        <f>TEXT(Z913, "mmmm")</f>
        <v>November</v>
      </c>
      <c r="AC913" s="1" t="str">
        <f>TEXT(Z913, "dddd")</f>
        <v>Tuesday</v>
      </c>
      <c r="AD913" s="4" t="s">
        <v>62</v>
      </c>
      <c r="AE913" s="4" t="s">
        <v>76</v>
      </c>
      <c r="AF913" s="4" t="s">
        <v>63</v>
      </c>
      <c r="AG913" s="4" t="s">
        <v>93</v>
      </c>
      <c r="AH913" s="3">
        <v>1</v>
      </c>
    </row>
    <row r="914" spans="1:34">
      <c r="A914" s="4" t="s">
        <v>1911</v>
      </c>
      <c r="B914" s="3">
        <v>43</v>
      </c>
      <c r="C914" s="9" t="str" cm="1">
        <f t="array" ref="C914">_xlfn.IFS(B914&gt;65,"+65",B914&gt;54,"55-65",B914&gt;44,"45-54",B914&gt;35,"36-44",B914&gt;25,"26-35",B914&gt;=18,"18-25")</f>
        <v>36-44</v>
      </c>
      <c r="D914" s="4" t="s">
        <v>66</v>
      </c>
      <c r="E914" s="4" t="s">
        <v>72</v>
      </c>
      <c r="F914" s="4" t="s">
        <v>79</v>
      </c>
      <c r="G914" s="4" t="s">
        <v>80</v>
      </c>
      <c r="H914" s="4" t="s">
        <v>1912</v>
      </c>
      <c r="I914" s="4" t="s">
        <v>97</v>
      </c>
      <c r="J914" s="5">
        <v>260.22000000000003</v>
      </c>
      <c r="K914" s="3">
        <v>11</v>
      </c>
      <c r="L914" s="4" t="str">
        <f>IF(AND(J914&gt;350,K914&gt;6), "True","False")</f>
        <v>False</v>
      </c>
      <c r="M914" s="4" t="s">
        <v>71</v>
      </c>
      <c r="N914" s="3">
        <v>4</v>
      </c>
      <c r="O914" s="4" t="str" cm="1">
        <f t="array" ref="O914">_xlfn.IFS(P914&lt;=2,"Poor",P914=3,"Average",P914&gt;=4,"Good")</f>
        <v>Average</v>
      </c>
      <c r="P914" s="3">
        <v>3</v>
      </c>
      <c r="Q914" s="2">
        <v>0</v>
      </c>
      <c r="R914" s="4" t="s">
        <v>57</v>
      </c>
      <c r="S914" s="4" t="s">
        <v>58</v>
      </c>
      <c r="T914" s="3">
        <v>2</v>
      </c>
      <c r="U914" s="4" t="str" cm="1">
        <f t="array" ref="U914">_xlfn.IFS(V914&lt;=4, "Dissatisfied",V914&lt;=7,"Neutral",V914&gt;=8,"Satisfied")</f>
        <v>Neutral</v>
      </c>
      <c r="V914" s="3">
        <v>5</v>
      </c>
      <c r="W914" s="4" t="s">
        <v>72</v>
      </c>
      <c r="X914" s="4" t="s">
        <v>101</v>
      </c>
      <c r="Y914" s="4" t="s">
        <v>119</v>
      </c>
      <c r="Z914" s="1">
        <v>45616</v>
      </c>
      <c r="AA914" s="4" t="str" cm="1">
        <f t="array" ref="AA914">_xlfn.IFS(OR(AB914="December", AB914="February", AB914="January"), "Winter", OR(AB914="March", AB914="April", AB914="May"), "Spring", OR(AB914="June", AB914="July", AB914="August"), "Summer", TRUE, "Autumn")</f>
        <v>Autumn</v>
      </c>
      <c r="AB914" s="7" t="str">
        <f>TEXT(Z914, "mmmm")</f>
        <v>November</v>
      </c>
      <c r="AC914" s="1" t="str">
        <f>TEXT(Z914, "dddd")</f>
        <v>Wednesday</v>
      </c>
      <c r="AD914" s="4" t="s">
        <v>76</v>
      </c>
      <c r="AE914" s="4" t="s">
        <v>62</v>
      </c>
      <c r="AF914" s="4" t="s">
        <v>63</v>
      </c>
      <c r="AG914" s="4" t="s">
        <v>93</v>
      </c>
      <c r="AH914" s="3">
        <v>13</v>
      </c>
    </row>
    <row r="915" spans="1:34">
      <c r="A915" s="4" t="s">
        <v>1913</v>
      </c>
      <c r="B915" s="3">
        <v>42</v>
      </c>
      <c r="C915" s="9" t="str" cm="1">
        <f t="array" ref="C915">_xlfn.IFS(B915&gt;65,"+65",B915&gt;54,"55-65",B915&gt;44,"45-54",B915&gt;35,"36-44",B915&gt;25,"26-35",B915&gt;=18,"18-25")</f>
        <v>36-44</v>
      </c>
      <c r="D915" s="4" t="s">
        <v>78</v>
      </c>
      <c r="E915" s="4" t="s">
        <v>51</v>
      </c>
      <c r="F915" s="4" t="s">
        <v>67</v>
      </c>
      <c r="G915" s="4" t="s">
        <v>53</v>
      </c>
      <c r="H915" s="4" t="s">
        <v>1914</v>
      </c>
      <c r="I915" s="4" t="s">
        <v>110</v>
      </c>
      <c r="J915" s="5">
        <v>131.36000000000001</v>
      </c>
      <c r="K915" s="3">
        <v>4</v>
      </c>
      <c r="L915" s="4" t="str">
        <f>IF(AND(J915&gt;350,K915&gt;6), "True","False")</f>
        <v>False</v>
      </c>
      <c r="M915" s="4" t="s">
        <v>71</v>
      </c>
      <c r="N915" s="3">
        <v>4</v>
      </c>
      <c r="O915" s="4" t="str" cm="1">
        <f t="array" ref="O915">_xlfn.IFS(P915&lt;=2,"Poor",P915=3,"Average",P915&gt;=4,"Good")</f>
        <v>Good</v>
      </c>
      <c r="P915" s="3">
        <v>4</v>
      </c>
      <c r="Q915" s="2">
        <v>2</v>
      </c>
      <c r="R915" s="4" t="s">
        <v>57</v>
      </c>
      <c r="S915" s="4" t="s">
        <v>84</v>
      </c>
      <c r="T915" s="3">
        <v>1</v>
      </c>
      <c r="U915" s="4" t="str" cm="1">
        <f t="array" ref="U915">_xlfn.IFS(V915&lt;=4, "Dissatisfied",V915&lt;=7,"Neutral",V915&gt;=8,"Satisfied")</f>
        <v>Neutral</v>
      </c>
      <c r="V915" s="3">
        <v>6</v>
      </c>
      <c r="W915" s="4" t="s">
        <v>72</v>
      </c>
      <c r="X915" s="4" t="s">
        <v>60</v>
      </c>
      <c r="Y915" s="4" t="s">
        <v>75</v>
      </c>
      <c r="Z915" s="1">
        <v>45617</v>
      </c>
      <c r="AA915" s="4" t="str" cm="1">
        <f t="array" ref="AA915">_xlfn.IFS(OR(AB915="December", AB915="February", AB915="January"), "Winter", OR(AB915="March", AB915="April", AB915="May"), "Spring", OR(AB915="June", AB915="July", AB915="August"), "Summer", TRUE, "Autumn")</f>
        <v>Autumn</v>
      </c>
      <c r="AB915" s="7" t="str">
        <f>TEXT(Z915, "mmmm")</f>
        <v>November</v>
      </c>
      <c r="AC915" s="1" t="str">
        <f>TEXT(Z915, "dddd")</f>
        <v>Thursday</v>
      </c>
      <c r="AD915" s="4" t="s">
        <v>76</v>
      </c>
      <c r="AE915" s="4" t="s">
        <v>76</v>
      </c>
      <c r="AF915" s="4" t="s">
        <v>102</v>
      </c>
      <c r="AG915" s="4" t="s">
        <v>93</v>
      </c>
      <c r="AH915" s="3">
        <v>3</v>
      </c>
    </row>
    <row r="916" spans="1:34">
      <c r="A916" s="4" t="s">
        <v>1915</v>
      </c>
      <c r="B916" s="3">
        <v>41</v>
      </c>
      <c r="C916" s="9" t="str" cm="1">
        <f t="array" ref="C916">_xlfn.IFS(B916&gt;65,"+65",B916&gt;54,"55-65",B916&gt;44,"45-54",B916&gt;35,"36-44",B916&gt;25,"26-35",B916&gt;=18,"18-25")</f>
        <v>36-44</v>
      </c>
      <c r="D916" s="4" t="s">
        <v>78</v>
      </c>
      <c r="E916" s="4" t="s">
        <v>72</v>
      </c>
      <c r="F916" s="4" t="s">
        <v>52</v>
      </c>
      <c r="G916" s="4" t="s">
        <v>80</v>
      </c>
      <c r="H916" s="4" t="s">
        <v>1916</v>
      </c>
      <c r="I916" s="4" t="s">
        <v>70</v>
      </c>
      <c r="J916" s="5">
        <v>229.97</v>
      </c>
      <c r="K916" s="3">
        <v>7</v>
      </c>
      <c r="L916" s="4" t="str">
        <f>IF(AND(J916&gt;350,K916&gt;6), "True","False")</f>
        <v>False</v>
      </c>
      <c r="M916" s="4" t="s">
        <v>83</v>
      </c>
      <c r="N916" s="3">
        <v>3</v>
      </c>
      <c r="O916" s="4" t="str" cm="1">
        <f t="array" ref="O916">_xlfn.IFS(P916&lt;=2,"Poor",P916=3,"Average",P916&gt;=4,"Good")</f>
        <v>Good</v>
      </c>
      <c r="P916" s="3">
        <v>4</v>
      </c>
      <c r="Q916" s="2">
        <v>0</v>
      </c>
      <c r="R916" s="4" t="s">
        <v>57</v>
      </c>
      <c r="S916" s="4" t="s">
        <v>73</v>
      </c>
      <c r="T916" s="3">
        <v>2</v>
      </c>
      <c r="U916" s="4" t="str" cm="1">
        <f t="array" ref="U916">_xlfn.IFS(V916&lt;=4, "Dissatisfied",V916&lt;=7,"Neutral",V916&gt;=8,"Satisfied")</f>
        <v>Satisfied</v>
      </c>
      <c r="V916" s="3">
        <v>9</v>
      </c>
      <c r="W916" s="4" t="s">
        <v>57</v>
      </c>
      <c r="X916" s="4" t="s">
        <v>101</v>
      </c>
      <c r="Y916" s="4" t="s">
        <v>111</v>
      </c>
      <c r="Z916" s="1">
        <v>45617</v>
      </c>
      <c r="AA916" s="4" t="str" cm="1">
        <f t="array" ref="AA916">_xlfn.IFS(OR(AB916="December", AB916="February", AB916="January"), "Winter", OR(AB916="March", AB916="April", AB916="May"), "Spring", OR(AB916="June", AB916="July", AB916="August"), "Summer", TRUE, "Autumn")</f>
        <v>Autumn</v>
      </c>
      <c r="AB916" s="7" t="str">
        <f>TEXT(Z916, "mmmm")</f>
        <v>November</v>
      </c>
      <c r="AC916" s="1" t="str">
        <f>TEXT(Z916, "dddd")</f>
        <v>Thursday</v>
      </c>
      <c r="AD916" s="4" t="s">
        <v>76</v>
      </c>
      <c r="AE916" s="4" t="s">
        <v>62</v>
      </c>
      <c r="AF916" s="4" t="s">
        <v>63</v>
      </c>
      <c r="AG916" s="4" t="s">
        <v>64</v>
      </c>
      <c r="AH916" s="3">
        <v>6</v>
      </c>
    </row>
    <row r="917" spans="1:34">
      <c r="A917" s="4" t="s">
        <v>1917</v>
      </c>
      <c r="B917" s="3">
        <v>37</v>
      </c>
      <c r="C917" s="9" t="str" cm="1">
        <f t="array" ref="C917">_xlfn.IFS(B917&gt;65,"+65",B917&gt;54,"55-65",B917&gt;44,"45-54",B917&gt;35,"36-44",B917&gt;25,"26-35",B917&gt;=18,"18-25")</f>
        <v>36-44</v>
      </c>
      <c r="D917" s="4" t="s">
        <v>66</v>
      </c>
      <c r="E917" s="4" t="s">
        <v>51</v>
      </c>
      <c r="F917" s="4" t="s">
        <v>95</v>
      </c>
      <c r="G917" s="4" t="s">
        <v>68</v>
      </c>
      <c r="H917" s="4" t="s">
        <v>1918</v>
      </c>
      <c r="I917" s="4" t="s">
        <v>97</v>
      </c>
      <c r="J917" s="5">
        <v>75.91</v>
      </c>
      <c r="K917" s="3">
        <v>12</v>
      </c>
      <c r="L917" s="4" t="str">
        <f>IF(AND(J917&gt;350,K917&gt;6), "True","False")</f>
        <v>False</v>
      </c>
      <c r="M917" s="4" t="s">
        <v>83</v>
      </c>
      <c r="N917" s="3">
        <v>3</v>
      </c>
      <c r="O917" s="4" t="str" cm="1">
        <f t="array" ref="O917">_xlfn.IFS(P917&lt;=2,"Poor",P917=3,"Average",P917&gt;=4,"Good")</f>
        <v>Good</v>
      </c>
      <c r="P917" s="3">
        <v>5</v>
      </c>
      <c r="Q917" s="2">
        <v>2</v>
      </c>
      <c r="R917" s="4" t="s">
        <v>59</v>
      </c>
      <c r="S917" s="4" t="s">
        <v>73</v>
      </c>
      <c r="T917" s="3">
        <v>0</v>
      </c>
      <c r="U917" s="4" t="str" cm="1">
        <f t="array" ref="U917">_xlfn.IFS(V917&lt;=4, "Dissatisfied",V917&lt;=7,"Neutral",V917&gt;=8,"Satisfied")</f>
        <v>Neutral</v>
      </c>
      <c r="V917" s="3">
        <v>6</v>
      </c>
      <c r="W917" s="4" t="s">
        <v>57</v>
      </c>
      <c r="X917" s="4" t="s">
        <v>101</v>
      </c>
      <c r="Y917" s="4" t="s">
        <v>86</v>
      </c>
      <c r="Z917" s="1">
        <v>45617</v>
      </c>
      <c r="AA917" s="4" t="str" cm="1">
        <f t="array" ref="AA917">_xlfn.IFS(OR(AB917="December", AB917="February", AB917="January"), "Winter", OR(AB917="March", AB917="April", AB917="May"), "Spring", OR(AB917="June", AB917="July", AB917="August"), "Summer", TRUE, "Autumn")</f>
        <v>Autumn</v>
      </c>
      <c r="AB917" s="7" t="str">
        <f>TEXT(Z917, "mmmm")</f>
        <v>November</v>
      </c>
      <c r="AC917" s="1" t="str">
        <f>TEXT(Z917, "dddd")</f>
        <v>Thursday</v>
      </c>
      <c r="AD917" s="4" t="s">
        <v>62</v>
      </c>
      <c r="AE917" s="4" t="s">
        <v>62</v>
      </c>
      <c r="AF917" s="4" t="s">
        <v>87</v>
      </c>
      <c r="AG917" s="4" t="s">
        <v>88</v>
      </c>
      <c r="AH917" s="3">
        <v>1</v>
      </c>
    </row>
    <row r="918" spans="1:34">
      <c r="A918" s="4" t="s">
        <v>1919</v>
      </c>
      <c r="B918" s="3">
        <v>35</v>
      </c>
      <c r="C918" s="9" t="str" cm="1">
        <f t="array" ref="C918">_xlfn.IFS(B918&gt;65,"+65",B918&gt;54,"55-65",B918&gt;44,"45-54",B918&gt;35,"36-44",B918&gt;25,"26-35",B918&gt;=18,"18-25")</f>
        <v>26-35</v>
      </c>
      <c r="D918" s="4" t="s">
        <v>78</v>
      </c>
      <c r="E918" s="4" t="s">
        <v>72</v>
      </c>
      <c r="F918" s="4" t="s">
        <v>95</v>
      </c>
      <c r="G918" s="4" t="s">
        <v>53</v>
      </c>
      <c r="H918" s="4" t="s">
        <v>1920</v>
      </c>
      <c r="I918" s="4" t="s">
        <v>156</v>
      </c>
      <c r="J918" s="5">
        <v>263.57</v>
      </c>
      <c r="K918" s="3">
        <v>2</v>
      </c>
      <c r="L918" s="4" t="str">
        <f>IF(AND(J918&gt;350,K918&gt;6), "True","False")</f>
        <v>False</v>
      </c>
      <c r="M918" s="4" t="s">
        <v>83</v>
      </c>
      <c r="N918" s="3">
        <v>2</v>
      </c>
      <c r="O918" s="4" t="str" cm="1">
        <f t="array" ref="O918">_xlfn.IFS(P918&lt;=2,"Poor",P918=3,"Average",P918&gt;=4,"Good")</f>
        <v>Average</v>
      </c>
      <c r="P918" s="3">
        <v>3</v>
      </c>
      <c r="Q918" s="2">
        <v>0</v>
      </c>
      <c r="R918" s="4" t="s">
        <v>72</v>
      </c>
      <c r="S918" s="4" t="s">
        <v>84</v>
      </c>
      <c r="T918" s="3">
        <v>1</v>
      </c>
      <c r="U918" s="4" t="str" cm="1">
        <f t="array" ref="U918">_xlfn.IFS(V918&lt;=4, "Dissatisfied",V918&lt;=7,"Neutral",V918&gt;=8,"Satisfied")</f>
        <v>Satisfied</v>
      </c>
      <c r="V918" s="3">
        <v>9</v>
      </c>
      <c r="W918" s="4" t="s">
        <v>57</v>
      </c>
      <c r="X918" s="4" t="s">
        <v>74</v>
      </c>
      <c r="Y918" s="4" t="s">
        <v>86</v>
      </c>
      <c r="Z918" s="1">
        <v>45617</v>
      </c>
      <c r="AA918" s="4" t="str" cm="1">
        <f t="array" ref="AA918">_xlfn.IFS(OR(AB918="December", AB918="February", AB918="January"), "Winter", OR(AB918="March", AB918="April", AB918="May"), "Spring", OR(AB918="June", AB918="July", AB918="August"), "Summer", TRUE, "Autumn")</f>
        <v>Autumn</v>
      </c>
      <c r="AB918" s="7" t="str">
        <f>TEXT(Z918, "mmmm")</f>
        <v>November</v>
      </c>
      <c r="AC918" s="1" t="str">
        <f>TEXT(Z918, "dddd")</f>
        <v>Thursday</v>
      </c>
      <c r="AD918" s="4" t="s">
        <v>62</v>
      </c>
      <c r="AE918" s="4" t="s">
        <v>62</v>
      </c>
      <c r="AF918" s="4" t="s">
        <v>92</v>
      </c>
      <c r="AG918" s="4" t="s">
        <v>93</v>
      </c>
      <c r="AH918" s="3">
        <v>8</v>
      </c>
    </row>
    <row r="919" spans="1:34">
      <c r="A919" s="4" t="s">
        <v>1921</v>
      </c>
      <c r="B919" s="3">
        <v>49</v>
      </c>
      <c r="C919" s="9" t="str" cm="1">
        <f t="array" ref="C919">_xlfn.IFS(B919&gt;65,"+65",B919&gt;54,"55-65",B919&gt;44,"45-54",B919&gt;35,"36-44",B919&gt;25,"26-35",B919&gt;=18,"18-25")</f>
        <v>45-54</v>
      </c>
      <c r="D919" s="4" t="s">
        <v>66</v>
      </c>
      <c r="E919" s="4" t="s">
        <v>72</v>
      </c>
      <c r="F919" s="4" t="s">
        <v>52</v>
      </c>
      <c r="G919" s="4" t="s">
        <v>53</v>
      </c>
      <c r="H919" s="4" t="s">
        <v>1922</v>
      </c>
      <c r="I919" s="4" t="s">
        <v>194</v>
      </c>
      <c r="J919" s="5">
        <v>125.89</v>
      </c>
      <c r="K919" s="3">
        <v>7</v>
      </c>
      <c r="L919" s="4" t="str">
        <f>IF(AND(J919&gt;350,K919&gt;6), "True","False")</f>
        <v>False</v>
      </c>
      <c r="M919" s="4" t="s">
        <v>71</v>
      </c>
      <c r="N919" s="3">
        <v>3</v>
      </c>
      <c r="O919" s="4" t="str" cm="1">
        <f t="array" ref="O919">_xlfn.IFS(P919&lt;=2,"Poor",P919=3,"Average",P919&gt;=4,"Good")</f>
        <v>Average</v>
      </c>
      <c r="P919" s="3">
        <v>3</v>
      </c>
      <c r="Q919" s="2">
        <v>2</v>
      </c>
      <c r="R919" s="4" t="s">
        <v>59</v>
      </c>
      <c r="S919" s="4" t="s">
        <v>58</v>
      </c>
      <c r="T919" s="3">
        <v>1</v>
      </c>
      <c r="U919" s="4" t="str" cm="1">
        <f t="array" ref="U919">_xlfn.IFS(V919&lt;=4, "Dissatisfied",V919&lt;=7,"Neutral",V919&gt;=8,"Satisfied")</f>
        <v>Neutral</v>
      </c>
      <c r="V919" s="3">
        <v>6</v>
      </c>
      <c r="W919" s="4" t="s">
        <v>85</v>
      </c>
      <c r="X919" s="4" t="s">
        <v>101</v>
      </c>
      <c r="Y919" s="4" t="s">
        <v>75</v>
      </c>
      <c r="Z919" s="1">
        <v>45618</v>
      </c>
      <c r="AA919" s="4" t="str" cm="1">
        <f t="array" ref="AA919">_xlfn.IFS(OR(AB919="December", AB919="February", AB919="January"), "Winter", OR(AB919="March", AB919="April", AB919="May"), "Spring", OR(AB919="June", AB919="July", AB919="August"), "Summer", TRUE, "Autumn")</f>
        <v>Autumn</v>
      </c>
      <c r="AB919" s="7" t="str">
        <f>TEXT(Z919, "mmmm")</f>
        <v>November</v>
      </c>
      <c r="AC919" s="1" t="str">
        <f>TEXT(Z919, "dddd")</f>
        <v>Friday</v>
      </c>
      <c r="AD919" s="4" t="s">
        <v>76</v>
      </c>
      <c r="AE919" s="4" t="s">
        <v>76</v>
      </c>
      <c r="AF919" s="4" t="s">
        <v>102</v>
      </c>
      <c r="AG919" s="4" t="s">
        <v>88</v>
      </c>
      <c r="AH919" s="3">
        <v>13</v>
      </c>
    </row>
    <row r="920" spans="1:34">
      <c r="A920" s="4" t="s">
        <v>1923</v>
      </c>
      <c r="B920" s="3">
        <v>35</v>
      </c>
      <c r="C920" s="9" t="str" cm="1">
        <f t="array" ref="C920">_xlfn.IFS(B920&gt;65,"+65",B920&gt;54,"55-65",B920&gt;44,"45-54",B920&gt;35,"36-44",B920&gt;25,"26-35",B920&gt;=18,"18-25")</f>
        <v>26-35</v>
      </c>
      <c r="D920" s="4" t="s">
        <v>66</v>
      </c>
      <c r="E920" s="4" t="s">
        <v>72</v>
      </c>
      <c r="F920" s="4" t="s">
        <v>79</v>
      </c>
      <c r="G920" s="4" t="s">
        <v>53</v>
      </c>
      <c r="H920" s="4" t="s">
        <v>1924</v>
      </c>
      <c r="I920" s="4" t="s">
        <v>100</v>
      </c>
      <c r="J920" s="5">
        <v>342.99</v>
      </c>
      <c r="K920" s="3">
        <v>3</v>
      </c>
      <c r="L920" s="4" t="str">
        <f>IF(AND(J920&gt;350,K920&gt;6), "True","False")</f>
        <v>False</v>
      </c>
      <c r="M920" s="4" t="s">
        <v>71</v>
      </c>
      <c r="N920" s="3">
        <v>4</v>
      </c>
      <c r="O920" s="4" t="str" cm="1">
        <f t="array" ref="O920">_xlfn.IFS(P920&lt;=2,"Poor",P920=3,"Average",P920&gt;=4,"Good")</f>
        <v>Poor</v>
      </c>
      <c r="P920" s="3">
        <v>2</v>
      </c>
      <c r="Q920" s="2">
        <v>2</v>
      </c>
      <c r="R920" s="4" t="s">
        <v>59</v>
      </c>
      <c r="S920" s="4" t="s">
        <v>73</v>
      </c>
      <c r="T920" s="3">
        <v>0</v>
      </c>
      <c r="U920" s="4" t="str" cm="1">
        <f t="array" ref="U920">_xlfn.IFS(V920&lt;=4, "Dissatisfied",V920&lt;=7,"Neutral",V920&gt;=8,"Satisfied")</f>
        <v>Neutral</v>
      </c>
      <c r="V920" s="3">
        <v>6</v>
      </c>
      <c r="W920" s="4" t="s">
        <v>85</v>
      </c>
      <c r="X920" s="4" t="s">
        <v>60</v>
      </c>
      <c r="Y920" s="4" t="s">
        <v>111</v>
      </c>
      <c r="Z920" s="1">
        <v>45618</v>
      </c>
      <c r="AA920" s="4" t="str" cm="1">
        <f t="array" ref="AA920">_xlfn.IFS(OR(AB920="December", AB920="February", AB920="January"), "Winter", OR(AB920="March", AB920="April", AB920="May"), "Spring", OR(AB920="June", AB920="July", AB920="August"), "Summer", TRUE, "Autumn")</f>
        <v>Autumn</v>
      </c>
      <c r="AB920" s="7" t="str">
        <f>TEXT(Z920, "mmmm")</f>
        <v>November</v>
      </c>
      <c r="AC920" s="1" t="str">
        <f>TEXT(Z920, "dddd")</f>
        <v>Friday</v>
      </c>
      <c r="AD920" s="4" t="s">
        <v>76</v>
      </c>
      <c r="AE920" s="4" t="s">
        <v>62</v>
      </c>
      <c r="AF920" s="4" t="s">
        <v>92</v>
      </c>
      <c r="AG920" s="4" t="s">
        <v>93</v>
      </c>
      <c r="AH920" s="3">
        <v>6</v>
      </c>
    </row>
    <row r="921" spans="1:34">
      <c r="A921" s="4" t="s">
        <v>1925</v>
      </c>
      <c r="B921" s="3">
        <v>38</v>
      </c>
      <c r="C921" s="9" t="str" cm="1">
        <f t="array" ref="C921">_xlfn.IFS(B921&gt;65,"+65",B921&gt;54,"55-65",B921&gt;44,"45-54",B921&gt;35,"36-44",B921&gt;25,"26-35",B921&gt;=18,"18-25")</f>
        <v>36-44</v>
      </c>
      <c r="D921" s="4" t="s">
        <v>66</v>
      </c>
      <c r="E921" s="4" t="s">
        <v>72</v>
      </c>
      <c r="F921" s="4" t="s">
        <v>79</v>
      </c>
      <c r="G921" s="4" t="s">
        <v>68</v>
      </c>
      <c r="H921" s="4" t="s">
        <v>1926</v>
      </c>
      <c r="I921" s="4" t="s">
        <v>164</v>
      </c>
      <c r="J921" s="5">
        <v>370.17</v>
      </c>
      <c r="K921" s="3">
        <v>2</v>
      </c>
      <c r="L921" s="4" t="str">
        <f>IF(AND(J921&gt;350,K921&gt;6), "True","False")</f>
        <v>False</v>
      </c>
      <c r="M921" s="4" t="s">
        <v>83</v>
      </c>
      <c r="N921" s="3">
        <v>5</v>
      </c>
      <c r="O921" s="4" t="str" cm="1">
        <f t="array" ref="O921">_xlfn.IFS(P921&lt;=2,"Poor",P921=3,"Average",P921&gt;=4,"Good")</f>
        <v>Good</v>
      </c>
      <c r="P921" s="3">
        <v>4</v>
      </c>
      <c r="Q921" s="2">
        <v>2</v>
      </c>
      <c r="R921" s="4" t="s">
        <v>85</v>
      </c>
      <c r="S921" s="4" t="s">
        <v>58</v>
      </c>
      <c r="T921" s="3">
        <v>1</v>
      </c>
      <c r="U921" s="4" t="str" cm="1">
        <f t="array" ref="U921">_xlfn.IFS(V921&lt;=4, "Dissatisfied",V921&lt;=7,"Neutral",V921&gt;=8,"Satisfied")</f>
        <v>Satisfied</v>
      </c>
      <c r="V921" s="3">
        <v>9</v>
      </c>
      <c r="W921" s="4" t="s">
        <v>59</v>
      </c>
      <c r="X921" s="4" t="s">
        <v>74</v>
      </c>
      <c r="Y921" s="4" t="s">
        <v>61</v>
      </c>
      <c r="Z921" s="1">
        <v>45619</v>
      </c>
      <c r="AA921" s="4" t="str" cm="1">
        <f t="array" ref="AA921">_xlfn.IFS(OR(AB921="December", AB921="February", AB921="January"), "Winter", OR(AB921="March", AB921="April", AB921="May"), "Spring", OR(AB921="June", AB921="July", AB921="August"), "Summer", TRUE, "Autumn")</f>
        <v>Autumn</v>
      </c>
      <c r="AB921" s="7" t="str">
        <f>TEXT(Z921, "mmmm")</f>
        <v>November</v>
      </c>
      <c r="AC921" s="1" t="str">
        <f>TEXT(Z921, "dddd")</f>
        <v>Saturday</v>
      </c>
      <c r="AD921" s="4" t="s">
        <v>76</v>
      </c>
      <c r="AE921" s="4" t="s">
        <v>62</v>
      </c>
      <c r="AF921" s="4" t="s">
        <v>63</v>
      </c>
      <c r="AG921" s="4" t="s">
        <v>93</v>
      </c>
      <c r="AH921" s="3">
        <v>1</v>
      </c>
    </row>
    <row r="922" spans="1:34">
      <c r="A922" s="4" t="s">
        <v>1927</v>
      </c>
      <c r="B922" s="3">
        <v>26</v>
      </c>
      <c r="C922" s="9" t="str" cm="1">
        <f t="array" ref="C922">_xlfn.IFS(B922&gt;65,"+65",B922&gt;54,"55-65",B922&gt;44,"45-54",B922&gt;35,"36-44",B922&gt;25,"26-35",B922&gt;=18,"18-25")</f>
        <v>26-35</v>
      </c>
      <c r="D922" s="4" t="s">
        <v>160</v>
      </c>
      <c r="E922" s="4" t="s">
        <v>72</v>
      </c>
      <c r="F922" s="4" t="s">
        <v>52</v>
      </c>
      <c r="G922" s="4" t="s">
        <v>68</v>
      </c>
      <c r="H922" s="4" t="s">
        <v>1928</v>
      </c>
      <c r="I922" s="4" t="s">
        <v>91</v>
      </c>
      <c r="J922" s="5">
        <v>108.61</v>
      </c>
      <c r="K922" s="3">
        <v>10</v>
      </c>
      <c r="L922" s="4" t="str">
        <f>IF(AND(J922&gt;350,K922&gt;6), "True","False")</f>
        <v>False</v>
      </c>
      <c r="M922" s="4" t="s">
        <v>71</v>
      </c>
      <c r="N922" s="3">
        <v>3</v>
      </c>
      <c r="O922" s="4" t="str" cm="1">
        <f t="array" ref="O922">_xlfn.IFS(P922&lt;=2,"Poor",P922=3,"Average",P922&gt;=4,"Good")</f>
        <v>Poor</v>
      </c>
      <c r="P922" s="3">
        <v>2</v>
      </c>
      <c r="Q922" s="2">
        <v>0</v>
      </c>
      <c r="R922" s="4" t="s">
        <v>57</v>
      </c>
      <c r="S922" s="4" t="s">
        <v>73</v>
      </c>
      <c r="T922" s="3">
        <v>0</v>
      </c>
      <c r="U922" s="4" t="str" cm="1">
        <f t="array" ref="U922">_xlfn.IFS(V922&lt;=4, "Dissatisfied",V922&lt;=7,"Neutral",V922&gt;=8,"Satisfied")</f>
        <v>Dissatisfied</v>
      </c>
      <c r="V922" s="3">
        <v>3</v>
      </c>
      <c r="W922" s="4" t="s">
        <v>59</v>
      </c>
      <c r="X922" s="4" t="s">
        <v>60</v>
      </c>
      <c r="Y922" s="4" t="s">
        <v>61</v>
      </c>
      <c r="Z922" s="1">
        <v>45619</v>
      </c>
      <c r="AA922" s="4" t="str" cm="1">
        <f t="array" ref="AA922">_xlfn.IFS(OR(AB922="December", AB922="February", AB922="January"), "Winter", OR(AB922="March", AB922="April", AB922="May"), "Spring", OR(AB922="June", AB922="July", AB922="August"), "Summer", TRUE, "Autumn")</f>
        <v>Autumn</v>
      </c>
      <c r="AB922" s="7" t="str">
        <f>TEXT(Z922, "mmmm")</f>
        <v>November</v>
      </c>
      <c r="AC922" s="1" t="str">
        <f>TEXT(Z922, "dddd")</f>
        <v>Saturday</v>
      </c>
      <c r="AD922" s="4" t="s">
        <v>62</v>
      </c>
      <c r="AE922" s="4" t="s">
        <v>62</v>
      </c>
      <c r="AF922" s="4" t="s">
        <v>63</v>
      </c>
      <c r="AG922" s="4" t="s">
        <v>88</v>
      </c>
      <c r="AH922" s="3">
        <v>14</v>
      </c>
    </row>
    <row r="923" spans="1:34">
      <c r="A923" s="4" t="s">
        <v>1929</v>
      </c>
      <c r="B923" s="3">
        <v>23</v>
      </c>
      <c r="C923" s="9" t="str" cm="1">
        <f t="array" ref="C923">_xlfn.IFS(B923&gt;65,"+65",B923&gt;54,"55-65",B923&gt;44,"45-54",B923&gt;35,"36-44",B923&gt;25,"26-35",B923&gt;=18,"18-25")</f>
        <v>18-25</v>
      </c>
      <c r="D923" s="4" t="s">
        <v>50</v>
      </c>
      <c r="E923" s="4" t="s">
        <v>72</v>
      </c>
      <c r="F923" s="4" t="s">
        <v>95</v>
      </c>
      <c r="G923" s="4" t="s">
        <v>80</v>
      </c>
      <c r="H923" s="4" t="s">
        <v>1578</v>
      </c>
      <c r="I923" s="4" t="s">
        <v>105</v>
      </c>
      <c r="J923" s="5">
        <v>268.93</v>
      </c>
      <c r="K923" s="3">
        <v>2</v>
      </c>
      <c r="L923" s="4" t="str">
        <f>IF(AND(J923&gt;350,K923&gt;6), "True","False")</f>
        <v>False</v>
      </c>
      <c r="M923" s="4" t="s">
        <v>83</v>
      </c>
      <c r="N923" s="3">
        <v>5</v>
      </c>
      <c r="O923" s="4" t="str" cm="1">
        <f t="array" ref="O923">_xlfn.IFS(P923&lt;=2,"Poor",P923=3,"Average",P923&gt;=4,"Good")</f>
        <v>Good</v>
      </c>
      <c r="P923" s="3">
        <v>5</v>
      </c>
      <c r="Q923" s="2">
        <v>1</v>
      </c>
      <c r="R923" s="4" t="s">
        <v>85</v>
      </c>
      <c r="S923" s="4" t="s">
        <v>73</v>
      </c>
      <c r="T923" s="3">
        <v>1</v>
      </c>
      <c r="U923" s="4" t="str" cm="1">
        <f t="array" ref="U923">_xlfn.IFS(V923&lt;=4, "Dissatisfied",V923&lt;=7,"Neutral",V923&gt;=8,"Satisfied")</f>
        <v>Dissatisfied</v>
      </c>
      <c r="V923" s="3">
        <v>3</v>
      </c>
      <c r="W923" s="4" t="s">
        <v>57</v>
      </c>
      <c r="X923" s="4" t="s">
        <v>74</v>
      </c>
      <c r="Y923" s="4" t="s">
        <v>75</v>
      </c>
      <c r="Z923" s="1">
        <v>45619</v>
      </c>
      <c r="AA923" s="4" t="str" cm="1">
        <f t="array" ref="AA923">_xlfn.IFS(OR(AB923="December", AB923="February", AB923="January"), "Winter", OR(AB923="March", AB923="April", AB923="May"), "Spring", OR(AB923="June", AB923="July", AB923="August"), "Summer", TRUE, "Autumn")</f>
        <v>Autumn</v>
      </c>
      <c r="AB923" s="7" t="str">
        <f>TEXT(Z923, "mmmm")</f>
        <v>November</v>
      </c>
      <c r="AC923" s="1" t="str">
        <f>TEXT(Z923, "dddd")</f>
        <v>Saturday</v>
      </c>
      <c r="AD923" s="4" t="s">
        <v>76</v>
      </c>
      <c r="AE923" s="4" t="s">
        <v>76</v>
      </c>
      <c r="AF923" s="4" t="s">
        <v>92</v>
      </c>
      <c r="AG923" s="4" t="s">
        <v>93</v>
      </c>
      <c r="AH923" s="3">
        <v>8</v>
      </c>
    </row>
    <row r="924" spans="1:34">
      <c r="A924" s="4" t="s">
        <v>1930</v>
      </c>
      <c r="B924" s="3">
        <v>38</v>
      </c>
      <c r="C924" s="9" t="str" cm="1">
        <f t="array" ref="C924">_xlfn.IFS(B924&gt;65,"+65",B924&gt;54,"55-65",B924&gt;44,"45-54",B924&gt;35,"36-44",B924&gt;25,"26-35",B924&gt;=18,"18-25")</f>
        <v>36-44</v>
      </c>
      <c r="D924" s="4" t="s">
        <v>66</v>
      </c>
      <c r="E924" s="4" t="s">
        <v>72</v>
      </c>
      <c r="F924" s="4" t="s">
        <v>95</v>
      </c>
      <c r="G924" s="4" t="s">
        <v>53</v>
      </c>
      <c r="H924" s="4" t="s">
        <v>1931</v>
      </c>
      <c r="I924" s="4" t="s">
        <v>151</v>
      </c>
      <c r="J924" s="5">
        <v>362.01</v>
      </c>
      <c r="K924" s="3">
        <v>2</v>
      </c>
      <c r="L924" s="4" t="str">
        <f>IF(AND(J924&gt;350,K924&gt;6), "True","False")</f>
        <v>False</v>
      </c>
      <c r="M924" s="4" t="s">
        <v>71</v>
      </c>
      <c r="N924" s="3">
        <v>2</v>
      </c>
      <c r="O924" s="4" t="str" cm="1">
        <f t="array" ref="O924">_xlfn.IFS(P924&lt;=2,"Poor",P924=3,"Average",P924&gt;=4,"Good")</f>
        <v>Good</v>
      </c>
      <c r="P924" s="3">
        <v>4</v>
      </c>
      <c r="Q924" s="2">
        <v>1</v>
      </c>
      <c r="R924" s="4" t="s">
        <v>57</v>
      </c>
      <c r="S924" s="4" t="s">
        <v>84</v>
      </c>
      <c r="T924" s="3">
        <v>2</v>
      </c>
      <c r="U924" s="4" t="str" cm="1">
        <f t="array" ref="U924">_xlfn.IFS(V924&lt;=4, "Dissatisfied",V924&lt;=7,"Neutral",V924&gt;=8,"Satisfied")</f>
        <v>Dissatisfied</v>
      </c>
      <c r="V924" s="3">
        <v>1</v>
      </c>
      <c r="W924" s="4" t="s">
        <v>85</v>
      </c>
      <c r="X924" s="4" t="s">
        <v>74</v>
      </c>
      <c r="Y924" s="4" t="s">
        <v>75</v>
      </c>
      <c r="Z924" s="1">
        <v>45620</v>
      </c>
      <c r="AA924" s="4" t="str" cm="1">
        <f t="array" ref="AA924">_xlfn.IFS(OR(AB924="December", AB924="February", AB924="January"), "Winter", OR(AB924="March", AB924="April", AB924="May"), "Spring", OR(AB924="June", AB924="July", AB924="August"), "Summer", TRUE, "Autumn")</f>
        <v>Autumn</v>
      </c>
      <c r="AB924" s="7" t="str">
        <f>TEXT(Z924, "mmmm")</f>
        <v>November</v>
      </c>
      <c r="AC924" s="1" t="str">
        <f>TEXT(Z924, "dddd")</f>
        <v>Sunday</v>
      </c>
      <c r="AD924" s="4" t="s">
        <v>76</v>
      </c>
      <c r="AE924" s="4" t="s">
        <v>76</v>
      </c>
      <c r="AF924" s="4" t="s">
        <v>92</v>
      </c>
      <c r="AG924" s="4" t="s">
        <v>93</v>
      </c>
      <c r="AH924" s="3">
        <v>1</v>
      </c>
    </row>
    <row r="925" spans="1:34">
      <c r="A925" s="4" t="s">
        <v>1932</v>
      </c>
      <c r="B925" s="3">
        <v>32</v>
      </c>
      <c r="C925" s="9" t="str" cm="1">
        <f t="array" ref="C925">_xlfn.IFS(B925&gt;65,"+65",B925&gt;54,"55-65",B925&gt;44,"45-54",B925&gt;35,"36-44",B925&gt;25,"26-35",B925&gt;=18,"18-25")</f>
        <v>26-35</v>
      </c>
      <c r="D925" s="4" t="s">
        <v>66</v>
      </c>
      <c r="E925" s="4" t="s">
        <v>72</v>
      </c>
      <c r="F925" s="4" t="s">
        <v>67</v>
      </c>
      <c r="G925" s="4" t="s">
        <v>53</v>
      </c>
      <c r="H925" s="4" t="s">
        <v>1933</v>
      </c>
      <c r="I925" s="4" t="s">
        <v>172</v>
      </c>
      <c r="J925" s="5">
        <v>61.21</v>
      </c>
      <c r="K925" s="3">
        <v>12</v>
      </c>
      <c r="L925" s="4" t="str">
        <f>IF(AND(J925&gt;350,K925&gt;6), "True","False")</f>
        <v>False</v>
      </c>
      <c r="M925" s="4" t="s">
        <v>83</v>
      </c>
      <c r="N925" s="3">
        <v>5</v>
      </c>
      <c r="O925" s="4" t="str" cm="1">
        <f t="array" ref="O925">_xlfn.IFS(P925&lt;=2,"Poor",P925=3,"Average",P925&gt;=4,"Good")</f>
        <v>Good</v>
      </c>
      <c r="P925" s="3">
        <v>5</v>
      </c>
      <c r="Q925" s="2">
        <v>0</v>
      </c>
      <c r="R925" s="4" t="s">
        <v>57</v>
      </c>
      <c r="S925" s="4" t="s">
        <v>58</v>
      </c>
      <c r="T925" s="3">
        <v>0</v>
      </c>
      <c r="U925" s="4" t="str" cm="1">
        <f t="array" ref="U925">_xlfn.IFS(V925&lt;=4, "Dissatisfied",V925&lt;=7,"Neutral",V925&gt;=8,"Satisfied")</f>
        <v>Neutral</v>
      </c>
      <c r="V925" s="3">
        <v>5</v>
      </c>
      <c r="W925" s="4" t="s">
        <v>59</v>
      </c>
      <c r="X925" s="4" t="s">
        <v>60</v>
      </c>
      <c r="Y925" s="4" t="s">
        <v>119</v>
      </c>
      <c r="Z925" s="1">
        <v>45620</v>
      </c>
      <c r="AA925" s="4" t="str" cm="1">
        <f t="array" ref="AA925">_xlfn.IFS(OR(AB925="December", AB925="February", AB925="January"), "Winter", OR(AB925="March", AB925="April", AB925="May"), "Spring", OR(AB925="June", AB925="July", AB925="August"), "Summer", TRUE, "Autumn")</f>
        <v>Autumn</v>
      </c>
      <c r="AB925" s="7" t="str">
        <f>TEXT(Z925, "mmmm")</f>
        <v>November</v>
      </c>
      <c r="AC925" s="1" t="str">
        <f>TEXT(Z925, "dddd")</f>
        <v>Sunday</v>
      </c>
      <c r="AD925" s="4" t="s">
        <v>62</v>
      </c>
      <c r="AE925" s="4" t="s">
        <v>76</v>
      </c>
      <c r="AF925" s="4" t="s">
        <v>87</v>
      </c>
      <c r="AG925" s="4" t="s">
        <v>64</v>
      </c>
      <c r="AH925" s="3">
        <v>13</v>
      </c>
    </row>
    <row r="926" spans="1:34">
      <c r="A926" s="4" t="s">
        <v>1934</v>
      </c>
      <c r="B926" s="3">
        <v>19</v>
      </c>
      <c r="C926" s="9" t="str" cm="1">
        <f t="array" ref="C926">_xlfn.IFS(B926&gt;65,"+65",B926&gt;54,"55-65",B926&gt;44,"45-54",B926&gt;35,"36-44",B926&gt;25,"26-35",B926&gt;=18,"18-25")</f>
        <v>18-25</v>
      </c>
      <c r="D926" s="4" t="s">
        <v>66</v>
      </c>
      <c r="E926" s="4" t="s">
        <v>51</v>
      </c>
      <c r="F926" s="4" t="s">
        <v>52</v>
      </c>
      <c r="G926" s="4" t="s">
        <v>53</v>
      </c>
      <c r="H926" s="4" t="s">
        <v>1935</v>
      </c>
      <c r="I926" s="4" t="s">
        <v>151</v>
      </c>
      <c r="J926" s="5">
        <v>249.78</v>
      </c>
      <c r="K926" s="3">
        <v>4</v>
      </c>
      <c r="L926" s="4" t="str">
        <f>IF(AND(J926&gt;350,K926&gt;6), "True","False")</f>
        <v>False</v>
      </c>
      <c r="M926" s="4" t="s">
        <v>71</v>
      </c>
      <c r="N926" s="3">
        <v>5</v>
      </c>
      <c r="O926" s="4" t="str" cm="1">
        <f t="array" ref="O926">_xlfn.IFS(P926&lt;=2,"Poor",P926=3,"Average",P926&gt;=4,"Good")</f>
        <v>Good</v>
      </c>
      <c r="P926" s="3">
        <v>4</v>
      </c>
      <c r="Q926" s="2">
        <v>0</v>
      </c>
      <c r="R926" s="4" t="s">
        <v>59</v>
      </c>
      <c r="S926" s="4" t="s">
        <v>73</v>
      </c>
      <c r="T926" s="3">
        <v>0</v>
      </c>
      <c r="U926" s="4" t="str" cm="1">
        <f t="array" ref="U926">_xlfn.IFS(V926&lt;=4, "Dissatisfied",V926&lt;=7,"Neutral",V926&gt;=8,"Satisfied")</f>
        <v>Dissatisfied</v>
      </c>
      <c r="V926" s="3">
        <v>1</v>
      </c>
      <c r="W926" s="4" t="s">
        <v>57</v>
      </c>
      <c r="X926" s="4" t="s">
        <v>101</v>
      </c>
      <c r="Y926" s="4" t="s">
        <v>86</v>
      </c>
      <c r="Z926" s="1">
        <v>45620</v>
      </c>
      <c r="AA926" s="4" t="str" cm="1">
        <f t="array" ref="AA926">_xlfn.IFS(OR(AB926="December", AB926="February", AB926="January"), "Winter", OR(AB926="March", AB926="April", AB926="May"), "Spring", OR(AB926="June", AB926="July", AB926="August"), "Summer", TRUE, "Autumn")</f>
        <v>Autumn</v>
      </c>
      <c r="AB926" s="7" t="str">
        <f>TEXT(Z926, "mmmm")</f>
        <v>November</v>
      </c>
      <c r="AC926" s="1" t="str">
        <f>TEXT(Z926, "dddd")</f>
        <v>Sunday</v>
      </c>
      <c r="AD926" s="4" t="s">
        <v>76</v>
      </c>
      <c r="AE926" s="4" t="s">
        <v>76</v>
      </c>
      <c r="AF926" s="4" t="s">
        <v>102</v>
      </c>
      <c r="AG926" s="4" t="s">
        <v>88</v>
      </c>
      <c r="AH926" s="3">
        <v>11</v>
      </c>
    </row>
    <row r="927" spans="1:34">
      <c r="A927" s="4" t="s">
        <v>1936</v>
      </c>
      <c r="B927" s="3">
        <v>47</v>
      </c>
      <c r="C927" s="9" t="str" cm="1">
        <f t="array" ref="C927">_xlfn.IFS(B927&gt;65,"+65",B927&gt;54,"55-65",B927&gt;44,"45-54",B927&gt;35,"36-44",B927&gt;25,"26-35",B927&gt;=18,"18-25")</f>
        <v>45-54</v>
      </c>
      <c r="D927" s="4" t="s">
        <v>78</v>
      </c>
      <c r="E927" s="4" t="s">
        <v>72</v>
      </c>
      <c r="F927" s="4" t="s">
        <v>95</v>
      </c>
      <c r="G927" s="4" t="s">
        <v>53</v>
      </c>
      <c r="H927" s="4" t="s">
        <v>1937</v>
      </c>
      <c r="I927" s="4" t="s">
        <v>151</v>
      </c>
      <c r="J927" s="5">
        <v>337.33</v>
      </c>
      <c r="K927" s="3">
        <v>8</v>
      </c>
      <c r="L927" s="4" t="str">
        <f>IF(AND(J927&gt;350,K927&gt;6), "True","False")</f>
        <v>False</v>
      </c>
      <c r="M927" s="4" t="s">
        <v>71</v>
      </c>
      <c r="N927" s="3">
        <v>1</v>
      </c>
      <c r="O927" s="4" t="str" cm="1">
        <f t="array" ref="O927">_xlfn.IFS(P927&lt;=2,"Poor",P927=3,"Average",P927&gt;=4,"Good")</f>
        <v>Good</v>
      </c>
      <c r="P927" s="3">
        <v>4</v>
      </c>
      <c r="Q927" s="2">
        <v>1</v>
      </c>
      <c r="R927" s="4" t="s">
        <v>57</v>
      </c>
      <c r="S927" s="4" t="s">
        <v>84</v>
      </c>
      <c r="T927" s="3">
        <v>0</v>
      </c>
      <c r="U927" s="4" t="str" cm="1">
        <f t="array" ref="U927">_xlfn.IFS(V927&lt;=4, "Dissatisfied",V927&lt;=7,"Neutral",V927&gt;=8,"Satisfied")</f>
        <v>Neutral</v>
      </c>
      <c r="V927" s="3">
        <v>5</v>
      </c>
      <c r="W927" s="4" t="s">
        <v>85</v>
      </c>
      <c r="X927" s="4" t="s">
        <v>101</v>
      </c>
      <c r="Y927" s="4" t="s">
        <v>75</v>
      </c>
      <c r="Z927" s="1">
        <v>45621</v>
      </c>
      <c r="AA927" s="4" t="str" cm="1">
        <f t="array" ref="AA927">_xlfn.IFS(OR(AB927="December", AB927="February", AB927="January"), "Winter", OR(AB927="March", AB927="April", AB927="May"), "Spring", OR(AB927="June", AB927="July", AB927="August"), "Summer", TRUE, "Autumn")</f>
        <v>Autumn</v>
      </c>
      <c r="AB927" s="7" t="str">
        <f>TEXT(Z927, "mmmm")</f>
        <v>November</v>
      </c>
      <c r="AC927" s="1" t="str">
        <f>TEXT(Z927, "dddd")</f>
        <v>Monday</v>
      </c>
      <c r="AD927" s="4" t="s">
        <v>76</v>
      </c>
      <c r="AE927" s="4" t="s">
        <v>76</v>
      </c>
      <c r="AF927" s="4" t="s">
        <v>87</v>
      </c>
      <c r="AG927" s="4" t="s">
        <v>93</v>
      </c>
      <c r="AH927" s="3">
        <v>10</v>
      </c>
    </row>
    <row r="928" spans="1:34">
      <c r="A928" s="4" t="s">
        <v>1938</v>
      </c>
      <c r="B928" s="3">
        <v>46</v>
      </c>
      <c r="C928" s="9" t="str" cm="1">
        <f t="array" ref="C928">_xlfn.IFS(B928&gt;65,"+65",B928&gt;54,"55-65",B928&gt;44,"45-54",B928&gt;35,"36-44",B928&gt;25,"26-35",B928&gt;=18,"18-25")</f>
        <v>45-54</v>
      </c>
      <c r="D928" s="4" t="s">
        <v>160</v>
      </c>
      <c r="E928" s="4" t="s">
        <v>72</v>
      </c>
      <c r="F928" s="4" t="s">
        <v>67</v>
      </c>
      <c r="G928" s="4" t="s">
        <v>80</v>
      </c>
      <c r="H928" s="4" t="s">
        <v>1939</v>
      </c>
      <c r="I928" s="4" t="s">
        <v>172</v>
      </c>
      <c r="J928" s="5">
        <v>229.3</v>
      </c>
      <c r="K928" s="3">
        <v>6</v>
      </c>
      <c r="L928" s="4" t="str">
        <f>IF(AND(J928&gt;350,K928&gt;6), "True","False")</f>
        <v>False</v>
      </c>
      <c r="M928" s="4" t="s">
        <v>71</v>
      </c>
      <c r="N928" s="3">
        <v>4</v>
      </c>
      <c r="O928" s="4" t="str" cm="1">
        <f t="array" ref="O928">_xlfn.IFS(P928&lt;=2,"Poor",P928=3,"Average",P928&gt;=4,"Good")</f>
        <v>Good</v>
      </c>
      <c r="P928" s="3">
        <v>5</v>
      </c>
      <c r="Q928" s="2">
        <v>2</v>
      </c>
      <c r="R928" s="4" t="s">
        <v>57</v>
      </c>
      <c r="S928" s="4" t="s">
        <v>84</v>
      </c>
      <c r="T928" s="3">
        <v>0</v>
      </c>
      <c r="U928" s="4" t="str" cm="1">
        <f t="array" ref="U928">_xlfn.IFS(V928&lt;=4, "Dissatisfied",V928&lt;=7,"Neutral",V928&gt;=8,"Satisfied")</f>
        <v>Neutral</v>
      </c>
      <c r="V928" s="3">
        <v>6</v>
      </c>
      <c r="W928" s="4" t="s">
        <v>57</v>
      </c>
      <c r="X928" s="4" t="s">
        <v>60</v>
      </c>
      <c r="Y928" s="4" t="s">
        <v>111</v>
      </c>
      <c r="Z928" s="1">
        <v>45621</v>
      </c>
      <c r="AA928" s="4" t="str" cm="1">
        <f t="array" ref="AA928">_xlfn.IFS(OR(AB928="December", AB928="February", AB928="January"), "Winter", OR(AB928="March", AB928="April", AB928="May"), "Spring", OR(AB928="June", AB928="July", AB928="August"), "Summer", TRUE, "Autumn")</f>
        <v>Autumn</v>
      </c>
      <c r="AB928" s="7" t="str">
        <f>TEXT(Z928, "mmmm")</f>
        <v>November</v>
      </c>
      <c r="AC928" s="1" t="str">
        <f>TEXT(Z928, "dddd")</f>
        <v>Monday</v>
      </c>
      <c r="AD928" s="4" t="s">
        <v>76</v>
      </c>
      <c r="AE928" s="4" t="s">
        <v>76</v>
      </c>
      <c r="AF928" s="4" t="s">
        <v>87</v>
      </c>
      <c r="AG928" s="4" t="s">
        <v>93</v>
      </c>
      <c r="AH928" s="3">
        <v>6</v>
      </c>
    </row>
    <row r="929" spans="1:34">
      <c r="A929" s="4" t="s">
        <v>1940</v>
      </c>
      <c r="B929" s="3">
        <v>45</v>
      </c>
      <c r="C929" s="9" t="str" cm="1">
        <f t="array" ref="C929">_xlfn.IFS(B929&gt;65,"+65",B929&gt;54,"55-65",B929&gt;44,"45-54",B929&gt;35,"36-44",B929&gt;25,"26-35",B929&gt;=18,"18-25")</f>
        <v>45-54</v>
      </c>
      <c r="D929" s="4" t="s">
        <v>78</v>
      </c>
      <c r="E929" s="4" t="s">
        <v>51</v>
      </c>
      <c r="F929" s="4" t="s">
        <v>67</v>
      </c>
      <c r="G929" s="4" t="s">
        <v>80</v>
      </c>
      <c r="H929" s="4" t="s">
        <v>1941</v>
      </c>
      <c r="I929" s="4" t="s">
        <v>118</v>
      </c>
      <c r="J929" s="5">
        <v>407.29</v>
      </c>
      <c r="K929" s="3">
        <v>3</v>
      </c>
      <c r="L929" s="4" t="str">
        <f>IF(AND(J929&gt;350,K929&gt;6), "True","False")</f>
        <v>False</v>
      </c>
      <c r="M929" s="4" t="s">
        <v>71</v>
      </c>
      <c r="N929" s="3">
        <v>5</v>
      </c>
      <c r="O929" s="4" t="str" cm="1">
        <f t="array" ref="O929">_xlfn.IFS(P929&lt;=2,"Poor",P929=3,"Average",P929&gt;=4,"Good")</f>
        <v>Good</v>
      </c>
      <c r="P929" s="3">
        <v>5</v>
      </c>
      <c r="Q929" s="2">
        <v>0</v>
      </c>
      <c r="R929" s="4" t="s">
        <v>59</v>
      </c>
      <c r="S929" s="4" t="s">
        <v>58</v>
      </c>
      <c r="T929" s="3">
        <v>0</v>
      </c>
      <c r="U929" s="4" t="str" cm="1">
        <f t="array" ref="U929">_xlfn.IFS(V929&lt;=4, "Dissatisfied",V929&lt;=7,"Neutral",V929&gt;=8,"Satisfied")</f>
        <v>Neutral</v>
      </c>
      <c r="V929" s="3">
        <v>5</v>
      </c>
      <c r="W929" s="4" t="s">
        <v>59</v>
      </c>
      <c r="X929" s="4" t="s">
        <v>74</v>
      </c>
      <c r="Y929" s="4" t="s">
        <v>111</v>
      </c>
      <c r="Z929" s="1">
        <v>45621</v>
      </c>
      <c r="AA929" s="4" t="str" cm="1">
        <f t="array" ref="AA929">_xlfn.IFS(OR(AB929="December", AB929="February", AB929="January"), "Winter", OR(AB929="March", AB929="April", AB929="May"), "Spring", OR(AB929="June", AB929="July", AB929="August"), "Summer", TRUE, "Autumn")</f>
        <v>Autumn</v>
      </c>
      <c r="AB929" s="7" t="str">
        <f>TEXT(Z929, "mmmm")</f>
        <v>November</v>
      </c>
      <c r="AC929" s="1" t="str">
        <f>TEXT(Z929, "dddd")</f>
        <v>Monday</v>
      </c>
      <c r="AD929" s="4" t="s">
        <v>76</v>
      </c>
      <c r="AE929" s="4" t="s">
        <v>76</v>
      </c>
      <c r="AF929" s="4" t="s">
        <v>87</v>
      </c>
      <c r="AG929" s="4" t="s">
        <v>93</v>
      </c>
      <c r="AH929" s="3">
        <v>3</v>
      </c>
    </row>
    <row r="930" spans="1:34">
      <c r="A930" s="4" t="s">
        <v>1942</v>
      </c>
      <c r="B930" s="3">
        <v>32</v>
      </c>
      <c r="C930" s="9" t="str" cm="1">
        <f t="array" ref="C930">_xlfn.IFS(B930&gt;65,"+65",B930&gt;54,"55-65",B930&gt;44,"45-54",B930&gt;35,"36-44",B930&gt;25,"26-35",B930&gt;=18,"18-25")</f>
        <v>26-35</v>
      </c>
      <c r="D930" s="4" t="s">
        <v>78</v>
      </c>
      <c r="E930" s="4" t="s">
        <v>72</v>
      </c>
      <c r="F930" s="4" t="s">
        <v>67</v>
      </c>
      <c r="G930" s="4" t="s">
        <v>68</v>
      </c>
      <c r="H930" s="4" t="s">
        <v>1943</v>
      </c>
      <c r="I930" s="4" t="s">
        <v>70</v>
      </c>
      <c r="J930" s="5">
        <v>462.3</v>
      </c>
      <c r="K930" s="3">
        <v>5</v>
      </c>
      <c r="L930" s="4" t="str">
        <f>IF(AND(J930&gt;350,K930&gt;6), "True","False")</f>
        <v>False</v>
      </c>
      <c r="M930" s="4" t="s">
        <v>83</v>
      </c>
      <c r="N930" s="3">
        <v>3</v>
      </c>
      <c r="O930" s="4" t="str" cm="1">
        <f t="array" ref="O930">_xlfn.IFS(P930&lt;=2,"Poor",P930=3,"Average",P930&gt;=4,"Good")</f>
        <v>Average</v>
      </c>
      <c r="P930" s="3">
        <v>3</v>
      </c>
      <c r="Q930" s="2">
        <v>2</v>
      </c>
      <c r="R930" s="4" t="s">
        <v>57</v>
      </c>
      <c r="S930" s="4" t="s">
        <v>58</v>
      </c>
      <c r="T930" s="3">
        <v>2</v>
      </c>
      <c r="U930" s="4" t="str" cm="1">
        <f t="array" ref="U930">_xlfn.IFS(V930&lt;=4, "Dissatisfied",V930&lt;=7,"Neutral",V930&gt;=8,"Satisfied")</f>
        <v>Dissatisfied</v>
      </c>
      <c r="V930" s="3">
        <v>4</v>
      </c>
      <c r="W930" s="4" t="s">
        <v>85</v>
      </c>
      <c r="X930" s="4" t="s">
        <v>74</v>
      </c>
      <c r="Y930" s="4" t="s">
        <v>61</v>
      </c>
      <c r="Z930" s="1">
        <v>45621</v>
      </c>
      <c r="AA930" s="4" t="str" cm="1">
        <f t="array" ref="AA930">_xlfn.IFS(OR(AB930="December", AB930="February", AB930="January"), "Winter", OR(AB930="March", AB930="April", AB930="May"), "Spring", OR(AB930="June", AB930="July", AB930="August"), "Summer", TRUE, "Autumn")</f>
        <v>Autumn</v>
      </c>
      <c r="AB930" s="7" t="str">
        <f>TEXT(Z930, "mmmm")</f>
        <v>November</v>
      </c>
      <c r="AC930" s="1" t="str">
        <f>TEXT(Z930, "dddd")</f>
        <v>Monday</v>
      </c>
      <c r="AD930" s="4" t="s">
        <v>62</v>
      </c>
      <c r="AE930" s="4" t="s">
        <v>62</v>
      </c>
      <c r="AF930" s="4" t="s">
        <v>92</v>
      </c>
      <c r="AG930" s="4" t="s">
        <v>64</v>
      </c>
      <c r="AH930" s="3">
        <v>4</v>
      </c>
    </row>
    <row r="931" spans="1:34">
      <c r="A931" s="4" t="s">
        <v>1944</v>
      </c>
      <c r="B931" s="3">
        <v>23</v>
      </c>
      <c r="C931" s="9" t="str" cm="1">
        <f t="array" ref="C931">_xlfn.IFS(B931&gt;65,"+65",B931&gt;54,"55-65",B931&gt;44,"45-54",B931&gt;35,"36-44",B931&gt;25,"26-35",B931&gt;=18,"18-25")</f>
        <v>18-25</v>
      </c>
      <c r="D931" s="4" t="s">
        <v>160</v>
      </c>
      <c r="E931" s="4" t="s">
        <v>72</v>
      </c>
      <c r="F931" s="4" t="s">
        <v>67</v>
      </c>
      <c r="G931" s="4" t="s">
        <v>53</v>
      </c>
      <c r="H931" s="4" t="s">
        <v>1945</v>
      </c>
      <c r="I931" s="4" t="s">
        <v>164</v>
      </c>
      <c r="J931" s="5">
        <v>414.06</v>
      </c>
      <c r="K931" s="3">
        <v>9</v>
      </c>
      <c r="L931" s="4" t="str">
        <f>IF(AND(J931&gt;350,K931&gt;6), "True","False")</f>
        <v>True</v>
      </c>
      <c r="M931" s="4" t="s">
        <v>83</v>
      </c>
      <c r="N931" s="3">
        <v>1</v>
      </c>
      <c r="O931" s="4" t="str" cm="1">
        <f t="array" ref="O931">_xlfn.IFS(P931&lt;=2,"Poor",P931=3,"Average",P931&gt;=4,"Good")</f>
        <v>Good</v>
      </c>
      <c r="P931" s="3">
        <v>4</v>
      </c>
      <c r="Q931" s="2">
        <v>2</v>
      </c>
      <c r="R931" s="4" t="s">
        <v>85</v>
      </c>
      <c r="S931" s="4" t="s">
        <v>84</v>
      </c>
      <c r="T931" s="3">
        <v>2</v>
      </c>
      <c r="U931" s="4" t="str" cm="1">
        <f t="array" ref="U931">_xlfn.IFS(V931&lt;=4, "Dissatisfied",V931&lt;=7,"Neutral",V931&gt;=8,"Satisfied")</f>
        <v>Dissatisfied</v>
      </c>
      <c r="V931" s="3">
        <v>4</v>
      </c>
      <c r="W931" s="4" t="s">
        <v>72</v>
      </c>
      <c r="X931" s="4" t="s">
        <v>101</v>
      </c>
      <c r="Y931" s="4" t="s">
        <v>86</v>
      </c>
      <c r="Z931" s="1">
        <v>45622</v>
      </c>
      <c r="AA931" s="4" t="str" cm="1">
        <f t="array" ref="AA931">_xlfn.IFS(OR(AB931="December", AB931="February", AB931="January"), "Winter", OR(AB931="March", AB931="April", AB931="May"), "Spring", OR(AB931="June", AB931="July", AB931="August"), "Summer", TRUE, "Autumn")</f>
        <v>Autumn</v>
      </c>
      <c r="AB931" s="7" t="str">
        <f>TEXT(Z931, "mmmm")</f>
        <v>November</v>
      </c>
      <c r="AC931" s="1" t="str">
        <f>TEXT(Z931, "dddd")</f>
        <v>Tuesday</v>
      </c>
      <c r="AD931" s="4" t="s">
        <v>62</v>
      </c>
      <c r="AE931" s="4" t="s">
        <v>76</v>
      </c>
      <c r="AF931" s="4" t="s">
        <v>87</v>
      </c>
      <c r="AG931" s="4" t="s">
        <v>93</v>
      </c>
      <c r="AH931" s="3">
        <v>2</v>
      </c>
    </row>
    <row r="932" spans="1:34">
      <c r="A932" s="4" t="s">
        <v>1946</v>
      </c>
      <c r="B932" s="3">
        <v>31</v>
      </c>
      <c r="C932" s="9" t="str" cm="1">
        <f t="array" ref="C932">_xlfn.IFS(B932&gt;65,"+65",B932&gt;54,"55-65",B932&gt;44,"45-54",B932&gt;35,"36-44",B932&gt;25,"26-35",B932&gt;=18,"18-25")</f>
        <v>26-35</v>
      </c>
      <c r="D932" s="4" t="s">
        <v>66</v>
      </c>
      <c r="E932" s="4" t="s">
        <v>72</v>
      </c>
      <c r="F932" s="4" t="s">
        <v>95</v>
      </c>
      <c r="G932" s="4" t="s">
        <v>80</v>
      </c>
      <c r="H932" s="4" t="s">
        <v>1947</v>
      </c>
      <c r="I932" s="4" t="s">
        <v>172</v>
      </c>
      <c r="J932" s="5">
        <v>184.74</v>
      </c>
      <c r="K932" s="3">
        <v>5</v>
      </c>
      <c r="L932" s="4" t="str">
        <f>IF(AND(J932&gt;350,K932&gt;6), "True","False")</f>
        <v>False</v>
      </c>
      <c r="M932" s="4" t="s">
        <v>71</v>
      </c>
      <c r="N932" s="3">
        <v>4</v>
      </c>
      <c r="O932" s="4" t="str" cm="1">
        <f t="array" ref="O932">_xlfn.IFS(P932&lt;=2,"Poor",P932=3,"Average",P932&gt;=4,"Good")</f>
        <v>Good</v>
      </c>
      <c r="P932" s="3">
        <v>4</v>
      </c>
      <c r="Q932" s="2">
        <v>0</v>
      </c>
      <c r="R932" s="4" t="s">
        <v>85</v>
      </c>
      <c r="S932" s="4" t="s">
        <v>73</v>
      </c>
      <c r="T932" s="3">
        <v>1</v>
      </c>
      <c r="U932" s="4" t="str" cm="1">
        <f t="array" ref="U932">_xlfn.IFS(V932&lt;=4, "Dissatisfied",V932&lt;=7,"Neutral",V932&gt;=8,"Satisfied")</f>
        <v>Neutral</v>
      </c>
      <c r="V932" s="3">
        <v>5</v>
      </c>
      <c r="W932" s="4" t="s">
        <v>72</v>
      </c>
      <c r="X932" s="4" t="s">
        <v>74</v>
      </c>
      <c r="Y932" s="4" t="s">
        <v>75</v>
      </c>
      <c r="Z932" s="1">
        <v>45623</v>
      </c>
      <c r="AA932" s="4" t="str" cm="1">
        <f t="array" ref="AA932">_xlfn.IFS(OR(AB932="December", AB932="February", AB932="January"), "Winter", OR(AB932="March", AB932="April", AB932="May"), "Spring", OR(AB932="June", AB932="July", AB932="August"), "Summer", TRUE, "Autumn")</f>
        <v>Autumn</v>
      </c>
      <c r="AB932" s="7" t="str">
        <f>TEXT(Z932, "mmmm")</f>
        <v>November</v>
      </c>
      <c r="AC932" s="1" t="str">
        <f>TEXT(Z932, "dddd")</f>
        <v>Wednesday</v>
      </c>
      <c r="AD932" s="4" t="s">
        <v>76</v>
      </c>
      <c r="AE932" s="4" t="s">
        <v>62</v>
      </c>
      <c r="AF932" s="4" t="s">
        <v>92</v>
      </c>
      <c r="AG932" s="4" t="s">
        <v>88</v>
      </c>
      <c r="AH932" s="3">
        <v>10</v>
      </c>
    </row>
    <row r="933" spans="1:34">
      <c r="A933" s="4" t="s">
        <v>1948</v>
      </c>
      <c r="B933" s="3">
        <v>27</v>
      </c>
      <c r="C933" s="9" t="str" cm="1">
        <f t="array" ref="C933">_xlfn.IFS(B933&gt;65,"+65",B933&gt;54,"55-65",B933&gt;44,"45-54",B933&gt;35,"36-44",B933&gt;25,"26-35",B933&gt;=18,"18-25")</f>
        <v>26-35</v>
      </c>
      <c r="D933" s="4" t="s">
        <v>66</v>
      </c>
      <c r="E933" s="4" t="s">
        <v>51</v>
      </c>
      <c r="F933" s="4" t="s">
        <v>52</v>
      </c>
      <c r="G933" s="4" t="s">
        <v>53</v>
      </c>
      <c r="H933" s="4" t="s">
        <v>1949</v>
      </c>
      <c r="I933" s="4" t="s">
        <v>82</v>
      </c>
      <c r="J933" s="5">
        <v>241.56</v>
      </c>
      <c r="K933" s="3">
        <v>12</v>
      </c>
      <c r="L933" s="4" t="str">
        <f>IF(AND(J933&gt;350,K933&gt;6), "True","False")</f>
        <v>False</v>
      </c>
      <c r="M933" s="4" t="s">
        <v>83</v>
      </c>
      <c r="N933" s="3">
        <v>3</v>
      </c>
      <c r="O933" s="4" t="str" cm="1">
        <f t="array" ref="O933">_xlfn.IFS(P933&lt;=2,"Poor",P933=3,"Average",P933&gt;=4,"Good")</f>
        <v>Poor</v>
      </c>
      <c r="P933" s="3">
        <v>2</v>
      </c>
      <c r="Q933" s="2">
        <v>0</v>
      </c>
      <c r="R933" s="4" t="s">
        <v>72</v>
      </c>
      <c r="S933" s="4" t="s">
        <v>58</v>
      </c>
      <c r="T933" s="3">
        <v>0</v>
      </c>
      <c r="U933" s="4" t="str" cm="1">
        <f t="array" ref="U933">_xlfn.IFS(V933&lt;=4, "Dissatisfied",V933&lt;=7,"Neutral",V933&gt;=8,"Satisfied")</f>
        <v>Neutral</v>
      </c>
      <c r="V933" s="3">
        <v>5</v>
      </c>
      <c r="W933" s="4" t="s">
        <v>72</v>
      </c>
      <c r="X933" s="4" t="s">
        <v>74</v>
      </c>
      <c r="Y933" s="4" t="s">
        <v>86</v>
      </c>
      <c r="Z933" s="1">
        <v>45624</v>
      </c>
      <c r="AA933" s="4" t="str" cm="1">
        <f t="array" ref="AA933">_xlfn.IFS(OR(AB933="December", AB933="February", AB933="January"), "Winter", OR(AB933="March", AB933="April", AB933="May"), "Spring", OR(AB933="June", AB933="July", AB933="August"), "Summer", TRUE, "Autumn")</f>
        <v>Autumn</v>
      </c>
      <c r="AB933" s="7" t="str">
        <f>TEXT(Z933, "mmmm")</f>
        <v>November</v>
      </c>
      <c r="AC933" s="1" t="str">
        <f>TEXT(Z933, "dddd")</f>
        <v>Thursday</v>
      </c>
      <c r="AD933" s="4" t="s">
        <v>62</v>
      </c>
      <c r="AE933" s="4" t="s">
        <v>76</v>
      </c>
      <c r="AF933" s="4" t="s">
        <v>63</v>
      </c>
      <c r="AG933" s="4" t="s">
        <v>93</v>
      </c>
      <c r="AH933" s="3">
        <v>2</v>
      </c>
    </row>
    <row r="934" spans="1:34">
      <c r="A934" s="4" t="s">
        <v>1950</v>
      </c>
      <c r="B934" s="3">
        <v>42</v>
      </c>
      <c r="C934" s="9" t="str" cm="1">
        <f t="array" ref="C934">_xlfn.IFS(B934&gt;65,"+65",B934&gt;54,"55-65",B934&gt;44,"45-54",B934&gt;35,"36-44",B934&gt;25,"26-35",B934&gt;=18,"18-25")</f>
        <v>36-44</v>
      </c>
      <c r="D934" s="4" t="s">
        <v>66</v>
      </c>
      <c r="E934" s="4" t="s">
        <v>51</v>
      </c>
      <c r="F934" s="4" t="s">
        <v>95</v>
      </c>
      <c r="G934" s="4" t="s">
        <v>53</v>
      </c>
      <c r="H934" s="4" t="s">
        <v>1951</v>
      </c>
      <c r="I934" s="4" t="s">
        <v>100</v>
      </c>
      <c r="J934" s="5">
        <v>444.87</v>
      </c>
      <c r="K934" s="3">
        <v>11</v>
      </c>
      <c r="L934" s="4" t="str">
        <f>IF(AND(J934&gt;350,K934&gt;6), "True","False")</f>
        <v>True</v>
      </c>
      <c r="M934" s="4" t="s">
        <v>56</v>
      </c>
      <c r="N934" s="3">
        <v>5</v>
      </c>
      <c r="O934" s="4" t="str" cm="1">
        <f t="array" ref="O934">_xlfn.IFS(P934&lt;=2,"Poor",P934=3,"Average",P934&gt;=4,"Good")</f>
        <v>Good</v>
      </c>
      <c r="P934" s="3">
        <v>4</v>
      </c>
      <c r="Q934" s="2">
        <v>0</v>
      </c>
      <c r="R934" s="4" t="s">
        <v>85</v>
      </c>
      <c r="S934" s="4" t="s">
        <v>58</v>
      </c>
      <c r="T934" s="3">
        <v>1</v>
      </c>
      <c r="U934" s="4" t="str" cm="1">
        <f t="array" ref="U934">_xlfn.IFS(V934&lt;=4, "Dissatisfied",V934&lt;=7,"Neutral",V934&gt;=8,"Satisfied")</f>
        <v>Satisfied</v>
      </c>
      <c r="V934" s="3">
        <v>8</v>
      </c>
      <c r="W934" s="4" t="s">
        <v>59</v>
      </c>
      <c r="X934" s="4" t="s">
        <v>101</v>
      </c>
      <c r="Y934" s="4" t="s">
        <v>111</v>
      </c>
      <c r="Z934" s="1">
        <v>45625</v>
      </c>
      <c r="AA934" s="4" t="str" cm="1">
        <f t="array" ref="AA934">_xlfn.IFS(OR(AB934="December", AB934="February", AB934="January"), "Winter", OR(AB934="March", AB934="April", AB934="May"), "Spring", OR(AB934="June", AB934="July", AB934="August"), "Summer", TRUE, "Autumn")</f>
        <v>Autumn</v>
      </c>
      <c r="AB934" s="7" t="str">
        <f>TEXT(Z934, "mmmm")</f>
        <v>November</v>
      </c>
      <c r="AC934" s="1" t="str">
        <f>TEXT(Z934, "dddd")</f>
        <v>Friday</v>
      </c>
      <c r="AD934" s="4" t="s">
        <v>76</v>
      </c>
      <c r="AE934" s="4" t="s">
        <v>76</v>
      </c>
      <c r="AF934" s="4" t="s">
        <v>102</v>
      </c>
      <c r="AG934" s="4" t="s">
        <v>88</v>
      </c>
      <c r="AH934" s="3">
        <v>7</v>
      </c>
    </row>
    <row r="935" spans="1:34">
      <c r="A935" s="4" t="s">
        <v>1952</v>
      </c>
      <c r="B935" s="3">
        <v>38</v>
      </c>
      <c r="C935" s="9" t="str" cm="1">
        <f t="array" ref="C935">_xlfn.IFS(B935&gt;65,"+65",B935&gt;54,"55-65",B935&gt;44,"45-54",B935&gt;35,"36-44",B935&gt;25,"26-35",B935&gt;=18,"18-25")</f>
        <v>36-44</v>
      </c>
      <c r="D935" s="4" t="s">
        <v>66</v>
      </c>
      <c r="E935" s="4" t="s">
        <v>72</v>
      </c>
      <c r="F935" s="4" t="s">
        <v>95</v>
      </c>
      <c r="G935" s="4" t="s">
        <v>53</v>
      </c>
      <c r="H935" s="4" t="s">
        <v>1953</v>
      </c>
      <c r="I935" s="4" t="s">
        <v>97</v>
      </c>
      <c r="J935" s="5">
        <v>245.98</v>
      </c>
      <c r="K935" s="3">
        <v>4</v>
      </c>
      <c r="L935" s="4" t="str">
        <f>IF(AND(J935&gt;350,K935&gt;6), "True","False")</f>
        <v>False</v>
      </c>
      <c r="M935" s="4" t="s">
        <v>83</v>
      </c>
      <c r="N935" s="3">
        <v>5</v>
      </c>
      <c r="O935" s="4" t="str" cm="1">
        <f t="array" ref="O935">_xlfn.IFS(P935&lt;=2,"Poor",P935=3,"Average",P935&gt;=4,"Good")</f>
        <v>Poor</v>
      </c>
      <c r="P935" s="3">
        <v>1</v>
      </c>
      <c r="Q935" s="2">
        <v>1</v>
      </c>
      <c r="R935" s="4" t="s">
        <v>72</v>
      </c>
      <c r="S935" s="4" t="s">
        <v>58</v>
      </c>
      <c r="T935" s="3">
        <v>0</v>
      </c>
      <c r="U935" s="4" t="str" cm="1">
        <f t="array" ref="U935">_xlfn.IFS(V935&lt;=4, "Dissatisfied",V935&lt;=7,"Neutral",V935&gt;=8,"Satisfied")</f>
        <v>Dissatisfied</v>
      </c>
      <c r="V935" s="3">
        <v>1</v>
      </c>
      <c r="W935" s="4" t="s">
        <v>85</v>
      </c>
      <c r="X935" s="4" t="s">
        <v>101</v>
      </c>
      <c r="Y935" s="4" t="s">
        <v>86</v>
      </c>
      <c r="Z935" s="1">
        <v>45625</v>
      </c>
      <c r="AA935" s="4" t="str" cm="1">
        <f t="array" ref="AA935">_xlfn.IFS(OR(AB935="December", AB935="February", AB935="January"), "Winter", OR(AB935="March", AB935="April", AB935="May"), "Spring", OR(AB935="June", AB935="July", AB935="August"), "Summer", TRUE, "Autumn")</f>
        <v>Autumn</v>
      </c>
      <c r="AB935" s="7" t="str">
        <f>TEXT(Z935, "mmmm")</f>
        <v>November</v>
      </c>
      <c r="AC935" s="1" t="str">
        <f>TEXT(Z935, "dddd")</f>
        <v>Friday</v>
      </c>
      <c r="AD935" s="4" t="s">
        <v>76</v>
      </c>
      <c r="AE935" s="4" t="s">
        <v>76</v>
      </c>
      <c r="AF935" s="4" t="s">
        <v>87</v>
      </c>
      <c r="AG935" s="4" t="s">
        <v>64</v>
      </c>
      <c r="AH935" s="3">
        <v>10</v>
      </c>
    </row>
    <row r="936" spans="1:34">
      <c r="A936" s="4" t="s">
        <v>1954</v>
      </c>
      <c r="B936" s="3">
        <v>31</v>
      </c>
      <c r="C936" s="9" t="str" cm="1">
        <f t="array" ref="C936">_xlfn.IFS(B936&gt;65,"+65",B936&gt;54,"55-65",B936&gt;44,"45-54",B936&gt;35,"36-44",B936&gt;25,"26-35",B936&gt;=18,"18-25")</f>
        <v>26-35</v>
      </c>
      <c r="D936" s="4" t="s">
        <v>78</v>
      </c>
      <c r="E936" s="4" t="s">
        <v>51</v>
      </c>
      <c r="F936" s="4" t="s">
        <v>67</v>
      </c>
      <c r="G936" s="4" t="s">
        <v>80</v>
      </c>
      <c r="H936" s="4" t="s">
        <v>1955</v>
      </c>
      <c r="I936" s="4" t="s">
        <v>100</v>
      </c>
      <c r="J936" s="5">
        <v>224.52</v>
      </c>
      <c r="K936" s="3">
        <v>8</v>
      </c>
      <c r="L936" s="4" t="str">
        <f>IF(AND(J936&gt;350,K936&gt;6), "True","False")</f>
        <v>False</v>
      </c>
      <c r="M936" s="4" t="s">
        <v>83</v>
      </c>
      <c r="N936" s="3">
        <v>3</v>
      </c>
      <c r="O936" s="4" t="str" cm="1">
        <f t="array" ref="O936">_xlfn.IFS(P936&lt;=2,"Poor",P936=3,"Average",P936&gt;=4,"Good")</f>
        <v>Average</v>
      </c>
      <c r="P936" s="3">
        <v>3</v>
      </c>
      <c r="Q936" s="2">
        <v>2</v>
      </c>
      <c r="R936" s="4" t="s">
        <v>59</v>
      </c>
      <c r="S936" s="4" t="s">
        <v>58</v>
      </c>
      <c r="T936" s="3">
        <v>1</v>
      </c>
      <c r="U936" s="4" t="str" cm="1">
        <f t="array" ref="U936">_xlfn.IFS(V936&lt;=4, "Dissatisfied",V936&lt;=7,"Neutral",V936&gt;=8,"Satisfied")</f>
        <v>Neutral</v>
      </c>
      <c r="V936" s="3">
        <v>5</v>
      </c>
      <c r="W936" s="4" t="s">
        <v>72</v>
      </c>
      <c r="X936" s="4" t="s">
        <v>101</v>
      </c>
      <c r="Y936" s="4" t="s">
        <v>119</v>
      </c>
      <c r="Z936" s="1">
        <v>45625</v>
      </c>
      <c r="AA936" s="4" t="str" cm="1">
        <f t="array" ref="AA936">_xlfn.IFS(OR(AB936="December", AB936="February", AB936="January"), "Winter", OR(AB936="March", AB936="April", AB936="May"), "Spring", OR(AB936="June", AB936="July", AB936="August"), "Summer", TRUE, "Autumn")</f>
        <v>Autumn</v>
      </c>
      <c r="AB936" s="7" t="str">
        <f>TEXT(Z936, "mmmm")</f>
        <v>November</v>
      </c>
      <c r="AC936" s="1" t="str">
        <f>TEXT(Z936, "dddd")</f>
        <v>Friday</v>
      </c>
      <c r="AD936" s="4" t="s">
        <v>62</v>
      </c>
      <c r="AE936" s="4" t="s">
        <v>76</v>
      </c>
      <c r="AF936" s="4" t="s">
        <v>92</v>
      </c>
      <c r="AG936" s="4" t="s">
        <v>93</v>
      </c>
      <c r="AH936" s="3">
        <v>1</v>
      </c>
    </row>
    <row r="937" spans="1:34">
      <c r="A937" s="4" t="s">
        <v>1956</v>
      </c>
      <c r="B937" s="3">
        <v>30</v>
      </c>
      <c r="C937" s="9" t="str" cm="1">
        <f t="array" ref="C937">_xlfn.IFS(B937&gt;65,"+65",B937&gt;54,"55-65",B937&gt;44,"45-54",B937&gt;35,"36-44",B937&gt;25,"26-35",B937&gt;=18,"18-25")</f>
        <v>26-35</v>
      </c>
      <c r="D937" s="4" t="s">
        <v>78</v>
      </c>
      <c r="E937" s="4" t="s">
        <v>51</v>
      </c>
      <c r="F937" s="4" t="s">
        <v>95</v>
      </c>
      <c r="G937" s="4" t="s">
        <v>68</v>
      </c>
      <c r="H937" s="4" t="s">
        <v>1957</v>
      </c>
      <c r="I937" s="4" t="s">
        <v>100</v>
      </c>
      <c r="J937" s="5">
        <v>294.99</v>
      </c>
      <c r="K937" s="3">
        <v>4</v>
      </c>
      <c r="L937" s="4" t="str">
        <f>IF(AND(J937&gt;350,K937&gt;6), "True","False")</f>
        <v>False</v>
      </c>
      <c r="M937" s="4" t="s">
        <v>56</v>
      </c>
      <c r="N937" s="3">
        <v>3</v>
      </c>
      <c r="O937" s="4" t="str" cm="1">
        <f t="array" ref="O937">_xlfn.IFS(P937&lt;=2,"Poor",P937=3,"Average",P937&gt;=4,"Good")</f>
        <v>Good</v>
      </c>
      <c r="P937" s="3">
        <v>5</v>
      </c>
      <c r="Q937" s="2">
        <v>2</v>
      </c>
      <c r="R937" s="4" t="s">
        <v>59</v>
      </c>
      <c r="S937" s="4" t="s">
        <v>84</v>
      </c>
      <c r="T937" s="3">
        <v>1</v>
      </c>
      <c r="U937" s="4" t="str" cm="1">
        <f t="array" ref="U937">_xlfn.IFS(V937&lt;=4, "Dissatisfied",V937&lt;=7,"Neutral",V937&gt;=8,"Satisfied")</f>
        <v>Dissatisfied</v>
      </c>
      <c r="V937" s="3">
        <v>4</v>
      </c>
      <c r="W937" s="4" t="s">
        <v>72</v>
      </c>
      <c r="X937" s="4" t="s">
        <v>101</v>
      </c>
      <c r="Y937" s="4" t="s">
        <v>86</v>
      </c>
      <c r="Z937" s="1">
        <v>45626</v>
      </c>
      <c r="AA937" s="4" t="str" cm="1">
        <f t="array" ref="AA937">_xlfn.IFS(OR(AB937="December", AB937="February", AB937="January"), "Winter", OR(AB937="March", AB937="April", AB937="May"), "Spring", OR(AB937="June", AB937="July", AB937="August"), "Summer", TRUE, "Autumn")</f>
        <v>Autumn</v>
      </c>
      <c r="AB937" s="7" t="str">
        <f>TEXT(Z937, "mmmm")</f>
        <v>November</v>
      </c>
      <c r="AC937" s="1" t="str">
        <f>TEXT(Z937, "dddd")</f>
        <v>Saturday</v>
      </c>
      <c r="AD937" s="4" t="s">
        <v>76</v>
      </c>
      <c r="AE937" s="4" t="s">
        <v>76</v>
      </c>
      <c r="AF937" s="4" t="s">
        <v>63</v>
      </c>
      <c r="AG937" s="4" t="s">
        <v>64</v>
      </c>
      <c r="AH937" s="3">
        <v>5</v>
      </c>
    </row>
    <row r="938" spans="1:34">
      <c r="A938" s="4" t="s">
        <v>1958</v>
      </c>
      <c r="B938" s="3">
        <v>28</v>
      </c>
      <c r="C938" s="9" t="str" cm="1">
        <f t="array" ref="C938">_xlfn.IFS(B938&gt;65,"+65",B938&gt;54,"55-65",B938&gt;44,"45-54",B938&gt;35,"36-44",B938&gt;25,"26-35",B938&gt;=18,"18-25")</f>
        <v>26-35</v>
      </c>
      <c r="D938" s="4" t="s">
        <v>78</v>
      </c>
      <c r="E938" s="4" t="s">
        <v>51</v>
      </c>
      <c r="F938" s="4" t="s">
        <v>95</v>
      </c>
      <c r="G938" s="4" t="s">
        <v>53</v>
      </c>
      <c r="H938" s="4" t="s">
        <v>1959</v>
      </c>
      <c r="I938" s="4" t="s">
        <v>169</v>
      </c>
      <c r="J938" s="5">
        <v>204.44</v>
      </c>
      <c r="K938" s="3">
        <v>2</v>
      </c>
      <c r="L938" s="4" t="str">
        <f>IF(AND(J938&gt;350,K938&gt;6), "True","False")</f>
        <v>False</v>
      </c>
      <c r="M938" s="4" t="s">
        <v>83</v>
      </c>
      <c r="N938" s="3">
        <v>5</v>
      </c>
      <c r="O938" s="4" t="str" cm="1">
        <f t="array" ref="O938">_xlfn.IFS(P938&lt;=2,"Poor",P938=3,"Average",P938&gt;=4,"Good")</f>
        <v>Average</v>
      </c>
      <c r="P938" s="3">
        <v>3</v>
      </c>
      <c r="Q938" s="2">
        <v>2</v>
      </c>
      <c r="R938" s="4" t="s">
        <v>57</v>
      </c>
      <c r="S938" s="4" t="s">
        <v>84</v>
      </c>
      <c r="T938" s="3">
        <v>1</v>
      </c>
      <c r="U938" s="4" t="str" cm="1">
        <f t="array" ref="U938">_xlfn.IFS(V938&lt;=4, "Dissatisfied",V938&lt;=7,"Neutral",V938&gt;=8,"Satisfied")</f>
        <v>Dissatisfied</v>
      </c>
      <c r="V938" s="3">
        <v>3</v>
      </c>
      <c r="W938" s="4" t="s">
        <v>72</v>
      </c>
      <c r="X938" s="4" t="s">
        <v>101</v>
      </c>
      <c r="Y938" s="4" t="s">
        <v>75</v>
      </c>
      <c r="Z938" s="1">
        <v>45627</v>
      </c>
      <c r="AA938" s="4" t="str" cm="1">
        <f t="array" ref="AA938">_xlfn.IFS(OR(AB938="December", AB938="February", AB938="January"), "Winter", OR(AB938="March", AB938="April", AB938="May"), "Spring", OR(AB938="June", AB938="July", AB938="August"), "Summer", TRUE, "Autumn")</f>
        <v>Winter</v>
      </c>
      <c r="AB938" s="7" t="str">
        <f>TEXT(Z938, "mmmm")</f>
        <v>December</v>
      </c>
      <c r="AC938" s="1" t="str">
        <f>TEXT(Z938, "dddd")</f>
        <v>Sunday</v>
      </c>
      <c r="AD938" s="4" t="s">
        <v>76</v>
      </c>
      <c r="AE938" s="4" t="s">
        <v>62</v>
      </c>
      <c r="AF938" s="4" t="s">
        <v>92</v>
      </c>
      <c r="AG938" s="4" t="s">
        <v>64</v>
      </c>
      <c r="AH938" s="3">
        <v>13</v>
      </c>
    </row>
    <row r="939" spans="1:34">
      <c r="A939" s="4" t="s">
        <v>1960</v>
      </c>
      <c r="B939" s="3">
        <v>27</v>
      </c>
      <c r="C939" s="9" t="str" cm="1">
        <f t="array" ref="C939">_xlfn.IFS(B939&gt;65,"+65",B939&gt;54,"55-65",B939&gt;44,"45-54",B939&gt;35,"36-44",B939&gt;25,"26-35",B939&gt;=18,"18-25")</f>
        <v>26-35</v>
      </c>
      <c r="D939" s="4" t="s">
        <v>66</v>
      </c>
      <c r="E939" s="4" t="s">
        <v>51</v>
      </c>
      <c r="F939" s="4" t="s">
        <v>67</v>
      </c>
      <c r="G939" s="4" t="s">
        <v>80</v>
      </c>
      <c r="H939" s="4" t="s">
        <v>1961</v>
      </c>
      <c r="I939" s="4" t="s">
        <v>105</v>
      </c>
      <c r="J939" s="5">
        <v>310.16000000000003</v>
      </c>
      <c r="K939" s="3">
        <v>5</v>
      </c>
      <c r="L939" s="4" t="str">
        <f>IF(AND(J939&gt;350,K939&gt;6), "True","False")</f>
        <v>False</v>
      </c>
      <c r="M939" s="4" t="s">
        <v>83</v>
      </c>
      <c r="N939" s="3">
        <v>5</v>
      </c>
      <c r="O939" s="4" t="str" cm="1">
        <f t="array" ref="O939">_xlfn.IFS(P939&lt;=2,"Poor",P939=3,"Average",P939&gt;=4,"Good")</f>
        <v>Average</v>
      </c>
      <c r="P939" s="3">
        <v>3</v>
      </c>
      <c r="Q939" s="2">
        <v>1</v>
      </c>
      <c r="R939" s="4" t="s">
        <v>57</v>
      </c>
      <c r="S939" s="4" t="s">
        <v>84</v>
      </c>
      <c r="T939" s="3">
        <v>0</v>
      </c>
      <c r="U939" s="4" t="str" cm="1">
        <f t="array" ref="U939">_xlfn.IFS(V939&lt;=4, "Dissatisfied",V939&lt;=7,"Neutral",V939&gt;=8,"Satisfied")</f>
        <v>Dissatisfied</v>
      </c>
      <c r="V939" s="3">
        <v>4</v>
      </c>
      <c r="W939" s="4" t="s">
        <v>72</v>
      </c>
      <c r="X939" s="4" t="s">
        <v>101</v>
      </c>
      <c r="Y939" s="4" t="s">
        <v>61</v>
      </c>
      <c r="Z939" s="1">
        <v>45627</v>
      </c>
      <c r="AA939" s="4" t="str" cm="1">
        <f t="array" ref="AA939">_xlfn.IFS(OR(AB939="December", AB939="February", AB939="January"), "Winter", OR(AB939="March", AB939="April", AB939="May"), "Spring", OR(AB939="June", AB939="July", AB939="August"), "Summer", TRUE, "Autumn")</f>
        <v>Winter</v>
      </c>
      <c r="AB939" s="7" t="str">
        <f>TEXT(Z939, "mmmm")</f>
        <v>December</v>
      </c>
      <c r="AC939" s="1" t="str">
        <f>TEXT(Z939, "dddd")</f>
        <v>Sunday</v>
      </c>
      <c r="AD939" s="4" t="s">
        <v>76</v>
      </c>
      <c r="AE939" s="4" t="s">
        <v>76</v>
      </c>
      <c r="AF939" s="4" t="s">
        <v>63</v>
      </c>
      <c r="AG939" s="4" t="s">
        <v>64</v>
      </c>
      <c r="AH939" s="3">
        <v>14</v>
      </c>
    </row>
    <row r="940" spans="1:34">
      <c r="A940" s="4" t="s">
        <v>1962</v>
      </c>
      <c r="B940" s="3">
        <v>27</v>
      </c>
      <c r="C940" s="9" t="str" cm="1">
        <f t="array" ref="C940">_xlfn.IFS(B940&gt;65,"+65",B940&gt;54,"55-65",B940&gt;44,"45-54",B940&gt;35,"36-44",B940&gt;25,"26-35",B940&gt;=18,"18-25")</f>
        <v>26-35</v>
      </c>
      <c r="D940" s="4" t="s">
        <v>78</v>
      </c>
      <c r="E940" s="4" t="s">
        <v>72</v>
      </c>
      <c r="F940" s="4" t="s">
        <v>79</v>
      </c>
      <c r="G940" s="4" t="s">
        <v>68</v>
      </c>
      <c r="H940" s="4" t="s">
        <v>1963</v>
      </c>
      <c r="I940" s="4" t="s">
        <v>122</v>
      </c>
      <c r="J940" s="5">
        <v>245.04</v>
      </c>
      <c r="K940" s="3">
        <v>4</v>
      </c>
      <c r="L940" s="4" t="str">
        <f>IF(AND(J940&gt;350,K940&gt;6), "True","False")</f>
        <v>False</v>
      </c>
      <c r="M940" s="4" t="s">
        <v>56</v>
      </c>
      <c r="N940" s="3">
        <v>3</v>
      </c>
      <c r="O940" s="4" t="str" cm="1">
        <f t="array" ref="O940">_xlfn.IFS(P940&lt;=2,"Poor",P940=3,"Average",P940&gt;=4,"Good")</f>
        <v>Poor</v>
      </c>
      <c r="P940" s="3">
        <v>2</v>
      </c>
      <c r="Q940" s="2">
        <v>0</v>
      </c>
      <c r="R940" s="4" t="s">
        <v>72</v>
      </c>
      <c r="S940" s="4" t="s">
        <v>58</v>
      </c>
      <c r="T940" s="3">
        <v>2</v>
      </c>
      <c r="U940" s="4" t="str" cm="1">
        <f t="array" ref="U940">_xlfn.IFS(V940&lt;=4, "Dissatisfied",V940&lt;=7,"Neutral",V940&gt;=8,"Satisfied")</f>
        <v>Neutral</v>
      </c>
      <c r="V940" s="3">
        <v>6</v>
      </c>
      <c r="W940" s="4" t="s">
        <v>72</v>
      </c>
      <c r="X940" s="4" t="s">
        <v>74</v>
      </c>
      <c r="Y940" s="4" t="s">
        <v>111</v>
      </c>
      <c r="Z940" s="1">
        <v>45629</v>
      </c>
      <c r="AA940" s="4" t="str" cm="1">
        <f t="array" ref="AA940">_xlfn.IFS(OR(AB940="December", AB940="February", AB940="January"), "Winter", OR(AB940="March", AB940="April", AB940="May"), "Spring", OR(AB940="June", AB940="July", AB940="August"), "Summer", TRUE, "Autumn")</f>
        <v>Winter</v>
      </c>
      <c r="AB940" s="7" t="str">
        <f>TEXT(Z940, "mmmm")</f>
        <v>December</v>
      </c>
      <c r="AC940" s="1" t="str">
        <f>TEXT(Z940, "dddd")</f>
        <v>Tuesday</v>
      </c>
      <c r="AD940" s="4" t="s">
        <v>62</v>
      </c>
      <c r="AE940" s="4" t="s">
        <v>62</v>
      </c>
      <c r="AF940" s="4" t="s">
        <v>63</v>
      </c>
      <c r="AG940" s="4" t="s">
        <v>64</v>
      </c>
      <c r="AH940" s="3">
        <v>10</v>
      </c>
    </row>
    <row r="941" spans="1:34">
      <c r="A941" s="4" t="s">
        <v>1964</v>
      </c>
      <c r="B941" s="3">
        <v>27</v>
      </c>
      <c r="C941" s="9" t="str" cm="1">
        <f t="array" ref="C941">_xlfn.IFS(B941&gt;65,"+65",B941&gt;54,"55-65",B941&gt;44,"45-54",B941&gt;35,"36-44",B941&gt;25,"26-35",B941&gt;=18,"18-25")</f>
        <v>26-35</v>
      </c>
      <c r="D941" s="4" t="s">
        <v>78</v>
      </c>
      <c r="E941" s="4" t="s">
        <v>72</v>
      </c>
      <c r="F941" s="4" t="s">
        <v>52</v>
      </c>
      <c r="G941" s="4" t="s">
        <v>53</v>
      </c>
      <c r="H941" s="4" t="s">
        <v>293</v>
      </c>
      <c r="I941" s="4" t="s">
        <v>164</v>
      </c>
      <c r="J941" s="5">
        <v>280.2</v>
      </c>
      <c r="K941" s="3">
        <v>3</v>
      </c>
      <c r="L941" s="4" t="str">
        <f>IF(AND(J941&gt;350,K941&gt;6), "True","False")</f>
        <v>False</v>
      </c>
      <c r="M941" s="4" t="s">
        <v>71</v>
      </c>
      <c r="N941" s="3">
        <v>4</v>
      </c>
      <c r="O941" s="4" t="str" cm="1">
        <f t="array" ref="O941">_xlfn.IFS(P941&lt;=2,"Poor",P941=3,"Average",P941&gt;=4,"Good")</f>
        <v>Poor</v>
      </c>
      <c r="P941" s="3">
        <v>2</v>
      </c>
      <c r="Q941" s="2">
        <v>0</v>
      </c>
      <c r="R941" s="4" t="s">
        <v>85</v>
      </c>
      <c r="S941" s="4" t="s">
        <v>84</v>
      </c>
      <c r="T941" s="3">
        <v>2</v>
      </c>
      <c r="U941" s="4" t="str" cm="1">
        <f t="array" ref="U941">_xlfn.IFS(V941&lt;=4, "Dissatisfied",V941&lt;=7,"Neutral",V941&gt;=8,"Satisfied")</f>
        <v>Neutral</v>
      </c>
      <c r="V941" s="3">
        <v>7</v>
      </c>
      <c r="W941" s="4" t="s">
        <v>57</v>
      </c>
      <c r="X941" s="4" t="s">
        <v>101</v>
      </c>
      <c r="Y941" s="4" t="s">
        <v>111</v>
      </c>
      <c r="Z941" s="1">
        <v>45629</v>
      </c>
      <c r="AA941" s="4" t="str" cm="1">
        <f t="array" ref="AA941">_xlfn.IFS(OR(AB941="December", AB941="February", AB941="January"), "Winter", OR(AB941="March", AB941="April", AB941="May"), "Spring", OR(AB941="June", AB941="July", AB941="August"), "Summer", TRUE, "Autumn")</f>
        <v>Winter</v>
      </c>
      <c r="AB941" s="7" t="str">
        <f>TEXT(Z941, "mmmm")</f>
        <v>December</v>
      </c>
      <c r="AC941" s="1" t="str">
        <f>TEXT(Z941, "dddd")</f>
        <v>Tuesday</v>
      </c>
      <c r="AD941" s="4" t="s">
        <v>76</v>
      </c>
      <c r="AE941" s="4" t="s">
        <v>76</v>
      </c>
      <c r="AF941" s="4" t="s">
        <v>63</v>
      </c>
      <c r="AG941" s="4" t="s">
        <v>88</v>
      </c>
      <c r="AH941" s="3">
        <v>13</v>
      </c>
    </row>
    <row r="942" spans="1:34">
      <c r="A942" s="4" t="s">
        <v>1965</v>
      </c>
      <c r="B942" s="3">
        <v>34</v>
      </c>
      <c r="C942" s="9" t="str" cm="1">
        <f t="array" ref="C942">_xlfn.IFS(B942&gt;65,"+65",B942&gt;54,"55-65",B942&gt;44,"45-54",B942&gt;35,"36-44",B942&gt;25,"26-35",B942&gt;=18,"18-25")</f>
        <v>26-35</v>
      </c>
      <c r="D942" s="4" t="s">
        <v>66</v>
      </c>
      <c r="E942" s="4" t="s">
        <v>72</v>
      </c>
      <c r="F942" s="4" t="s">
        <v>67</v>
      </c>
      <c r="G942" s="4" t="s">
        <v>68</v>
      </c>
      <c r="H942" s="4" t="s">
        <v>1966</v>
      </c>
      <c r="I942" s="4" t="s">
        <v>133</v>
      </c>
      <c r="J942" s="5">
        <v>107.82</v>
      </c>
      <c r="K942" s="3">
        <v>7</v>
      </c>
      <c r="L942" s="4" t="str">
        <f>IF(AND(J942&gt;350,K942&gt;6), "True","False")</f>
        <v>False</v>
      </c>
      <c r="M942" s="4" t="s">
        <v>83</v>
      </c>
      <c r="N942" s="3">
        <v>5</v>
      </c>
      <c r="O942" s="4" t="str" cm="1">
        <f t="array" ref="O942">_xlfn.IFS(P942&lt;=2,"Poor",P942=3,"Average",P942&gt;=4,"Good")</f>
        <v>Average</v>
      </c>
      <c r="P942" s="3">
        <v>3</v>
      </c>
      <c r="Q942" s="2">
        <v>2</v>
      </c>
      <c r="R942" s="4" t="s">
        <v>72</v>
      </c>
      <c r="S942" s="4" t="s">
        <v>73</v>
      </c>
      <c r="T942" s="3">
        <v>2</v>
      </c>
      <c r="U942" s="4" t="str" cm="1">
        <f t="array" ref="U942">_xlfn.IFS(V942&lt;=4, "Dissatisfied",V942&lt;=7,"Neutral",V942&gt;=8,"Satisfied")</f>
        <v>Satisfied</v>
      </c>
      <c r="V942" s="3">
        <v>10</v>
      </c>
      <c r="W942" s="4" t="s">
        <v>59</v>
      </c>
      <c r="X942" s="4" t="s">
        <v>60</v>
      </c>
      <c r="Y942" s="4" t="s">
        <v>119</v>
      </c>
      <c r="Z942" s="1">
        <v>45630</v>
      </c>
      <c r="AA942" s="4" t="str" cm="1">
        <f t="array" ref="AA942">_xlfn.IFS(OR(AB942="December", AB942="February", AB942="January"), "Winter", OR(AB942="March", AB942="April", AB942="May"), "Spring", OR(AB942="June", AB942="July", AB942="August"), "Summer", TRUE, "Autumn")</f>
        <v>Winter</v>
      </c>
      <c r="AB942" s="7" t="str">
        <f>TEXT(Z942, "mmmm")</f>
        <v>December</v>
      </c>
      <c r="AC942" s="1" t="str">
        <f>TEXT(Z942, "dddd")</f>
        <v>Wednesday</v>
      </c>
      <c r="AD942" s="4" t="s">
        <v>76</v>
      </c>
      <c r="AE942" s="4" t="s">
        <v>62</v>
      </c>
      <c r="AF942" s="4" t="s">
        <v>102</v>
      </c>
      <c r="AG942" s="4" t="s">
        <v>88</v>
      </c>
      <c r="AH942" s="3">
        <v>2</v>
      </c>
    </row>
    <row r="943" spans="1:34">
      <c r="A943" s="4" t="s">
        <v>1967</v>
      </c>
      <c r="B943" s="3">
        <v>34</v>
      </c>
      <c r="C943" s="9" t="str" cm="1">
        <f t="array" ref="C943">_xlfn.IFS(B943&gt;65,"+65",B943&gt;54,"55-65",B943&gt;44,"45-54",B943&gt;35,"36-44",B943&gt;25,"26-35",B943&gt;=18,"18-25")</f>
        <v>26-35</v>
      </c>
      <c r="D943" s="4" t="s">
        <v>66</v>
      </c>
      <c r="E943" s="4" t="s">
        <v>51</v>
      </c>
      <c r="F943" s="4" t="s">
        <v>67</v>
      </c>
      <c r="G943" s="4" t="s">
        <v>53</v>
      </c>
      <c r="H943" s="4" t="s">
        <v>1968</v>
      </c>
      <c r="I943" s="4" t="s">
        <v>122</v>
      </c>
      <c r="J943" s="5">
        <v>373.69</v>
      </c>
      <c r="K943" s="3">
        <v>10</v>
      </c>
      <c r="L943" s="4" t="str">
        <f>IF(AND(J943&gt;350,K943&gt;6), "True","False")</f>
        <v>True</v>
      </c>
      <c r="M943" s="4" t="s">
        <v>56</v>
      </c>
      <c r="N943" s="3">
        <v>3</v>
      </c>
      <c r="O943" s="4" t="str" cm="1">
        <f t="array" ref="O943">_xlfn.IFS(P943&lt;=2,"Poor",P943=3,"Average",P943&gt;=4,"Good")</f>
        <v>Poor</v>
      </c>
      <c r="P943" s="3">
        <v>2</v>
      </c>
      <c r="Q943" s="2">
        <v>2</v>
      </c>
      <c r="R943" s="4" t="s">
        <v>85</v>
      </c>
      <c r="S943" s="4" t="s">
        <v>58</v>
      </c>
      <c r="T943" s="3">
        <v>1</v>
      </c>
      <c r="U943" s="4" t="str" cm="1">
        <f t="array" ref="U943">_xlfn.IFS(V943&lt;=4, "Dissatisfied",V943&lt;=7,"Neutral",V943&gt;=8,"Satisfied")</f>
        <v>Satisfied</v>
      </c>
      <c r="V943" s="3">
        <v>8</v>
      </c>
      <c r="W943" s="4" t="s">
        <v>57</v>
      </c>
      <c r="X943" s="4" t="s">
        <v>74</v>
      </c>
      <c r="Y943" s="4" t="s">
        <v>119</v>
      </c>
      <c r="Z943" s="1">
        <v>45630</v>
      </c>
      <c r="AA943" s="4" t="str" cm="1">
        <f t="array" ref="AA943">_xlfn.IFS(OR(AB943="December", AB943="February", AB943="January"), "Winter", OR(AB943="March", AB943="April", AB943="May"), "Spring", OR(AB943="June", AB943="July", AB943="August"), "Summer", TRUE, "Autumn")</f>
        <v>Winter</v>
      </c>
      <c r="AB943" s="7" t="str">
        <f>TEXT(Z943, "mmmm")</f>
        <v>December</v>
      </c>
      <c r="AC943" s="1" t="str">
        <f>TEXT(Z943, "dddd")</f>
        <v>Wednesday</v>
      </c>
      <c r="AD943" s="4" t="s">
        <v>76</v>
      </c>
      <c r="AE943" s="4" t="s">
        <v>62</v>
      </c>
      <c r="AF943" s="4" t="s">
        <v>92</v>
      </c>
      <c r="AG943" s="4" t="s">
        <v>93</v>
      </c>
      <c r="AH943" s="3">
        <v>14</v>
      </c>
    </row>
    <row r="944" spans="1:34">
      <c r="A944" s="4" t="s">
        <v>1969</v>
      </c>
      <c r="B944" s="3">
        <v>32</v>
      </c>
      <c r="C944" s="9" t="str" cm="1">
        <f t="array" ref="C944">_xlfn.IFS(B944&gt;65,"+65",B944&gt;54,"55-65",B944&gt;44,"45-54",B944&gt;35,"36-44",B944&gt;25,"26-35",B944&gt;=18,"18-25")</f>
        <v>26-35</v>
      </c>
      <c r="D944" s="4" t="s">
        <v>78</v>
      </c>
      <c r="E944" s="4" t="s">
        <v>72</v>
      </c>
      <c r="F944" s="4" t="s">
        <v>95</v>
      </c>
      <c r="G944" s="4" t="s">
        <v>53</v>
      </c>
      <c r="H944" s="4" t="s">
        <v>1970</v>
      </c>
      <c r="I944" s="4" t="s">
        <v>110</v>
      </c>
      <c r="J944" s="5">
        <v>485.77</v>
      </c>
      <c r="K944" s="3">
        <v>10</v>
      </c>
      <c r="L944" s="4" t="str">
        <f>IF(AND(J944&gt;350,K944&gt;6), "True","False")</f>
        <v>True</v>
      </c>
      <c r="M944" s="4" t="s">
        <v>83</v>
      </c>
      <c r="N944" s="3">
        <v>1</v>
      </c>
      <c r="O944" s="4" t="str" cm="1">
        <f t="array" ref="O944">_xlfn.IFS(P944&lt;=2,"Poor",P944=3,"Average",P944&gt;=4,"Good")</f>
        <v>Poor</v>
      </c>
      <c r="P944" s="3">
        <v>2</v>
      </c>
      <c r="Q944" s="2">
        <v>0</v>
      </c>
      <c r="R944" s="4" t="s">
        <v>59</v>
      </c>
      <c r="S944" s="4" t="s">
        <v>58</v>
      </c>
      <c r="T944" s="3">
        <v>2</v>
      </c>
      <c r="U944" s="4" t="str" cm="1">
        <f t="array" ref="U944">_xlfn.IFS(V944&lt;=4, "Dissatisfied",V944&lt;=7,"Neutral",V944&gt;=8,"Satisfied")</f>
        <v>Neutral</v>
      </c>
      <c r="V944" s="3">
        <v>6</v>
      </c>
      <c r="W944" s="4" t="s">
        <v>57</v>
      </c>
      <c r="X944" s="4" t="s">
        <v>74</v>
      </c>
      <c r="Y944" s="4" t="s">
        <v>61</v>
      </c>
      <c r="Z944" s="1">
        <v>45630</v>
      </c>
      <c r="AA944" s="4" t="str" cm="1">
        <f t="array" ref="AA944">_xlfn.IFS(OR(AB944="December", AB944="February", AB944="January"), "Winter", OR(AB944="March", AB944="April", AB944="May"), "Spring", OR(AB944="June", AB944="July", AB944="August"), "Summer", TRUE, "Autumn")</f>
        <v>Winter</v>
      </c>
      <c r="AB944" s="7" t="str">
        <f>TEXT(Z944, "mmmm")</f>
        <v>December</v>
      </c>
      <c r="AC944" s="1" t="str">
        <f>TEXT(Z944, "dddd")</f>
        <v>Wednesday</v>
      </c>
      <c r="AD944" s="4" t="s">
        <v>76</v>
      </c>
      <c r="AE944" s="4" t="s">
        <v>76</v>
      </c>
      <c r="AF944" s="4" t="s">
        <v>87</v>
      </c>
      <c r="AG944" s="4" t="s">
        <v>88</v>
      </c>
      <c r="AH944" s="3">
        <v>6</v>
      </c>
    </row>
    <row r="945" spans="1:34">
      <c r="A945" s="4" t="s">
        <v>1971</v>
      </c>
      <c r="B945" s="3">
        <v>22</v>
      </c>
      <c r="C945" s="9" t="str" cm="1">
        <f t="array" ref="C945">_xlfn.IFS(B945&gt;65,"+65",B945&gt;54,"55-65",B945&gt;44,"45-54",B945&gt;35,"36-44",B945&gt;25,"26-35",B945&gt;=18,"18-25")</f>
        <v>18-25</v>
      </c>
      <c r="D945" s="4" t="s">
        <v>66</v>
      </c>
      <c r="E945" s="4" t="s">
        <v>51</v>
      </c>
      <c r="F945" s="4" t="s">
        <v>52</v>
      </c>
      <c r="G945" s="4" t="s">
        <v>53</v>
      </c>
      <c r="H945" s="4" t="s">
        <v>1972</v>
      </c>
      <c r="I945" s="4" t="s">
        <v>118</v>
      </c>
      <c r="J945" s="5">
        <v>177.05</v>
      </c>
      <c r="K945" s="3">
        <v>5</v>
      </c>
      <c r="L945" s="4" t="str">
        <f>IF(AND(J945&gt;350,K945&gt;6), "True","False")</f>
        <v>False</v>
      </c>
      <c r="M945" s="4" t="s">
        <v>56</v>
      </c>
      <c r="N945" s="3">
        <v>3</v>
      </c>
      <c r="O945" s="4" t="str" cm="1">
        <f t="array" ref="O945">_xlfn.IFS(P945&lt;=2,"Poor",P945=3,"Average",P945&gt;=4,"Good")</f>
        <v>Poor</v>
      </c>
      <c r="P945" s="3">
        <v>1</v>
      </c>
      <c r="Q945" s="2">
        <v>1</v>
      </c>
      <c r="R945" s="4" t="s">
        <v>57</v>
      </c>
      <c r="S945" s="4" t="s">
        <v>84</v>
      </c>
      <c r="T945" s="3">
        <v>2</v>
      </c>
      <c r="U945" s="4" t="str" cm="1">
        <f t="array" ref="U945">_xlfn.IFS(V945&lt;=4, "Dissatisfied",V945&lt;=7,"Neutral",V945&gt;=8,"Satisfied")</f>
        <v>Dissatisfied</v>
      </c>
      <c r="V945" s="3">
        <v>1</v>
      </c>
      <c r="W945" s="4" t="s">
        <v>59</v>
      </c>
      <c r="X945" s="4" t="s">
        <v>74</v>
      </c>
      <c r="Y945" s="4" t="s">
        <v>61</v>
      </c>
      <c r="Z945" s="1">
        <v>45630</v>
      </c>
      <c r="AA945" s="4" t="str" cm="1">
        <f t="array" ref="AA945">_xlfn.IFS(OR(AB945="December", AB945="February", AB945="January"), "Winter", OR(AB945="March", AB945="April", AB945="May"), "Spring", OR(AB945="June", AB945="July", AB945="August"), "Summer", TRUE, "Autumn")</f>
        <v>Winter</v>
      </c>
      <c r="AB945" s="7" t="str">
        <f>TEXT(Z945, "mmmm")</f>
        <v>December</v>
      </c>
      <c r="AC945" s="1" t="str">
        <f>TEXT(Z945, "dddd")</f>
        <v>Wednesday</v>
      </c>
      <c r="AD945" s="4" t="s">
        <v>62</v>
      </c>
      <c r="AE945" s="4" t="s">
        <v>62</v>
      </c>
      <c r="AF945" s="4" t="s">
        <v>92</v>
      </c>
      <c r="AG945" s="4" t="s">
        <v>64</v>
      </c>
      <c r="AH945" s="3">
        <v>1</v>
      </c>
    </row>
    <row r="946" spans="1:34">
      <c r="A946" s="4" t="s">
        <v>1973</v>
      </c>
      <c r="B946" s="3">
        <v>40</v>
      </c>
      <c r="C946" s="9" t="str" cm="1">
        <f t="array" ref="C946">_xlfn.IFS(B946&gt;65,"+65",B946&gt;54,"55-65",B946&gt;44,"45-54",B946&gt;35,"36-44",B946&gt;25,"26-35",B946&gt;=18,"18-25")</f>
        <v>36-44</v>
      </c>
      <c r="D946" s="4" t="s">
        <v>66</v>
      </c>
      <c r="E946" s="4" t="s">
        <v>72</v>
      </c>
      <c r="F946" s="4" t="s">
        <v>52</v>
      </c>
      <c r="G946" s="4" t="s">
        <v>53</v>
      </c>
      <c r="H946" s="4" t="s">
        <v>1485</v>
      </c>
      <c r="I946" s="4" t="s">
        <v>151</v>
      </c>
      <c r="J946" s="5">
        <v>333.63</v>
      </c>
      <c r="K946" s="3">
        <v>8</v>
      </c>
      <c r="L946" s="4" t="str">
        <f>IF(AND(J946&gt;350,K946&gt;6), "True","False")</f>
        <v>False</v>
      </c>
      <c r="M946" s="4" t="s">
        <v>83</v>
      </c>
      <c r="N946" s="3">
        <v>4</v>
      </c>
      <c r="O946" s="4" t="str" cm="1">
        <f t="array" ref="O946">_xlfn.IFS(P946&lt;=2,"Poor",P946=3,"Average",P946&gt;=4,"Good")</f>
        <v>Good</v>
      </c>
      <c r="P946" s="3">
        <v>5</v>
      </c>
      <c r="Q946" s="2">
        <v>2</v>
      </c>
      <c r="R946" s="4" t="s">
        <v>57</v>
      </c>
      <c r="S946" s="4" t="s">
        <v>73</v>
      </c>
      <c r="T946" s="3">
        <v>2</v>
      </c>
      <c r="U946" s="4" t="str" cm="1">
        <f t="array" ref="U946">_xlfn.IFS(V946&lt;=4, "Dissatisfied",V946&lt;=7,"Neutral",V946&gt;=8,"Satisfied")</f>
        <v>Dissatisfied</v>
      </c>
      <c r="V946" s="3">
        <v>2</v>
      </c>
      <c r="W946" s="4" t="s">
        <v>72</v>
      </c>
      <c r="X946" s="4" t="s">
        <v>60</v>
      </c>
      <c r="Y946" s="4" t="s">
        <v>111</v>
      </c>
      <c r="Z946" s="1">
        <v>45631</v>
      </c>
      <c r="AA946" s="4" t="str" cm="1">
        <f t="array" ref="AA946">_xlfn.IFS(OR(AB946="December", AB946="February", AB946="January"), "Winter", OR(AB946="March", AB946="April", AB946="May"), "Spring", OR(AB946="June", AB946="July", AB946="August"), "Summer", TRUE, "Autumn")</f>
        <v>Winter</v>
      </c>
      <c r="AB946" s="7" t="str">
        <f>TEXT(Z946, "mmmm")</f>
        <v>December</v>
      </c>
      <c r="AC946" s="1" t="str">
        <f>TEXT(Z946, "dddd")</f>
        <v>Thursday</v>
      </c>
      <c r="AD946" s="4" t="s">
        <v>76</v>
      </c>
      <c r="AE946" s="4" t="s">
        <v>76</v>
      </c>
      <c r="AF946" s="4" t="s">
        <v>63</v>
      </c>
      <c r="AG946" s="4" t="s">
        <v>93</v>
      </c>
      <c r="AH946" s="3">
        <v>14</v>
      </c>
    </row>
    <row r="947" spans="1:34">
      <c r="A947" s="4" t="s">
        <v>1974</v>
      </c>
      <c r="B947" s="3">
        <v>23</v>
      </c>
      <c r="C947" s="9" t="str" cm="1">
        <f t="array" ref="C947">_xlfn.IFS(B947&gt;65,"+65",B947&gt;54,"55-65",B947&gt;44,"45-54",B947&gt;35,"36-44",B947&gt;25,"26-35",B947&gt;=18,"18-25")</f>
        <v>18-25</v>
      </c>
      <c r="D947" s="4" t="s">
        <v>188</v>
      </c>
      <c r="E947" s="4" t="s">
        <v>51</v>
      </c>
      <c r="F947" s="4" t="s">
        <v>79</v>
      </c>
      <c r="G947" s="4" t="s">
        <v>68</v>
      </c>
      <c r="H947" s="4" t="s">
        <v>1975</v>
      </c>
      <c r="I947" s="4" t="s">
        <v>194</v>
      </c>
      <c r="J947" s="5">
        <v>92.43</v>
      </c>
      <c r="K947" s="3">
        <v>12</v>
      </c>
      <c r="L947" s="4" t="str">
        <f>IF(AND(J947&gt;350,K947&gt;6), "True","False")</f>
        <v>False</v>
      </c>
      <c r="M947" s="4" t="s">
        <v>83</v>
      </c>
      <c r="N947" s="3">
        <v>4</v>
      </c>
      <c r="O947" s="4" t="str" cm="1">
        <f t="array" ref="O947">_xlfn.IFS(P947&lt;=2,"Poor",P947=3,"Average",P947&gt;=4,"Good")</f>
        <v>Poor</v>
      </c>
      <c r="P947" s="3">
        <v>1</v>
      </c>
      <c r="Q947" s="2">
        <v>0</v>
      </c>
      <c r="R947" s="4" t="s">
        <v>85</v>
      </c>
      <c r="S947" s="4" t="s">
        <v>84</v>
      </c>
      <c r="T947" s="3">
        <v>2</v>
      </c>
      <c r="U947" s="4" t="str" cm="1">
        <f t="array" ref="U947">_xlfn.IFS(V947&lt;=4, "Dissatisfied",V947&lt;=7,"Neutral",V947&gt;=8,"Satisfied")</f>
        <v>Satisfied</v>
      </c>
      <c r="V947" s="3">
        <v>9</v>
      </c>
      <c r="W947" s="4" t="s">
        <v>57</v>
      </c>
      <c r="X947" s="4" t="s">
        <v>60</v>
      </c>
      <c r="Y947" s="4" t="s">
        <v>111</v>
      </c>
      <c r="Z947" s="1">
        <v>45631</v>
      </c>
      <c r="AA947" s="4" t="str" cm="1">
        <f t="array" ref="AA947">_xlfn.IFS(OR(AB947="December", AB947="February", AB947="January"), "Winter", OR(AB947="March", AB947="April", AB947="May"), "Spring", OR(AB947="June", AB947="July", AB947="August"), "Summer", TRUE, "Autumn")</f>
        <v>Winter</v>
      </c>
      <c r="AB947" s="7" t="str">
        <f>TEXT(Z947, "mmmm")</f>
        <v>December</v>
      </c>
      <c r="AC947" s="1" t="str">
        <f>TEXT(Z947, "dddd")</f>
        <v>Thursday</v>
      </c>
      <c r="AD947" s="4" t="s">
        <v>76</v>
      </c>
      <c r="AE947" s="4" t="s">
        <v>62</v>
      </c>
      <c r="AF947" s="4" t="s">
        <v>63</v>
      </c>
      <c r="AG947" s="4" t="s">
        <v>64</v>
      </c>
      <c r="AH947" s="3">
        <v>6</v>
      </c>
    </row>
    <row r="948" spans="1:34">
      <c r="A948" s="4" t="s">
        <v>1976</v>
      </c>
      <c r="B948" s="3">
        <v>45</v>
      </c>
      <c r="C948" s="9" t="str" cm="1">
        <f t="array" ref="C948">_xlfn.IFS(B948&gt;65,"+65",B948&gt;54,"55-65",B948&gt;44,"45-54",B948&gt;35,"36-44",B948&gt;25,"26-35",B948&gt;=18,"18-25")</f>
        <v>45-54</v>
      </c>
      <c r="D948" s="4" t="s">
        <v>78</v>
      </c>
      <c r="E948" s="4" t="s">
        <v>51</v>
      </c>
      <c r="F948" s="4" t="s">
        <v>79</v>
      </c>
      <c r="G948" s="4" t="s">
        <v>80</v>
      </c>
      <c r="H948" s="4" t="s">
        <v>1977</v>
      </c>
      <c r="I948" s="4" t="s">
        <v>223</v>
      </c>
      <c r="J948" s="5">
        <v>491.51</v>
      </c>
      <c r="K948" s="3">
        <v>2</v>
      </c>
      <c r="L948" s="4" t="str">
        <f>IF(AND(J948&gt;350,K948&gt;6), "True","False")</f>
        <v>False</v>
      </c>
      <c r="M948" s="4" t="s">
        <v>83</v>
      </c>
      <c r="N948" s="3">
        <v>2</v>
      </c>
      <c r="O948" s="4" t="str" cm="1">
        <f t="array" ref="O948">_xlfn.IFS(P948&lt;=2,"Poor",P948=3,"Average",P948&gt;=4,"Good")</f>
        <v>Good</v>
      </c>
      <c r="P948" s="3">
        <v>5</v>
      </c>
      <c r="Q948" s="2">
        <v>0</v>
      </c>
      <c r="R948" s="4" t="s">
        <v>85</v>
      </c>
      <c r="S948" s="4" t="s">
        <v>73</v>
      </c>
      <c r="T948" s="3">
        <v>1</v>
      </c>
      <c r="U948" s="4" t="str" cm="1">
        <f t="array" ref="U948">_xlfn.IFS(V948&lt;=4, "Dissatisfied",V948&lt;=7,"Neutral",V948&gt;=8,"Satisfied")</f>
        <v>Dissatisfied</v>
      </c>
      <c r="V948" s="3">
        <v>1</v>
      </c>
      <c r="W948" s="4" t="s">
        <v>72</v>
      </c>
      <c r="X948" s="4" t="s">
        <v>60</v>
      </c>
      <c r="Y948" s="4" t="s">
        <v>86</v>
      </c>
      <c r="Z948" s="1">
        <v>45632</v>
      </c>
      <c r="AA948" s="4" t="str" cm="1">
        <f t="array" ref="AA948">_xlfn.IFS(OR(AB948="December", AB948="February", AB948="January"), "Winter", OR(AB948="March", AB948="April", AB948="May"), "Spring", OR(AB948="June", AB948="July", AB948="August"), "Summer", TRUE, "Autumn")</f>
        <v>Winter</v>
      </c>
      <c r="AB948" s="7" t="str">
        <f>TEXT(Z948, "mmmm")</f>
        <v>December</v>
      </c>
      <c r="AC948" s="1" t="str">
        <f>TEXT(Z948, "dddd")</f>
        <v>Friday</v>
      </c>
      <c r="AD948" s="4" t="s">
        <v>62</v>
      </c>
      <c r="AE948" s="4" t="s">
        <v>76</v>
      </c>
      <c r="AF948" s="4" t="s">
        <v>63</v>
      </c>
      <c r="AG948" s="4" t="s">
        <v>88</v>
      </c>
      <c r="AH948" s="3">
        <v>7</v>
      </c>
    </row>
    <row r="949" spans="1:34">
      <c r="A949" s="4" t="s">
        <v>1978</v>
      </c>
      <c r="B949" s="3">
        <v>30</v>
      </c>
      <c r="C949" s="9" t="str" cm="1">
        <f t="array" ref="C949">_xlfn.IFS(B949&gt;65,"+65",B949&gt;54,"55-65",B949&gt;44,"45-54",B949&gt;35,"36-44",B949&gt;25,"26-35",B949&gt;=18,"18-25")</f>
        <v>26-35</v>
      </c>
      <c r="D949" s="4" t="s">
        <v>66</v>
      </c>
      <c r="E949" s="4" t="s">
        <v>51</v>
      </c>
      <c r="F949" s="4" t="s">
        <v>79</v>
      </c>
      <c r="G949" s="4" t="s">
        <v>53</v>
      </c>
      <c r="H949" s="4" t="s">
        <v>1979</v>
      </c>
      <c r="I949" s="4" t="s">
        <v>100</v>
      </c>
      <c r="J949" s="5">
        <v>353.4</v>
      </c>
      <c r="K949" s="3">
        <v>2</v>
      </c>
      <c r="L949" s="4" t="str">
        <f>IF(AND(J949&gt;350,K949&gt;6), "True","False")</f>
        <v>False</v>
      </c>
      <c r="M949" s="4" t="s">
        <v>56</v>
      </c>
      <c r="N949" s="3">
        <v>2</v>
      </c>
      <c r="O949" s="4" t="str" cm="1">
        <f t="array" ref="O949">_xlfn.IFS(P949&lt;=2,"Poor",P949=3,"Average",P949&gt;=4,"Good")</f>
        <v>Average</v>
      </c>
      <c r="P949" s="3">
        <v>3</v>
      </c>
      <c r="Q949" s="2">
        <v>2</v>
      </c>
      <c r="R949" s="4" t="s">
        <v>85</v>
      </c>
      <c r="S949" s="4" t="s">
        <v>73</v>
      </c>
      <c r="T949" s="3">
        <v>0</v>
      </c>
      <c r="U949" s="4" t="str" cm="1">
        <f t="array" ref="U949">_xlfn.IFS(V949&lt;=4, "Dissatisfied",V949&lt;=7,"Neutral",V949&gt;=8,"Satisfied")</f>
        <v>Dissatisfied</v>
      </c>
      <c r="V949" s="3">
        <v>1</v>
      </c>
      <c r="W949" s="4" t="s">
        <v>59</v>
      </c>
      <c r="X949" s="4" t="s">
        <v>74</v>
      </c>
      <c r="Y949" s="4" t="s">
        <v>119</v>
      </c>
      <c r="Z949" s="1">
        <v>45632</v>
      </c>
      <c r="AA949" s="4" t="str" cm="1">
        <f t="array" ref="AA949">_xlfn.IFS(OR(AB949="December", AB949="February", AB949="January"), "Winter", OR(AB949="March", AB949="April", AB949="May"), "Spring", OR(AB949="June", AB949="July", AB949="August"), "Summer", TRUE, "Autumn")</f>
        <v>Winter</v>
      </c>
      <c r="AB949" s="7" t="str">
        <f>TEXT(Z949, "mmmm")</f>
        <v>December</v>
      </c>
      <c r="AC949" s="1" t="str">
        <f>TEXT(Z949, "dddd")</f>
        <v>Friday</v>
      </c>
      <c r="AD949" s="4" t="s">
        <v>76</v>
      </c>
      <c r="AE949" s="4" t="s">
        <v>62</v>
      </c>
      <c r="AF949" s="4" t="s">
        <v>92</v>
      </c>
      <c r="AG949" s="4" t="s">
        <v>88</v>
      </c>
      <c r="AH949" s="3">
        <v>3</v>
      </c>
    </row>
    <row r="950" spans="1:34">
      <c r="A950" s="4" t="s">
        <v>1980</v>
      </c>
      <c r="B950" s="3">
        <v>24</v>
      </c>
      <c r="C950" s="9" t="str" cm="1">
        <f t="array" ref="C950">_xlfn.IFS(B950&gt;65,"+65",B950&gt;54,"55-65",B950&gt;44,"45-54",B950&gt;35,"36-44",B950&gt;25,"26-35",B950&gt;=18,"18-25")</f>
        <v>18-25</v>
      </c>
      <c r="D950" s="4" t="s">
        <v>66</v>
      </c>
      <c r="E950" s="4" t="s">
        <v>51</v>
      </c>
      <c r="F950" s="4" t="s">
        <v>52</v>
      </c>
      <c r="G950" s="4" t="s">
        <v>80</v>
      </c>
      <c r="H950" s="4" t="s">
        <v>1981</v>
      </c>
      <c r="I950" s="4" t="s">
        <v>164</v>
      </c>
      <c r="J950" s="5">
        <v>292.64</v>
      </c>
      <c r="K950" s="3">
        <v>5</v>
      </c>
      <c r="L950" s="4" t="str">
        <f>IF(AND(J950&gt;350,K950&gt;6), "True","False")</f>
        <v>False</v>
      </c>
      <c r="M950" s="4" t="s">
        <v>71</v>
      </c>
      <c r="N950" s="3">
        <v>1</v>
      </c>
      <c r="O950" s="4" t="str" cm="1">
        <f t="array" ref="O950">_xlfn.IFS(P950&lt;=2,"Poor",P950=3,"Average",P950&gt;=4,"Good")</f>
        <v>Poor</v>
      </c>
      <c r="P950" s="3">
        <v>1</v>
      </c>
      <c r="Q950" s="2">
        <v>1</v>
      </c>
      <c r="R950" s="4" t="s">
        <v>57</v>
      </c>
      <c r="S950" s="4" t="s">
        <v>84</v>
      </c>
      <c r="T950" s="3">
        <v>2</v>
      </c>
      <c r="U950" s="4" t="str" cm="1">
        <f t="array" ref="U950">_xlfn.IFS(V950&lt;=4, "Dissatisfied",V950&lt;=7,"Neutral",V950&gt;=8,"Satisfied")</f>
        <v>Satisfied</v>
      </c>
      <c r="V950" s="3">
        <v>10</v>
      </c>
      <c r="W950" s="4" t="s">
        <v>85</v>
      </c>
      <c r="X950" s="4" t="s">
        <v>74</v>
      </c>
      <c r="Y950" s="4" t="s">
        <v>119</v>
      </c>
      <c r="Z950" s="1">
        <v>45632</v>
      </c>
      <c r="AA950" s="4" t="str" cm="1">
        <f t="array" ref="AA950">_xlfn.IFS(OR(AB950="December", AB950="February", AB950="January"), "Winter", OR(AB950="March", AB950="April", AB950="May"), "Spring", OR(AB950="June", AB950="July", AB950="August"), "Summer", TRUE, "Autumn")</f>
        <v>Winter</v>
      </c>
      <c r="AB950" s="7" t="str">
        <f>TEXT(Z950, "mmmm")</f>
        <v>December</v>
      </c>
      <c r="AC950" s="1" t="str">
        <f>TEXT(Z950, "dddd")</f>
        <v>Friday</v>
      </c>
      <c r="AD950" s="4" t="s">
        <v>62</v>
      </c>
      <c r="AE950" s="4" t="s">
        <v>76</v>
      </c>
      <c r="AF950" s="4" t="s">
        <v>102</v>
      </c>
      <c r="AG950" s="4" t="s">
        <v>64</v>
      </c>
      <c r="AH950" s="3">
        <v>1</v>
      </c>
    </row>
    <row r="951" spans="1:34">
      <c r="A951" s="4" t="s">
        <v>1982</v>
      </c>
      <c r="B951" s="3">
        <v>40</v>
      </c>
      <c r="C951" s="9" t="str" cm="1">
        <f t="array" ref="C951">_xlfn.IFS(B951&gt;65,"+65",B951&gt;54,"55-65",B951&gt;44,"45-54",B951&gt;35,"36-44",B951&gt;25,"26-35",B951&gt;=18,"18-25")</f>
        <v>36-44</v>
      </c>
      <c r="D951" s="4" t="s">
        <v>78</v>
      </c>
      <c r="E951" s="4" t="s">
        <v>72</v>
      </c>
      <c r="F951" s="4" t="s">
        <v>67</v>
      </c>
      <c r="G951" s="4" t="s">
        <v>53</v>
      </c>
      <c r="H951" s="4" t="s">
        <v>1983</v>
      </c>
      <c r="I951" s="4" t="s">
        <v>275</v>
      </c>
      <c r="J951" s="5">
        <v>240.28</v>
      </c>
      <c r="K951" s="3">
        <v>3</v>
      </c>
      <c r="L951" s="4" t="str">
        <f>IF(AND(J951&gt;350,K951&gt;6), "True","False")</f>
        <v>False</v>
      </c>
      <c r="M951" s="4" t="s">
        <v>56</v>
      </c>
      <c r="N951" s="3">
        <v>3</v>
      </c>
      <c r="O951" s="4" t="str" cm="1">
        <f t="array" ref="O951">_xlfn.IFS(P951&lt;=2,"Poor",P951=3,"Average",P951&gt;=4,"Good")</f>
        <v>Good</v>
      </c>
      <c r="P951" s="3">
        <v>5</v>
      </c>
      <c r="Q951" s="2">
        <v>2</v>
      </c>
      <c r="R951" s="4" t="s">
        <v>72</v>
      </c>
      <c r="S951" s="4" t="s">
        <v>58</v>
      </c>
      <c r="T951" s="3">
        <v>2</v>
      </c>
      <c r="U951" s="4" t="str" cm="1">
        <f t="array" ref="U951">_xlfn.IFS(V951&lt;=4, "Dissatisfied",V951&lt;=7,"Neutral",V951&gt;=8,"Satisfied")</f>
        <v>Neutral</v>
      </c>
      <c r="V951" s="3">
        <v>7</v>
      </c>
      <c r="W951" s="4" t="s">
        <v>85</v>
      </c>
      <c r="X951" s="4" t="s">
        <v>74</v>
      </c>
      <c r="Y951" s="4" t="s">
        <v>61</v>
      </c>
      <c r="Z951" s="1">
        <v>45633</v>
      </c>
      <c r="AA951" s="4" t="str" cm="1">
        <f t="array" ref="AA951">_xlfn.IFS(OR(AB951="December", AB951="February", AB951="January"), "Winter", OR(AB951="March", AB951="April", AB951="May"), "Spring", OR(AB951="June", AB951="July", AB951="August"), "Summer", TRUE, "Autumn")</f>
        <v>Winter</v>
      </c>
      <c r="AB951" s="7" t="str">
        <f>TEXT(Z951, "mmmm")</f>
        <v>December</v>
      </c>
      <c r="AC951" s="1" t="str">
        <f>TEXT(Z951, "dddd")</f>
        <v>Saturday</v>
      </c>
      <c r="AD951" s="4" t="s">
        <v>62</v>
      </c>
      <c r="AE951" s="4" t="s">
        <v>62</v>
      </c>
      <c r="AF951" s="4" t="s">
        <v>92</v>
      </c>
      <c r="AG951" s="4" t="s">
        <v>64</v>
      </c>
      <c r="AH951" s="3">
        <v>4</v>
      </c>
    </row>
    <row r="952" spans="1:34">
      <c r="A952" s="4" t="s">
        <v>1984</v>
      </c>
      <c r="B952" s="3">
        <v>29</v>
      </c>
      <c r="C952" s="9" t="str" cm="1">
        <f t="array" ref="C952">_xlfn.IFS(B952&gt;65,"+65",B952&gt;54,"55-65",B952&gt;44,"45-54",B952&gt;35,"36-44",B952&gt;25,"26-35",B952&gt;=18,"18-25")</f>
        <v>26-35</v>
      </c>
      <c r="D952" s="4" t="s">
        <v>66</v>
      </c>
      <c r="E952" s="4" t="s">
        <v>51</v>
      </c>
      <c r="F952" s="4" t="s">
        <v>52</v>
      </c>
      <c r="G952" s="4" t="s">
        <v>68</v>
      </c>
      <c r="H952" s="4" t="s">
        <v>1985</v>
      </c>
      <c r="I952" s="4" t="s">
        <v>100</v>
      </c>
      <c r="J952" s="5">
        <v>295.75</v>
      </c>
      <c r="K952" s="3">
        <v>4</v>
      </c>
      <c r="L952" s="4" t="str">
        <f>IF(AND(J952&gt;350,K952&gt;6), "True","False")</f>
        <v>False</v>
      </c>
      <c r="M952" s="4" t="s">
        <v>83</v>
      </c>
      <c r="N952" s="3">
        <v>1</v>
      </c>
      <c r="O952" s="4" t="str" cm="1">
        <f t="array" ref="O952">_xlfn.IFS(P952&lt;=2,"Poor",P952=3,"Average",P952&gt;=4,"Good")</f>
        <v>Poor</v>
      </c>
      <c r="P952" s="3">
        <v>1</v>
      </c>
      <c r="Q952" s="2">
        <v>0</v>
      </c>
      <c r="R952" s="4" t="s">
        <v>72</v>
      </c>
      <c r="S952" s="4" t="s">
        <v>84</v>
      </c>
      <c r="T952" s="3">
        <v>1</v>
      </c>
      <c r="U952" s="4" t="str" cm="1">
        <f t="array" ref="U952">_xlfn.IFS(V952&lt;=4, "Dissatisfied",V952&lt;=7,"Neutral",V952&gt;=8,"Satisfied")</f>
        <v>Satisfied</v>
      </c>
      <c r="V952" s="3">
        <v>10</v>
      </c>
      <c r="W952" s="4" t="s">
        <v>59</v>
      </c>
      <c r="X952" s="4" t="s">
        <v>74</v>
      </c>
      <c r="Y952" s="4" t="s">
        <v>119</v>
      </c>
      <c r="Z952" s="1">
        <v>45633</v>
      </c>
      <c r="AA952" s="4" t="str" cm="1">
        <f t="array" ref="AA952">_xlfn.IFS(OR(AB952="December", AB952="February", AB952="January"), "Winter", OR(AB952="March", AB952="April", AB952="May"), "Spring", OR(AB952="June", AB952="July", AB952="August"), "Summer", TRUE, "Autumn")</f>
        <v>Winter</v>
      </c>
      <c r="AB952" s="7" t="str">
        <f>TEXT(Z952, "mmmm")</f>
        <v>December</v>
      </c>
      <c r="AC952" s="1" t="str">
        <f>TEXT(Z952, "dddd")</f>
        <v>Saturday</v>
      </c>
      <c r="AD952" s="4" t="s">
        <v>62</v>
      </c>
      <c r="AE952" s="4" t="s">
        <v>62</v>
      </c>
      <c r="AF952" s="4" t="s">
        <v>63</v>
      </c>
      <c r="AG952" s="4" t="s">
        <v>64</v>
      </c>
      <c r="AH952" s="3">
        <v>8</v>
      </c>
    </row>
    <row r="953" spans="1:34">
      <c r="A953" s="4" t="s">
        <v>1986</v>
      </c>
      <c r="B953" s="3">
        <v>43</v>
      </c>
      <c r="C953" s="9" t="str" cm="1">
        <f t="array" ref="C953">_xlfn.IFS(B953&gt;65,"+65",B953&gt;54,"55-65",B953&gt;44,"45-54",B953&gt;35,"36-44",B953&gt;25,"26-35",B953&gt;=18,"18-25")</f>
        <v>36-44</v>
      </c>
      <c r="D953" s="4" t="s">
        <v>66</v>
      </c>
      <c r="E953" s="4" t="s">
        <v>51</v>
      </c>
      <c r="F953" s="4" t="s">
        <v>95</v>
      </c>
      <c r="G953" s="4" t="s">
        <v>53</v>
      </c>
      <c r="H953" s="4" t="s">
        <v>1987</v>
      </c>
      <c r="I953" s="4" t="s">
        <v>156</v>
      </c>
      <c r="J953" s="5">
        <v>175.65</v>
      </c>
      <c r="K953" s="3">
        <v>11</v>
      </c>
      <c r="L953" s="4" t="str">
        <f>IF(AND(J953&gt;350,K953&gt;6), "True","False")</f>
        <v>False</v>
      </c>
      <c r="M953" s="4" t="s">
        <v>83</v>
      </c>
      <c r="N953" s="3">
        <v>4</v>
      </c>
      <c r="O953" s="4" t="str" cm="1">
        <f t="array" ref="O953">_xlfn.IFS(P953&lt;=2,"Poor",P953=3,"Average",P953&gt;=4,"Good")</f>
        <v>Average</v>
      </c>
      <c r="P953" s="3">
        <v>3</v>
      </c>
      <c r="Q953" s="2">
        <v>2</v>
      </c>
      <c r="R953" s="4" t="s">
        <v>59</v>
      </c>
      <c r="S953" s="4" t="s">
        <v>58</v>
      </c>
      <c r="T953" s="3">
        <v>1</v>
      </c>
      <c r="U953" s="4" t="str" cm="1">
        <f t="array" ref="U953">_xlfn.IFS(V953&lt;=4, "Dissatisfied",V953&lt;=7,"Neutral",V953&gt;=8,"Satisfied")</f>
        <v>Neutral</v>
      </c>
      <c r="V953" s="3">
        <v>7</v>
      </c>
      <c r="W953" s="4" t="s">
        <v>57</v>
      </c>
      <c r="X953" s="4" t="s">
        <v>74</v>
      </c>
      <c r="Y953" s="4" t="s">
        <v>111</v>
      </c>
      <c r="Z953" s="1">
        <v>45634</v>
      </c>
      <c r="AA953" s="4" t="str" cm="1">
        <f t="array" ref="AA953">_xlfn.IFS(OR(AB953="December", AB953="February", AB953="January"), "Winter", OR(AB953="March", AB953="April", AB953="May"), "Spring", OR(AB953="June", AB953="July", AB953="August"), "Summer", TRUE, "Autumn")</f>
        <v>Winter</v>
      </c>
      <c r="AB953" s="7" t="str">
        <f>TEXT(Z953, "mmmm")</f>
        <v>December</v>
      </c>
      <c r="AC953" s="1" t="str">
        <f>TEXT(Z953, "dddd")</f>
        <v>Sunday</v>
      </c>
      <c r="AD953" s="4" t="s">
        <v>76</v>
      </c>
      <c r="AE953" s="4" t="s">
        <v>62</v>
      </c>
      <c r="AF953" s="4" t="s">
        <v>102</v>
      </c>
      <c r="AG953" s="4" t="s">
        <v>93</v>
      </c>
      <c r="AH953" s="3">
        <v>8</v>
      </c>
    </row>
    <row r="954" spans="1:34">
      <c r="A954" s="4" t="s">
        <v>1988</v>
      </c>
      <c r="B954" s="3">
        <v>37</v>
      </c>
      <c r="C954" s="9" t="str" cm="1">
        <f t="array" ref="C954">_xlfn.IFS(B954&gt;65,"+65",B954&gt;54,"55-65",B954&gt;44,"45-54",B954&gt;35,"36-44",B954&gt;25,"26-35",B954&gt;=18,"18-25")</f>
        <v>36-44</v>
      </c>
      <c r="D954" s="4" t="s">
        <v>78</v>
      </c>
      <c r="E954" s="4" t="s">
        <v>72</v>
      </c>
      <c r="F954" s="4" t="s">
        <v>52</v>
      </c>
      <c r="G954" s="4" t="s">
        <v>68</v>
      </c>
      <c r="H954" s="4" t="s">
        <v>1989</v>
      </c>
      <c r="I954" s="4" t="s">
        <v>55</v>
      </c>
      <c r="J954" s="5">
        <v>57.5</v>
      </c>
      <c r="K954" s="3">
        <v>12</v>
      </c>
      <c r="L954" s="4" t="str">
        <f>IF(AND(J954&gt;350,K954&gt;6), "True","False")</f>
        <v>False</v>
      </c>
      <c r="M954" s="4" t="s">
        <v>56</v>
      </c>
      <c r="N954" s="3">
        <v>5</v>
      </c>
      <c r="O954" s="4" t="str" cm="1">
        <f t="array" ref="O954">_xlfn.IFS(P954&lt;=2,"Poor",P954=3,"Average",P954&gt;=4,"Good")</f>
        <v>Poor</v>
      </c>
      <c r="P954" s="3">
        <v>1</v>
      </c>
      <c r="Q954" s="2">
        <v>1</v>
      </c>
      <c r="R954" s="4" t="s">
        <v>57</v>
      </c>
      <c r="S954" s="4" t="s">
        <v>58</v>
      </c>
      <c r="T954" s="3">
        <v>0</v>
      </c>
      <c r="U954" s="4" t="str" cm="1">
        <f t="array" ref="U954">_xlfn.IFS(V954&lt;=4, "Dissatisfied",V954&lt;=7,"Neutral",V954&gt;=8,"Satisfied")</f>
        <v>Dissatisfied</v>
      </c>
      <c r="V954" s="3">
        <v>3</v>
      </c>
      <c r="W954" s="4" t="s">
        <v>57</v>
      </c>
      <c r="X954" s="4" t="s">
        <v>101</v>
      </c>
      <c r="Y954" s="4" t="s">
        <v>61</v>
      </c>
      <c r="Z954" s="1">
        <v>45634</v>
      </c>
      <c r="AA954" s="4" t="str" cm="1">
        <f t="array" ref="AA954">_xlfn.IFS(OR(AB954="December", AB954="February", AB954="January"), "Winter", OR(AB954="March", AB954="April", AB954="May"), "Spring", OR(AB954="June", AB954="July", AB954="August"), "Summer", TRUE, "Autumn")</f>
        <v>Winter</v>
      </c>
      <c r="AB954" s="7" t="str">
        <f>TEXT(Z954, "mmmm")</f>
        <v>December</v>
      </c>
      <c r="AC954" s="1" t="str">
        <f>TEXT(Z954, "dddd")</f>
        <v>Sunday</v>
      </c>
      <c r="AD954" s="4" t="s">
        <v>62</v>
      </c>
      <c r="AE954" s="4" t="s">
        <v>62</v>
      </c>
      <c r="AF954" s="4" t="s">
        <v>92</v>
      </c>
      <c r="AG954" s="4" t="s">
        <v>88</v>
      </c>
      <c r="AH954" s="3">
        <v>13</v>
      </c>
    </row>
    <row r="955" spans="1:34">
      <c r="A955" s="4" t="s">
        <v>1990</v>
      </c>
      <c r="B955" s="3">
        <v>32</v>
      </c>
      <c r="C955" s="9" t="str" cm="1">
        <f t="array" ref="C955">_xlfn.IFS(B955&gt;65,"+65",B955&gt;54,"55-65",B955&gt;44,"45-54",B955&gt;35,"36-44",B955&gt;25,"26-35",B955&gt;=18,"18-25")</f>
        <v>26-35</v>
      </c>
      <c r="D955" s="4" t="s">
        <v>66</v>
      </c>
      <c r="E955" s="4" t="s">
        <v>51</v>
      </c>
      <c r="F955" s="4" t="s">
        <v>95</v>
      </c>
      <c r="G955" s="4" t="s">
        <v>80</v>
      </c>
      <c r="H955" s="4" t="s">
        <v>1991</v>
      </c>
      <c r="I955" s="4" t="s">
        <v>100</v>
      </c>
      <c r="J955" s="5">
        <v>454.15</v>
      </c>
      <c r="K955" s="3">
        <v>11</v>
      </c>
      <c r="L955" s="4" t="str">
        <f>IF(AND(J955&gt;350,K955&gt;6), "True","False")</f>
        <v>True</v>
      </c>
      <c r="M955" s="4" t="s">
        <v>71</v>
      </c>
      <c r="N955" s="3">
        <v>2</v>
      </c>
      <c r="O955" s="4" t="str" cm="1">
        <f t="array" ref="O955">_xlfn.IFS(P955&lt;=2,"Poor",P955=3,"Average",P955&gt;=4,"Good")</f>
        <v>Poor</v>
      </c>
      <c r="P955" s="3">
        <v>1</v>
      </c>
      <c r="Q955" s="2">
        <v>1</v>
      </c>
      <c r="R955" s="4" t="s">
        <v>72</v>
      </c>
      <c r="S955" s="4" t="s">
        <v>58</v>
      </c>
      <c r="T955" s="3">
        <v>1</v>
      </c>
      <c r="U955" s="4" t="str" cm="1">
        <f t="array" ref="U955">_xlfn.IFS(V955&lt;=4, "Dissatisfied",V955&lt;=7,"Neutral",V955&gt;=8,"Satisfied")</f>
        <v>Satisfied</v>
      </c>
      <c r="V955" s="3">
        <v>8</v>
      </c>
      <c r="W955" s="4" t="s">
        <v>72</v>
      </c>
      <c r="X955" s="4" t="s">
        <v>60</v>
      </c>
      <c r="Y955" s="4" t="s">
        <v>61</v>
      </c>
      <c r="Z955" s="1">
        <v>45634</v>
      </c>
      <c r="AA955" s="4" t="str" cm="1">
        <f t="array" ref="AA955">_xlfn.IFS(OR(AB955="December", AB955="February", AB955="January"), "Winter", OR(AB955="March", AB955="April", AB955="May"), "Spring", OR(AB955="June", AB955="July", AB955="August"), "Summer", TRUE, "Autumn")</f>
        <v>Winter</v>
      </c>
      <c r="AB955" s="7" t="str">
        <f>TEXT(Z955, "mmmm")</f>
        <v>December</v>
      </c>
      <c r="AC955" s="1" t="str">
        <f>TEXT(Z955, "dddd")</f>
        <v>Sunday</v>
      </c>
      <c r="AD955" s="4" t="s">
        <v>62</v>
      </c>
      <c r="AE955" s="4" t="s">
        <v>62</v>
      </c>
      <c r="AF955" s="4" t="s">
        <v>87</v>
      </c>
      <c r="AG955" s="4" t="s">
        <v>93</v>
      </c>
      <c r="AH955" s="3">
        <v>13</v>
      </c>
    </row>
    <row r="956" spans="1:34">
      <c r="A956" s="4" t="s">
        <v>1992</v>
      </c>
      <c r="B956" s="3">
        <v>21</v>
      </c>
      <c r="C956" s="9" t="str" cm="1">
        <f t="array" ref="C956">_xlfn.IFS(B956&gt;65,"+65",B956&gt;54,"55-65",B956&gt;44,"45-54",B956&gt;35,"36-44",B956&gt;25,"26-35",B956&gt;=18,"18-25")</f>
        <v>18-25</v>
      </c>
      <c r="D956" s="4" t="s">
        <v>78</v>
      </c>
      <c r="E956" s="4" t="s">
        <v>51</v>
      </c>
      <c r="F956" s="4" t="s">
        <v>52</v>
      </c>
      <c r="G956" s="4" t="s">
        <v>80</v>
      </c>
      <c r="H956" s="4" t="s">
        <v>1993</v>
      </c>
      <c r="I956" s="4" t="s">
        <v>100</v>
      </c>
      <c r="J956" s="5">
        <v>378.47</v>
      </c>
      <c r="K956" s="3">
        <v>6</v>
      </c>
      <c r="L956" s="4" t="str">
        <f>IF(AND(J956&gt;350,K956&gt;6), "True","False")</f>
        <v>False</v>
      </c>
      <c r="M956" s="4" t="s">
        <v>56</v>
      </c>
      <c r="N956" s="3">
        <v>5</v>
      </c>
      <c r="O956" s="4" t="str" cm="1">
        <f t="array" ref="O956">_xlfn.IFS(P956&lt;=2,"Poor",P956=3,"Average",P956&gt;=4,"Good")</f>
        <v>Poor</v>
      </c>
      <c r="P956" s="3">
        <v>2</v>
      </c>
      <c r="Q956" s="2">
        <v>0.33</v>
      </c>
      <c r="R956" s="4" t="s">
        <v>85</v>
      </c>
      <c r="S956" s="4" t="s">
        <v>58</v>
      </c>
      <c r="T956" s="3">
        <v>1</v>
      </c>
      <c r="U956" s="4" t="str" cm="1">
        <f t="array" ref="U956">_xlfn.IFS(V956&lt;=4, "Dissatisfied",V956&lt;=7,"Neutral",V956&gt;=8,"Satisfied")</f>
        <v>Satisfied</v>
      </c>
      <c r="V956" s="3">
        <v>10</v>
      </c>
      <c r="W956" s="4" t="s">
        <v>59</v>
      </c>
      <c r="X956" s="4" t="s">
        <v>74</v>
      </c>
      <c r="Y956" s="4" t="s">
        <v>111</v>
      </c>
      <c r="Z956" s="1">
        <v>45634</v>
      </c>
      <c r="AA956" s="4" t="str" cm="1">
        <f t="array" ref="AA956">_xlfn.IFS(OR(AB956="December", AB956="February", AB956="January"), "Winter", OR(AB956="March", AB956="April", AB956="May"), "Spring", OR(AB956="June", AB956="July", AB956="August"), "Summer", TRUE, "Autumn")</f>
        <v>Winter</v>
      </c>
      <c r="AB956" s="7" t="str">
        <f>TEXT(Z956, "mmmm")</f>
        <v>December</v>
      </c>
      <c r="AC956" s="1" t="str">
        <f>TEXT(Z956, "dddd")</f>
        <v>Sunday</v>
      </c>
      <c r="AD956" s="4" t="s">
        <v>76</v>
      </c>
      <c r="AE956" s="4" t="s">
        <v>76</v>
      </c>
      <c r="AF956" s="4" t="s">
        <v>87</v>
      </c>
      <c r="AG956" s="4" t="s">
        <v>93</v>
      </c>
      <c r="AH956" s="3">
        <v>2</v>
      </c>
    </row>
    <row r="957" spans="1:34">
      <c r="A957" s="4" t="s">
        <v>1994</v>
      </c>
      <c r="B957" s="3">
        <v>20</v>
      </c>
      <c r="C957" s="9" t="str" cm="1">
        <f t="array" ref="C957">_xlfn.IFS(B957&gt;65,"+65",B957&gt;54,"55-65",B957&gt;44,"45-54",B957&gt;35,"36-44",B957&gt;25,"26-35",B957&gt;=18,"18-25")</f>
        <v>18-25</v>
      </c>
      <c r="D957" s="4" t="s">
        <v>66</v>
      </c>
      <c r="E957" s="4" t="s">
        <v>72</v>
      </c>
      <c r="F957" s="4" t="s">
        <v>67</v>
      </c>
      <c r="G957" s="4" t="s">
        <v>53</v>
      </c>
      <c r="H957" s="4" t="s">
        <v>1995</v>
      </c>
      <c r="I957" s="4" t="s">
        <v>70</v>
      </c>
      <c r="J957" s="5">
        <v>401.75</v>
      </c>
      <c r="K957" s="3">
        <v>8</v>
      </c>
      <c r="L957" s="4" t="str">
        <f>IF(AND(J957&gt;350,K957&gt;6), "True","False")</f>
        <v>True</v>
      </c>
      <c r="M957" s="4" t="s">
        <v>56</v>
      </c>
      <c r="N957" s="3">
        <v>3</v>
      </c>
      <c r="O957" s="4" t="str" cm="1">
        <f t="array" ref="O957">_xlfn.IFS(P957&lt;=2,"Poor",P957=3,"Average",P957&gt;=4,"Good")</f>
        <v>Good</v>
      </c>
      <c r="P957" s="3">
        <v>4</v>
      </c>
      <c r="Q957" s="2">
        <v>0.3</v>
      </c>
      <c r="R957" s="4" t="s">
        <v>57</v>
      </c>
      <c r="S957" s="4" t="s">
        <v>84</v>
      </c>
      <c r="T957" s="3">
        <v>1</v>
      </c>
      <c r="U957" s="4" t="str" cm="1">
        <f t="array" ref="U957">_xlfn.IFS(V957&lt;=4, "Dissatisfied",V957&lt;=7,"Neutral",V957&gt;=8,"Satisfied")</f>
        <v>Satisfied</v>
      </c>
      <c r="V957" s="3">
        <v>8</v>
      </c>
      <c r="W957" s="4" t="s">
        <v>72</v>
      </c>
      <c r="X957" s="4" t="s">
        <v>60</v>
      </c>
      <c r="Y957" s="4" t="s">
        <v>86</v>
      </c>
      <c r="Z957" s="1">
        <v>45634</v>
      </c>
      <c r="AA957" s="4" t="str" cm="1">
        <f t="array" ref="AA957">_xlfn.IFS(OR(AB957="December", AB957="February", AB957="January"), "Winter", OR(AB957="March", AB957="April", AB957="May"), "Spring", OR(AB957="June", AB957="July", AB957="August"), "Summer", TRUE, "Autumn")</f>
        <v>Winter</v>
      </c>
      <c r="AB957" s="7" t="str">
        <f>TEXT(Z957, "mmmm")</f>
        <v>December</v>
      </c>
      <c r="AC957" s="1" t="str">
        <f>TEXT(Z957, "dddd")</f>
        <v>Sunday</v>
      </c>
      <c r="AD957" s="4" t="s">
        <v>76</v>
      </c>
      <c r="AE957" s="4" t="s">
        <v>62</v>
      </c>
      <c r="AF957" s="4" t="s">
        <v>102</v>
      </c>
      <c r="AG957" s="4" t="s">
        <v>64</v>
      </c>
      <c r="AH957" s="3">
        <v>6</v>
      </c>
    </row>
    <row r="958" spans="1:34">
      <c r="A958" s="4" t="s">
        <v>1996</v>
      </c>
      <c r="B958" s="3">
        <v>38</v>
      </c>
      <c r="C958" s="9" t="str" cm="1">
        <f t="array" ref="C958">_xlfn.IFS(B958&gt;65,"+65",B958&gt;54,"55-65",B958&gt;44,"45-54",B958&gt;35,"36-44",B958&gt;25,"26-35",B958&gt;=18,"18-25")</f>
        <v>36-44</v>
      </c>
      <c r="D958" s="4" t="s">
        <v>78</v>
      </c>
      <c r="E958" s="4" t="s">
        <v>51</v>
      </c>
      <c r="F958" s="4" t="s">
        <v>95</v>
      </c>
      <c r="G958" s="4" t="s">
        <v>53</v>
      </c>
      <c r="H958" s="4" t="s">
        <v>1997</v>
      </c>
      <c r="I958" s="4" t="s">
        <v>234</v>
      </c>
      <c r="J958" s="5">
        <v>236.99</v>
      </c>
      <c r="K958" s="3">
        <v>10</v>
      </c>
      <c r="L958" s="4" t="str">
        <f>IF(AND(J958&gt;350,K958&gt;6), "True","False")</f>
        <v>False</v>
      </c>
      <c r="M958" s="4" t="s">
        <v>83</v>
      </c>
      <c r="N958" s="3">
        <v>2</v>
      </c>
      <c r="O958" s="4" t="str" cm="1">
        <f t="array" ref="O958">_xlfn.IFS(P958&lt;=2,"Poor",P958=3,"Average",P958&gt;=4,"Good")</f>
        <v>Good</v>
      </c>
      <c r="P958" s="3">
        <v>4</v>
      </c>
      <c r="Q958" s="2">
        <v>0</v>
      </c>
      <c r="R958" s="4" t="s">
        <v>72</v>
      </c>
      <c r="S958" s="4" t="s">
        <v>73</v>
      </c>
      <c r="T958" s="3">
        <v>0</v>
      </c>
      <c r="U958" s="4" t="str" cm="1">
        <f t="array" ref="U958">_xlfn.IFS(V958&lt;=4, "Dissatisfied",V958&lt;=7,"Neutral",V958&gt;=8,"Satisfied")</f>
        <v>Satisfied</v>
      </c>
      <c r="V958" s="3">
        <v>8</v>
      </c>
      <c r="W958" s="4" t="s">
        <v>57</v>
      </c>
      <c r="X958" s="4" t="s">
        <v>74</v>
      </c>
      <c r="Y958" s="4" t="s">
        <v>86</v>
      </c>
      <c r="Z958" s="1">
        <v>45635</v>
      </c>
      <c r="AA958" s="4" t="str" cm="1">
        <f t="array" ref="AA958">_xlfn.IFS(OR(AB958="December", AB958="February", AB958="January"), "Winter", OR(AB958="March", AB958="April", AB958="May"), "Spring", OR(AB958="June", AB958="July", AB958="August"), "Summer", TRUE, "Autumn")</f>
        <v>Winter</v>
      </c>
      <c r="AB958" s="7" t="str">
        <f>TEXT(Z958, "mmmm")</f>
        <v>December</v>
      </c>
      <c r="AC958" s="1" t="str">
        <f>TEXT(Z958, "dddd")</f>
        <v>Monday</v>
      </c>
      <c r="AD958" s="4" t="s">
        <v>62</v>
      </c>
      <c r="AE958" s="4" t="s">
        <v>62</v>
      </c>
      <c r="AF958" s="4" t="s">
        <v>92</v>
      </c>
      <c r="AG958" s="4" t="s">
        <v>88</v>
      </c>
      <c r="AH958" s="3">
        <v>13</v>
      </c>
    </row>
    <row r="959" spans="1:34">
      <c r="A959" s="4" t="s">
        <v>1998</v>
      </c>
      <c r="B959" s="3">
        <v>33</v>
      </c>
      <c r="C959" s="9" t="str" cm="1">
        <f t="array" ref="C959">_xlfn.IFS(B959&gt;65,"+65",B959&gt;54,"55-65",B959&gt;44,"45-54",B959&gt;35,"36-44",B959&gt;25,"26-35",B959&gt;=18,"18-25")</f>
        <v>26-35</v>
      </c>
      <c r="D959" s="4" t="s">
        <v>66</v>
      </c>
      <c r="E959" s="4" t="s">
        <v>72</v>
      </c>
      <c r="F959" s="4" t="s">
        <v>95</v>
      </c>
      <c r="G959" s="4" t="s">
        <v>53</v>
      </c>
      <c r="H959" s="4" t="s">
        <v>1999</v>
      </c>
      <c r="I959" s="4" t="s">
        <v>169</v>
      </c>
      <c r="J959" s="5">
        <v>159.82</v>
      </c>
      <c r="K959" s="3">
        <v>2</v>
      </c>
      <c r="L959" s="4" t="str">
        <f>IF(AND(J959&gt;350,K959&gt;6), "True","False")</f>
        <v>False</v>
      </c>
      <c r="M959" s="4" t="s">
        <v>71</v>
      </c>
      <c r="N959" s="3">
        <v>2</v>
      </c>
      <c r="O959" s="4" t="str" cm="1">
        <f t="array" ref="O959">_xlfn.IFS(P959&lt;=2,"Poor",P959=3,"Average",P959&gt;=4,"Good")</f>
        <v>Poor</v>
      </c>
      <c r="P959" s="3">
        <v>1</v>
      </c>
      <c r="Q959" s="2">
        <v>1</v>
      </c>
      <c r="R959" s="4" t="s">
        <v>72</v>
      </c>
      <c r="S959" s="4" t="s">
        <v>73</v>
      </c>
      <c r="T959" s="3">
        <v>2</v>
      </c>
      <c r="U959" s="4" t="str" cm="1">
        <f t="array" ref="U959">_xlfn.IFS(V959&lt;=4, "Dissatisfied",V959&lt;=7,"Neutral",V959&gt;=8,"Satisfied")</f>
        <v>Satisfied</v>
      </c>
      <c r="V959" s="3">
        <v>8</v>
      </c>
      <c r="W959" s="4" t="s">
        <v>85</v>
      </c>
      <c r="X959" s="4" t="s">
        <v>74</v>
      </c>
      <c r="Y959" s="4" t="s">
        <v>61</v>
      </c>
      <c r="Z959" s="1">
        <v>45635</v>
      </c>
      <c r="AA959" s="4" t="str" cm="1">
        <f t="array" ref="AA959">_xlfn.IFS(OR(AB959="December", AB959="February", AB959="January"), "Winter", OR(AB959="March", AB959="April", AB959="May"), "Spring", OR(AB959="June", AB959="July", AB959="August"), "Summer", TRUE, "Autumn")</f>
        <v>Winter</v>
      </c>
      <c r="AB959" s="7" t="str">
        <f>TEXT(Z959, "mmmm")</f>
        <v>December</v>
      </c>
      <c r="AC959" s="1" t="str">
        <f>TEXT(Z959, "dddd")</f>
        <v>Monday</v>
      </c>
      <c r="AD959" s="4" t="s">
        <v>62</v>
      </c>
      <c r="AE959" s="4" t="s">
        <v>62</v>
      </c>
      <c r="AF959" s="4" t="s">
        <v>87</v>
      </c>
      <c r="AG959" s="4" t="s">
        <v>88</v>
      </c>
      <c r="AH959" s="3">
        <v>10</v>
      </c>
    </row>
    <row r="960" spans="1:34">
      <c r="A960" s="4" t="s">
        <v>2000</v>
      </c>
      <c r="B960" s="3">
        <v>27</v>
      </c>
      <c r="C960" s="9" t="str" cm="1">
        <f t="array" ref="C960">_xlfn.IFS(B960&gt;65,"+65",B960&gt;54,"55-65",B960&gt;44,"45-54",B960&gt;35,"36-44",B960&gt;25,"26-35",B960&gt;=18,"18-25")</f>
        <v>26-35</v>
      </c>
      <c r="D960" s="4" t="s">
        <v>78</v>
      </c>
      <c r="E960" s="4" t="s">
        <v>72</v>
      </c>
      <c r="F960" s="4" t="s">
        <v>79</v>
      </c>
      <c r="G960" s="4" t="s">
        <v>80</v>
      </c>
      <c r="H960" s="4" t="s">
        <v>2001</v>
      </c>
      <c r="I960" s="4" t="s">
        <v>97</v>
      </c>
      <c r="J960" s="5">
        <v>380.99</v>
      </c>
      <c r="K960" s="3">
        <v>7</v>
      </c>
      <c r="L960" s="4" t="str">
        <f>IF(AND(J960&gt;350,K960&gt;6), "True","False")</f>
        <v>True</v>
      </c>
      <c r="M960" s="4" t="s">
        <v>83</v>
      </c>
      <c r="N960" s="3">
        <v>1</v>
      </c>
      <c r="O960" s="4" t="str" cm="1">
        <f t="array" ref="O960">_xlfn.IFS(P960&lt;=2,"Poor",P960=3,"Average",P960&gt;=4,"Good")</f>
        <v>Poor</v>
      </c>
      <c r="P960" s="3">
        <v>2</v>
      </c>
      <c r="Q960" s="2">
        <v>1</v>
      </c>
      <c r="R960" s="4" t="s">
        <v>59</v>
      </c>
      <c r="S960" s="4" t="s">
        <v>84</v>
      </c>
      <c r="T960" s="3">
        <v>0</v>
      </c>
      <c r="U960" s="4" t="str" cm="1">
        <f t="array" ref="U960">_xlfn.IFS(V960&lt;=4, "Dissatisfied",V960&lt;=7,"Neutral",V960&gt;=8,"Satisfied")</f>
        <v>Dissatisfied</v>
      </c>
      <c r="V960" s="3">
        <v>1</v>
      </c>
      <c r="W960" s="4" t="s">
        <v>85</v>
      </c>
      <c r="X960" s="4" t="s">
        <v>101</v>
      </c>
      <c r="Y960" s="4" t="s">
        <v>61</v>
      </c>
      <c r="Z960" s="1">
        <v>45635</v>
      </c>
      <c r="AA960" s="4" t="str" cm="1">
        <f t="array" ref="AA960">_xlfn.IFS(OR(AB960="December", AB960="February", AB960="January"), "Winter", OR(AB960="March", AB960="April", AB960="May"), "Spring", OR(AB960="June", AB960="July", AB960="August"), "Summer", TRUE, "Autumn")</f>
        <v>Winter</v>
      </c>
      <c r="AB960" s="7" t="str">
        <f>TEXT(Z960, "mmmm")</f>
        <v>December</v>
      </c>
      <c r="AC960" s="1" t="str">
        <f>TEXT(Z960, "dddd")</f>
        <v>Monday</v>
      </c>
      <c r="AD960" s="4" t="s">
        <v>62</v>
      </c>
      <c r="AE960" s="4" t="s">
        <v>62</v>
      </c>
      <c r="AF960" s="4" t="s">
        <v>63</v>
      </c>
      <c r="AG960" s="4" t="s">
        <v>88</v>
      </c>
      <c r="AH960" s="3">
        <v>8</v>
      </c>
    </row>
    <row r="961" spans="1:34">
      <c r="A961" s="4" t="s">
        <v>2002</v>
      </c>
      <c r="B961" s="3">
        <v>20</v>
      </c>
      <c r="C961" s="9" t="str" cm="1">
        <f t="array" ref="C961">_xlfn.IFS(B961&gt;65,"+65",B961&gt;54,"55-65",B961&gt;44,"45-54",B961&gt;35,"36-44",B961&gt;25,"26-35",B961&gt;=18,"18-25")</f>
        <v>18-25</v>
      </c>
      <c r="D961" s="4" t="s">
        <v>78</v>
      </c>
      <c r="E961" s="4" t="s">
        <v>51</v>
      </c>
      <c r="F961" s="4" t="s">
        <v>79</v>
      </c>
      <c r="G961" s="4" t="s">
        <v>80</v>
      </c>
      <c r="H961" s="4" t="s">
        <v>2003</v>
      </c>
      <c r="I961" s="4" t="s">
        <v>97</v>
      </c>
      <c r="J961" s="5">
        <v>473.28</v>
      </c>
      <c r="K961" s="3">
        <v>5</v>
      </c>
      <c r="L961" s="4" t="str">
        <f>IF(AND(J961&gt;350,K961&gt;6), "True","False")</f>
        <v>False</v>
      </c>
      <c r="M961" s="4" t="s">
        <v>56</v>
      </c>
      <c r="N961" s="3">
        <v>5</v>
      </c>
      <c r="O961" s="4" t="str" cm="1">
        <f t="array" ref="O961">_xlfn.IFS(P961&lt;=2,"Poor",P961=3,"Average",P961&gt;=4,"Good")</f>
        <v>Good</v>
      </c>
      <c r="P961" s="3">
        <v>5</v>
      </c>
      <c r="Q961" s="2">
        <v>1</v>
      </c>
      <c r="R961" s="4" t="s">
        <v>85</v>
      </c>
      <c r="S961" s="4" t="s">
        <v>73</v>
      </c>
      <c r="T961" s="3">
        <v>1</v>
      </c>
      <c r="U961" s="4" t="str" cm="1">
        <f t="array" ref="U961">_xlfn.IFS(V961&lt;=4, "Dissatisfied",V961&lt;=7,"Neutral",V961&gt;=8,"Satisfied")</f>
        <v>Satisfied</v>
      </c>
      <c r="V961" s="3">
        <v>9</v>
      </c>
      <c r="W961" s="4" t="s">
        <v>57</v>
      </c>
      <c r="X961" s="4" t="s">
        <v>60</v>
      </c>
      <c r="Y961" s="4" t="s">
        <v>61</v>
      </c>
      <c r="Z961" s="1">
        <v>45635</v>
      </c>
      <c r="AA961" s="4" t="str" cm="1">
        <f t="array" ref="AA961">_xlfn.IFS(OR(AB961="December", AB961="February", AB961="January"), "Winter", OR(AB961="March", AB961="April", AB961="May"), "Spring", OR(AB961="June", AB961="July", AB961="August"), "Summer", TRUE, "Autumn")</f>
        <v>Winter</v>
      </c>
      <c r="AB961" s="7" t="str">
        <f>TEXT(Z961, "mmmm")</f>
        <v>December</v>
      </c>
      <c r="AC961" s="1" t="str">
        <f>TEXT(Z961, "dddd")</f>
        <v>Monday</v>
      </c>
      <c r="AD961" s="4" t="s">
        <v>76</v>
      </c>
      <c r="AE961" s="4" t="s">
        <v>76</v>
      </c>
      <c r="AF961" s="4" t="s">
        <v>63</v>
      </c>
      <c r="AG961" s="4" t="s">
        <v>64</v>
      </c>
      <c r="AH961" s="3">
        <v>13</v>
      </c>
    </row>
    <row r="962" spans="1:34">
      <c r="A962" s="4" t="s">
        <v>2004</v>
      </c>
      <c r="B962" s="3">
        <v>42</v>
      </c>
      <c r="C962" s="9" t="str" cm="1">
        <f t="array" ref="C962">_xlfn.IFS(B962&gt;65,"+65",B962&gt;54,"55-65",B962&gt;44,"45-54",B962&gt;35,"36-44",B962&gt;25,"26-35",B962&gt;=18,"18-25")</f>
        <v>36-44</v>
      </c>
      <c r="D962" s="4" t="s">
        <v>78</v>
      </c>
      <c r="E962" s="4" t="s">
        <v>51</v>
      </c>
      <c r="F962" s="4" t="s">
        <v>52</v>
      </c>
      <c r="G962" s="4" t="s">
        <v>68</v>
      </c>
      <c r="H962" s="4" t="s">
        <v>2005</v>
      </c>
      <c r="I962" s="4" t="s">
        <v>194</v>
      </c>
      <c r="J962" s="5">
        <v>332.67</v>
      </c>
      <c r="K962" s="3">
        <v>8</v>
      </c>
      <c r="L962" s="4" t="str">
        <f>IF(AND(J962&gt;350,K962&gt;6), "True","False")</f>
        <v>False</v>
      </c>
      <c r="M962" s="4" t="s">
        <v>71</v>
      </c>
      <c r="N962" s="3">
        <v>1</v>
      </c>
      <c r="O962" s="4" t="str" cm="1">
        <f t="array" ref="O962">_xlfn.IFS(P962&lt;=2,"Poor",P962=3,"Average",P962&gt;=4,"Good")</f>
        <v>Good</v>
      </c>
      <c r="P962" s="3">
        <v>4</v>
      </c>
      <c r="Q962" s="2">
        <v>2</v>
      </c>
      <c r="R962" s="4" t="s">
        <v>85</v>
      </c>
      <c r="S962" s="4" t="s">
        <v>84</v>
      </c>
      <c r="T962" s="3">
        <v>1</v>
      </c>
      <c r="U962" s="4" t="str" cm="1">
        <f t="array" ref="U962">_xlfn.IFS(V962&lt;=4, "Dissatisfied",V962&lt;=7,"Neutral",V962&gt;=8,"Satisfied")</f>
        <v>Dissatisfied</v>
      </c>
      <c r="V962" s="3">
        <v>2</v>
      </c>
      <c r="W962" s="4" t="s">
        <v>72</v>
      </c>
      <c r="X962" s="4" t="s">
        <v>60</v>
      </c>
      <c r="Y962" s="4" t="s">
        <v>111</v>
      </c>
      <c r="Z962" s="1">
        <v>45637</v>
      </c>
      <c r="AA962" s="4" t="str" cm="1">
        <f t="array" ref="AA962">_xlfn.IFS(OR(AB962="December", AB962="February", AB962="January"), "Winter", OR(AB962="March", AB962="April", AB962="May"), "Spring", OR(AB962="June", AB962="July", AB962="August"), "Summer", TRUE, "Autumn")</f>
        <v>Winter</v>
      </c>
      <c r="AB962" s="7" t="str">
        <f>TEXT(Z962, "mmmm")</f>
        <v>December</v>
      </c>
      <c r="AC962" s="1" t="str">
        <f>TEXT(Z962, "dddd")</f>
        <v>Wednesday</v>
      </c>
      <c r="AD962" s="4" t="s">
        <v>76</v>
      </c>
      <c r="AE962" s="4" t="s">
        <v>62</v>
      </c>
      <c r="AF962" s="4" t="s">
        <v>92</v>
      </c>
      <c r="AG962" s="4" t="s">
        <v>93</v>
      </c>
      <c r="AH962" s="3">
        <v>4</v>
      </c>
    </row>
    <row r="963" spans="1:34">
      <c r="A963" s="4" t="s">
        <v>2006</v>
      </c>
      <c r="B963" s="3">
        <v>32</v>
      </c>
      <c r="C963" s="9" t="str" cm="1">
        <f t="array" ref="C963">_xlfn.IFS(B963&gt;65,"+65",B963&gt;54,"55-65",B963&gt;44,"45-54",B963&gt;35,"36-44",B963&gt;25,"26-35",B963&gt;=18,"18-25")</f>
        <v>26-35</v>
      </c>
      <c r="D963" s="4" t="s">
        <v>66</v>
      </c>
      <c r="E963" s="4" t="s">
        <v>51</v>
      </c>
      <c r="F963" s="4" t="s">
        <v>79</v>
      </c>
      <c r="G963" s="4" t="s">
        <v>68</v>
      </c>
      <c r="H963" s="4" t="s">
        <v>2007</v>
      </c>
      <c r="I963" s="4" t="s">
        <v>118</v>
      </c>
      <c r="J963" s="5">
        <v>100.32</v>
      </c>
      <c r="K963" s="3">
        <v>2</v>
      </c>
      <c r="L963" s="4" t="str">
        <f>IF(AND(J963&gt;350,K963&gt;6), "True","False")</f>
        <v>False</v>
      </c>
      <c r="M963" s="4" t="s">
        <v>71</v>
      </c>
      <c r="N963" s="3">
        <v>5</v>
      </c>
      <c r="O963" s="4" t="str" cm="1">
        <f t="array" ref="O963">_xlfn.IFS(P963&lt;=2,"Poor",P963=3,"Average",P963&gt;=4,"Good")</f>
        <v>Poor</v>
      </c>
      <c r="P963" s="3">
        <v>1</v>
      </c>
      <c r="Q963" s="2">
        <v>1</v>
      </c>
      <c r="R963" s="4" t="s">
        <v>59</v>
      </c>
      <c r="S963" s="4" t="s">
        <v>73</v>
      </c>
      <c r="T963" s="3">
        <v>0</v>
      </c>
      <c r="U963" s="4" t="str" cm="1">
        <f t="array" ref="U963">_xlfn.IFS(V963&lt;=4, "Dissatisfied",V963&lt;=7,"Neutral",V963&gt;=8,"Satisfied")</f>
        <v>Dissatisfied</v>
      </c>
      <c r="V963" s="3">
        <v>1</v>
      </c>
      <c r="W963" s="4" t="s">
        <v>85</v>
      </c>
      <c r="X963" s="4" t="s">
        <v>74</v>
      </c>
      <c r="Y963" s="4" t="s">
        <v>119</v>
      </c>
      <c r="Z963" s="1">
        <v>45637</v>
      </c>
      <c r="AA963" s="4" t="str" cm="1">
        <f t="array" ref="AA963">_xlfn.IFS(OR(AB963="December", AB963="February", AB963="January"), "Winter", OR(AB963="March", AB963="April", AB963="May"), "Spring", OR(AB963="June", AB963="July", AB963="August"), "Summer", TRUE, "Autumn")</f>
        <v>Winter</v>
      </c>
      <c r="AB963" s="7" t="str">
        <f>TEXT(Z963, "mmmm")</f>
        <v>December</v>
      </c>
      <c r="AC963" s="1" t="str">
        <f>TEXT(Z963, "dddd")</f>
        <v>Wednesday</v>
      </c>
      <c r="AD963" s="4" t="s">
        <v>76</v>
      </c>
      <c r="AE963" s="4" t="s">
        <v>62</v>
      </c>
      <c r="AF963" s="4" t="s">
        <v>87</v>
      </c>
      <c r="AG963" s="4" t="s">
        <v>93</v>
      </c>
      <c r="AH963" s="3">
        <v>8</v>
      </c>
    </row>
    <row r="964" spans="1:34">
      <c r="A964" s="4" t="s">
        <v>2008</v>
      </c>
      <c r="B964" s="3">
        <v>19</v>
      </c>
      <c r="C964" s="9" t="str" cm="1">
        <f t="array" ref="C964">_xlfn.IFS(B964&gt;65,"+65",B964&gt;54,"55-65",B964&gt;44,"45-54",B964&gt;35,"36-44",B964&gt;25,"26-35",B964&gt;=18,"18-25")</f>
        <v>18-25</v>
      </c>
      <c r="D964" s="4" t="s">
        <v>66</v>
      </c>
      <c r="E964" s="4" t="s">
        <v>51</v>
      </c>
      <c r="F964" s="4" t="s">
        <v>95</v>
      </c>
      <c r="G964" s="4" t="s">
        <v>80</v>
      </c>
      <c r="H964" s="4" t="s">
        <v>2009</v>
      </c>
      <c r="I964" s="4" t="s">
        <v>105</v>
      </c>
      <c r="J964" s="5">
        <v>466.74</v>
      </c>
      <c r="K964" s="3">
        <v>7</v>
      </c>
      <c r="L964" s="4" t="str">
        <f>IF(AND(J964&gt;350,K964&gt;6), "True","False")</f>
        <v>True</v>
      </c>
      <c r="M964" s="4" t="s">
        <v>71</v>
      </c>
      <c r="N964" s="3">
        <v>3</v>
      </c>
      <c r="O964" s="4" t="str" cm="1">
        <f t="array" ref="O964">_xlfn.IFS(P964&lt;=2,"Poor",P964=3,"Average",P964&gt;=4,"Good")</f>
        <v>Good</v>
      </c>
      <c r="P964" s="3">
        <v>4</v>
      </c>
      <c r="Q964" s="2">
        <v>0.2</v>
      </c>
      <c r="R964" s="4" t="s">
        <v>85</v>
      </c>
      <c r="S964" s="4" t="s">
        <v>58</v>
      </c>
      <c r="T964" s="3">
        <v>2</v>
      </c>
      <c r="U964" s="4" t="str" cm="1">
        <f t="array" ref="U964">_xlfn.IFS(V964&lt;=4, "Dissatisfied",V964&lt;=7,"Neutral",V964&gt;=8,"Satisfied")</f>
        <v>Dissatisfied</v>
      </c>
      <c r="V964" s="3">
        <v>3</v>
      </c>
      <c r="W964" s="4" t="s">
        <v>72</v>
      </c>
      <c r="X964" s="4" t="s">
        <v>74</v>
      </c>
      <c r="Y964" s="4" t="s">
        <v>75</v>
      </c>
      <c r="Z964" s="1">
        <v>45637</v>
      </c>
      <c r="AA964" s="4" t="str" cm="1">
        <f t="array" ref="AA964">_xlfn.IFS(OR(AB964="December", AB964="February", AB964="January"), "Winter", OR(AB964="March", AB964="April", AB964="May"), "Spring", OR(AB964="June", AB964="July", AB964="August"), "Summer", TRUE, "Autumn")</f>
        <v>Winter</v>
      </c>
      <c r="AB964" s="7" t="str">
        <f>TEXT(Z964, "mmmm")</f>
        <v>December</v>
      </c>
      <c r="AC964" s="1" t="str">
        <f>TEXT(Z964, "dddd")</f>
        <v>Wednesday</v>
      </c>
      <c r="AD964" s="4" t="s">
        <v>62</v>
      </c>
      <c r="AE964" s="4" t="s">
        <v>62</v>
      </c>
      <c r="AF964" s="4" t="s">
        <v>63</v>
      </c>
      <c r="AG964" s="4" t="s">
        <v>93</v>
      </c>
      <c r="AH964" s="3">
        <v>5</v>
      </c>
    </row>
    <row r="965" spans="1:34">
      <c r="A965" s="4" t="s">
        <v>2010</v>
      </c>
      <c r="B965" s="3">
        <v>44</v>
      </c>
      <c r="C965" s="9" t="str" cm="1">
        <f t="array" ref="C965">_xlfn.IFS(B965&gt;65,"+65",B965&gt;54,"55-65",B965&gt;44,"45-54",B965&gt;35,"36-44",B965&gt;25,"26-35",B965&gt;=18,"18-25")</f>
        <v>36-44</v>
      </c>
      <c r="D965" s="4" t="s">
        <v>78</v>
      </c>
      <c r="E965" s="4" t="s">
        <v>51</v>
      </c>
      <c r="F965" s="4" t="s">
        <v>67</v>
      </c>
      <c r="G965" s="4" t="s">
        <v>68</v>
      </c>
      <c r="H965" s="4" t="s">
        <v>2011</v>
      </c>
      <c r="I965" s="4" t="s">
        <v>105</v>
      </c>
      <c r="J965" s="5">
        <v>52.24</v>
      </c>
      <c r="K965" s="3">
        <v>11</v>
      </c>
      <c r="L965" s="4" t="str">
        <f>IF(AND(J965&gt;350,K965&gt;6), "True","False")</f>
        <v>False</v>
      </c>
      <c r="M965" s="4" t="s">
        <v>71</v>
      </c>
      <c r="N965" s="3">
        <v>3</v>
      </c>
      <c r="O965" s="4" t="str" cm="1">
        <f t="array" ref="O965">_xlfn.IFS(P965&lt;=2,"Poor",P965=3,"Average",P965&gt;=4,"Good")</f>
        <v>Poor</v>
      </c>
      <c r="P965" s="3">
        <v>1</v>
      </c>
      <c r="Q965" s="2">
        <v>0</v>
      </c>
      <c r="R965" s="4" t="s">
        <v>59</v>
      </c>
      <c r="S965" s="4" t="s">
        <v>58</v>
      </c>
      <c r="T965" s="3">
        <v>2</v>
      </c>
      <c r="U965" s="4" t="str" cm="1">
        <f t="array" ref="U965">_xlfn.IFS(V965&lt;=4, "Dissatisfied",V965&lt;=7,"Neutral",V965&gt;=8,"Satisfied")</f>
        <v>Dissatisfied</v>
      </c>
      <c r="V965" s="3">
        <v>4</v>
      </c>
      <c r="W965" s="4" t="s">
        <v>72</v>
      </c>
      <c r="X965" s="4" t="s">
        <v>60</v>
      </c>
      <c r="Y965" s="4" t="s">
        <v>119</v>
      </c>
      <c r="Z965" s="1">
        <v>45638</v>
      </c>
      <c r="AA965" s="4" t="str" cm="1">
        <f t="array" ref="AA965">_xlfn.IFS(OR(AB965="December", AB965="February", AB965="January"), "Winter", OR(AB965="March", AB965="April", AB965="May"), "Spring", OR(AB965="June", AB965="July", AB965="August"), "Summer", TRUE, "Autumn")</f>
        <v>Winter</v>
      </c>
      <c r="AB965" s="7" t="str">
        <f>TEXT(Z965, "mmmm")</f>
        <v>December</v>
      </c>
      <c r="AC965" s="1" t="str">
        <f>TEXT(Z965, "dddd")</f>
        <v>Thursday</v>
      </c>
      <c r="AD965" s="4" t="s">
        <v>62</v>
      </c>
      <c r="AE965" s="4" t="s">
        <v>62</v>
      </c>
      <c r="AF965" s="4" t="s">
        <v>92</v>
      </c>
      <c r="AG965" s="4" t="s">
        <v>64</v>
      </c>
      <c r="AH965" s="3">
        <v>8</v>
      </c>
    </row>
    <row r="966" spans="1:34">
      <c r="A966" s="4" t="s">
        <v>2012</v>
      </c>
      <c r="B966" s="3">
        <v>42</v>
      </c>
      <c r="C966" s="9" t="str" cm="1">
        <f t="array" ref="C966">_xlfn.IFS(B966&gt;65,"+65",B966&gt;54,"55-65",B966&gt;44,"45-54",B966&gt;35,"36-44",B966&gt;25,"26-35",B966&gt;=18,"18-25")</f>
        <v>36-44</v>
      </c>
      <c r="D966" s="4" t="s">
        <v>78</v>
      </c>
      <c r="E966" s="4" t="s">
        <v>51</v>
      </c>
      <c r="F966" s="4" t="s">
        <v>67</v>
      </c>
      <c r="G966" s="4" t="s">
        <v>68</v>
      </c>
      <c r="H966" s="4" t="s">
        <v>2013</v>
      </c>
      <c r="I966" s="4" t="s">
        <v>82</v>
      </c>
      <c r="J966" s="5">
        <v>198.36</v>
      </c>
      <c r="K966" s="3">
        <v>4</v>
      </c>
      <c r="L966" s="4" t="str">
        <f>IF(AND(J966&gt;350,K966&gt;6), "True","False")</f>
        <v>False</v>
      </c>
      <c r="M966" s="4" t="s">
        <v>56</v>
      </c>
      <c r="N966" s="3">
        <v>1</v>
      </c>
      <c r="O966" s="4" t="str" cm="1">
        <f t="array" ref="O966">_xlfn.IFS(P966&lt;=2,"Poor",P966=3,"Average",P966&gt;=4,"Good")</f>
        <v>Poor</v>
      </c>
      <c r="P966" s="3">
        <v>1</v>
      </c>
      <c r="Q966" s="2">
        <v>2</v>
      </c>
      <c r="R966" s="4" t="s">
        <v>57</v>
      </c>
      <c r="S966" s="4" t="s">
        <v>84</v>
      </c>
      <c r="T966" s="3">
        <v>1</v>
      </c>
      <c r="U966" s="4" t="str" cm="1">
        <f t="array" ref="U966">_xlfn.IFS(V966&lt;=4, "Dissatisfied",V966&lt;=7,"Neutral",V966&gt;=8,"Satisfied")</f>
        <v>Satisfied</v>
      </c>
      <c r="V966" s="3">
        <v>9</v>
      </c>
      <c r="W966" s="4" t="s">
        <v>57</v>
      </c>
      <c r="X966" s="4" t="s">
        <v>101</v>
      </c>
      <c r="Y966" s="4" t="s">
        <v>61</v>
      </c>
      <c r="Z966" s="1">
        <v>45639</v>
      </c>
      <c r="AA966" s="4" t="str" cm="1">
        <f t="array" ref="AA966">_xlfn.IFS(OR(AB966="December", AB966="February", AB966="January"), "Winter", OR(AB966="March", AB966="April", AB966="May"), "Spring", OR(AB966="June", AB966="July", AB966="August"), "Summer", TRUE, "Autumn")</f>
        <v>Winter</v>
      </c>
      <c r="AB966" s="7" t="str">
        <f>TEXT(Z966, "mmmm")</f>
        <v>December</v>
      </c>
      <c r="AC966" s="1" t="str">
        <f>TEXT(Z966, "dddd")</f>
        <v>Friday</v>
      </c>
      <c r="AD966" s="4" t="s">
        <v>76</v>
      </c>
      <c r="AE966" s="4" t="s">
        <v>62</v>
      </c>
      <c r="AF966" s="4" t="s">
        <v>102</v>
      </c>
      <c r="AG966" s="4" t="s">
        <v>64</v>
      </c>
      <c r="AH966" s="3">
        <v>4</v>
      </c>
    </row>
    <row r="967" spans="1:34">
      <c r="A967" s="4" t="s">
        <v>2014</v>
      </c>
      <c r="B967" s="3">
        <v>42</v>
      </c>
      <c r="C967" s="9" t="str" cm="1">
        <f t="array" ref="C967">_xlfn.IFS(B967&gt;65,"+65",B967&gt;54,"55-65",B967&gt;44,"45-54",B967&gt;35,"36-44",B967&gt;25,"26-35",B967&gt;=18,"18-25")</f>
        <v>36-44</v>
      </c>
      <c r="D967" s="4" t="s">
        <v>66</v>
      </c>
      <c r="E967" s="4" t="s">
        <v>72</v>
      </c>
      <c r="F967" s="4" t="s">
        <v>95</v>
      </c>
      <c r="G967" s="4" t="s">
        <v>80</v>
      </c>
      <c r="H967" s="4" t="s">
        <v>2015</v>
      </c>
      <c r="I967" s="4" t="s">
        <v>55</v>
      </c>
      <c r="J967" s="5">
        <v>305.73</v>
      </c>
      <c r="K967" s="3">
        <v>7</v>
      </c>
      <c r="L967" s="4" t="str">
        <f>IF(AND(J967&gt;350,K967&gt;6), "True","False")</f>
        <v>False</v>
      </c>
      <c r="M967" s="4" t="s">
        <v>83</v>
      </c>
      <c r="N967" s="3">
        <v>2</v>
      </c>
      <c r="O967" s="4" t="str" cm="1">
        <f t="array" ref="O967">_xlfn.IFS(P967&lt;=2,"Poor",P967=3,"Average",P967&gt;=4,"Good")</f>
        <v>Good</v>
      </c>
      <c r="P967" s="3">
        <v>5</v>
      </c>
      <c r="Q967" s="2">
        <v>1</v>
      </c>
      <c r="R967" s="4" t="s">
        <v>85</v>
      </c>
      <c r="S967" s="4" t="s">
        <v>58</v>
      </c>
      <c r="T967" s="3">
        <v>2</v>
      </c>
      <c r="U967" s="4" t="str" cm="1">
        <f t="array" ref="U967">_xlfn.IFS(V967&lt;=4, "Dissatisfied",V967&lt;=7,"Neutral",V967&gt;=8,"Satisfied")</f>
        <v>Satisfied</v>
      </c>
      <c r="V967" s="3">
        <v>8</v>
      </c>
      <c r="W967" s="4" t="s">
        <v>85</v>
      </c>
      <c r="X967" s="4" t="s">
        <v>74</v>
      </c>
      <c r="Y967" s="4" t="s">
        <v>61</v>
      </c>
      <c r="Z967" s="1">
        <v>45640</v>
      </c>
      <c r="AA967" s="4" t="str" cm="1">
        <f t="array" ref="AA967">_xlfn.IFS(OR(AB967="December", AB967="February", AB967="January"), "Winter", OR(AB967="March", AB967="April", AB967="May"), "Spring", OR(AB967="June", AB967="July", AB967="August"), "Summer", TRUE, "Autumn")</f>
        <v>Winter</v>
      </c>
      <c r="AB967" s="7" t="str">
        <f>TEXT(Z967, "mmmm")</f>
        <v>December</v>
      </c>
      <c r="AC967" s="1" t="str">
        <f>TEXT(Z967, "dddd")</f>
        <v>Saturday</v>
      </c>
      <c r="AD967" s="4" t="s">
        <v>62</v>
      </c>
      <c r="AE967" s="4" t="s">
        <v>76</v>
      </c>
      <c r="AF967" s="4" t="s">
        <v>87</v>
      </c>
      <c r="AG967" s="4" t="s">
        <v>93</v>
      </c>
      <c r="AH967" s="3">
        <v>14</v>
      </c>
    </row>
    <row r="968" spans="1:34">
      <c r="A968" s="4" t="s">
        <v>2016</v>
      </c>
      <c r="B968" s="3">
        <v>30</v>
      </c>
      <c r="C968" s="9" t="str" cm="1">
        <f t="array" ref="C968">_xlfn.IFS(B968&gt;65,"+65",B968&gt;54,"55-65",B968&gt;44,"45-54",B968&gt;35,"36-44",B968&gt;25,"26-35",B968&gt;=18,"18-25")</f>
        <v>26-35</v>
      </c>
      <c r="D968" s="4" t="s">
        <v>78</v>
      </c>
      <c r="E968" s="4" t="s">
        <v>72</v>
      </c>
      <c r="F968" s="4" t="s">
        <v>79</v>
      </c>
      <c r="G968" s="4" t="s">
        <v>80</v>
      </c>
      <c r="H968" s="4" t="s">
        <v>2017</v>
      </c>
      <c r="I968" s="4" t="s">
        <v>100</v>
      </c>
      <c r="J968" s="5">
        <v>58.51</v>
      </c>
      <c r="K968" s="3">
        <v>2</v>
      </c>
      <c r="L968" s="4" t="str">
        <f>IF(AND(J968&gt;350,K968&gt;6), "True","False")</f>
        <v>False</v>
      </c>
      <c r="M968" s="4" t="s">
        <v>56</v>
      </c>
      <c r="N968" s="3">
        <v>4</v>
      </c>
      <c r="O968" s="4" t="str" cm="1">
        <f t="array" ref="O968">_xlfn.IFS(P968&lt;=2,"Poor",P968=3,"Average",P968&gt;=4,"Good")</f>
        <v>Good</v>
      </c>
      <c r="P968" s="3">
        <v>4</v>
      </c>
      <c r="Q968" s="2">
        <v>0.5</v>
      </c>
      <c r="R968" s="4" t="s">
        <v>57</v>
      </c>
      <c r="S968" s="4" t="s">
        <v>58</v>
      </c>
      <c r="T968" s="3">
        <v>0</v>
      </c>
      <c r="U968" s="4" t="str" cm="1">
        <f t="array" ref="U968">_xlfn.IFS(V968&lt;=4, "Dissatisfied",V968&lt;=7,"Neutral",V968&gt;=8,"Satisfied")</f>
        <v>Dissatisfied</v>
      </c>
      <c r="V968" s="3">
        <v>4</v>
      </c>
      <c r="W968" s="4" t="s">
        <v>85</v>
      </c>
      <c r="X968" s="4" t="s">
        <v>101</v>
      </c>
      <c r="Y968" s="4" t="s">
        <v>86</v>
      </c>
      <c r="Z968" s="1">
        <v>45640</v>
      </c>
      <c r="AA968" s="4" t="str" cm="1">
        <f t="array" ref="AA968">_xlfn.IFS(OR(AB968="December", AB968="February", AB968="January"), "Winter", OR(AB968="March", AB968="April", AB968="May"), "Spring", OR(AB968="June", AB968="July", AB968="August"), "Summer", TRUE, "Autumn")</f>
        <v>Winter</v>
      </c>
      <c r="AB968" s="7" t="str">
        <f>TEXT(Z968, "mmmm")</f>
        <v>December</v>
      </c>
      <c r="AC968" s="1" t="str">
        <f>TEXT(Z968, "dddd")</f>
        <v>Saturday</v>
      </c>
      <c r="AD968" s="4" t="s">
        <v>62</v>
      </c>
      <c r="AE968" s="4" t="s">
        <v>62</v>
      </c>
      <c r="AF968" s="4" t="s">
        <v>87</v>
      </c>
      <c r="AG968" s="4" t="s">
        <v>88</v>
      </c>
      <c r="AH968" s="3">
        <v>14</v>
      </c>
    </row>
    <row r="969" spans="1:34">
      <c r="A969" s="4" t="s">
        <v>2018</v>
      </c>
      <c r="B969" s="3">
        <v>37</v>
      </c>
      <c r="C969" s="9" t="str" cm="1">
        <f t="array" ref="C969">_xlfn.IFS(B969&gt;65,"+65",B969&gt;54,"55-65",B969&gt;44,"45-54",B969&gt;35,"36-44",B969&gt;25,"26-35",B969&gt;=18,"18-25")</f>
        <v>36-44</v>
      </c>
      <c r="D969" s="4" t="s">
        <v>78</v>
      </c>
      <c r="E969" s="4" t="s">
        <v>72</v>
      </c>
      <c r="F969" s="4" t="s">
        <v>95</v>
      </c>
      <c r="G969" s="4" t="s">
        <v>53</v>
      </c>
      <c r="H969" s="4" t="s">
        <v>2019</v>
      </c>
      <c r="I969" s="4" t="s">
        <v>55</v>
      </c>
      <c r="J969" s="5">
        <v>92.97</v>
      </c>
      <c r="K969" s="3">
        <v>6</v>
      </c>
      <c r="L969" s="4" t="str">
        <f>IF(AND(J969&gt;350,K969&gt;6), "True","False")</f>
        <v>False</v>
      </c>
      <c r="M969" s="4" t="s">
        <v>71</v>
      </c>
      <c r="N969" s="3">
        <v>5</v>
      </c>
      <c r="O969" s="4" t="str" cm="1">
        <f t="array" ref="O969">_xlfn.IFS(P969&lt;=2,"Poor",P969=3,"Average",P969&gt;=4,"Good")</f>
        <v>Good</v>
      </c>
      <c r="P969" s="3">
        <v>5</v>
      </c>
      <c r="Q969" s="2">
        <v>0</v>
      </c>
      <c r="R969" s="4" t="s">
        <v>85</v>
      </c>
      <c r="S969" s="4" t="s">
        <v>73</v>
      </c>
      <c r="T969" s="3">
        <v>0</v>
      </c>
      <c r="U969" s="4" t="str" cm="1">
        <f t="array" ref="U969">_xlfn.IFS(V969&lt;=4, "Dissatisfied",V969&lt;=7,"Neutral",V969&gt;=8,"Satisfied")</f>
        <v>Neutral</v>
      </c>
      <c r="V969" s="3">
        <v>7</v>
      </c>
      <c r="W969" s="4" t="s">
        <v>59</v>
      </c>
      <c r="X969" s="4" t="s">
        <v>101</v>
      </c>
      <c r="Y969" s="4" t="s">
        <v>111</v>
      </c>
      <c r="Z969" s="1">
        <v>45641</v>
      </c>
      <c r="AA969" s="4" t="str" cm="1">
        <f t="array" ref="AA969">_xlfn.IFS(OR(AB969="December", AB969="February", AB969="January"), "Winter", OR(AB969="March", AB969="April", AB969="May"), "Spring", OR(AB969="June", AB969="July", AB969="August"), "Summer", TRUE, "Autumn")</f>
        <v>Winter</v>
      </c>
      <c r="AB969" s="7" t="str">
        <f>TEXT(Z969, "mmmm")</f>
        <v>December</v>
      </c>
      <c r="AC969" s="1" t="str">
        <f>TEXT(Z969, "dddd")</f>
        <v>Sunday</v>
      </c>
      <c r="AD969" s="4" t="s">
        <v>76</v>
      </c>
      <c r="AE969" s="4" t="s">
        <v>62</v>
      </c>
      <c r="AF969" s="4" t="s">
        <v>92</v>
      </c>
      <c r="AG969" s="4" t="s">
        <v>64</v>
      </c>
      <c r="AH969" s="3">
        <v>7</v>
      </c>
    </row>
    <row r="970" spans="1:34">
      <c r="A970" s="4" t="s">
        <v>2020</v>
      </c>
      <c r="B970" s="3">
        <v>24</v>
      </c>
      <c r="C970" s="9" t="str" cm="1">
        <f t="array" ref="C970">_xlfn.IFS(B970&gt;65,"+65",B970&gt;54,"55-65",B970&gt;44,"45-54",B970&gt;35,"36-44",B970&gt;25,"26-35",B970&gt;=18,"18-25")</f>
        <v>18-25</v>
      </c>
      <c r="D970" s="4" t="s">
        <v>50</v>
      </c>
      <c r="E970" s="4" t="s">
        <v>72</v>
      </c>
      <c r="F970" s="4" t="s">
        <v>67</v>
      </c>
      <c r="G970" s="4" t="s">
        <v>80</v>
      </c>
      <c r="H970" s="4" t="s">
        <v>2021</v>
      </c>
      <c r="I970" s="4" t="s">
        <v>97</v>
      </c>
      <c r="J970" s="5">
        <v>196.63</v>
      </c>
      <c r="K970" s="3">
        <v>9</v>
      </c>
      <c r="L970" s="4" t="str">
        <f>IF(AND(J970&gt;350,K970&gt;6), "True","False")</f>
        <v>False</v>
      </c>
      <c r="M970" s="4" t="s">
        <v>56</v>
      </c>
      <c r="N970" s="3">
        <v>4</v>
      </c>
      <c r="O970" s="4" t="str" cm="1">
        <f t="array" ref="O970">_xlfn.IFS(P970&lt;=2,"Poor",P970=3,"Average",P970&gt;=4,"Good")</f>
        <v>Poor</v>
      </c>
      <c r="P970" s="3">
        <v>2</v>
      </c>
      <c r="Q970" s="2">
        <v>2</v>
      </c>
      <c r="R970" s="4" t="s">
        <v>85</v>
      </c>
      <c r="S970" s="4" t="s">
        <v>84</v>
      </c>
      <c r="T970" s="3">
        <v>1</v>
      </c>
      <c r="U970" s="4" t="str" cm="1">
        <f t="array" ref="U970">_xlfn.IFS(V970&lt;=4, "Dissatisfied",V970&lt;=7,"Neutral",V970&gt;=8,"Satisfied")</f>
        <v>Neutral</v>
      </c>
      <c r="V970" s="3">
        <v>6</v>
      </c>
      <c r="W970" s="4" t="s">
        <v>59</v>
      </c>
      <c r="X970" s="4" t="s">
        <v>74</v>
      </c>
      <c r="Y970" s="4" t="s">
        <v>111</v>
      </c>
      <c r="Z970" s="1">
        <v>45641</v>
      </c>
      <c r="AA970" s="4" t="str" cm="1">
        <f t="array" ref="AA970">_xlfn.IFS(OR(AB970="December", AB970="February", AB970="January"), "Winter", OR(AB970="March", AB970="April", AB970="May"), "Spring", OR(AB970="June", AB970="July", AB970="August"), "Summer", TRUE, "Autumn")</f>
        <v>Winter</v>
      </c>
      <c r="AB970" s="7" t="str">
        <f>TEXT(Z970, "mmmm")</f>
        <v>December</v>
      </c>
      <c r="AC970" s="1" t="str">
        <f>TEXT(Z970, "dddd")</f>
        <v>Sunday</v>
      </c>
      <c r="AD970" s="4" t="s">
        <v>62</v>
      </c>
      <c r="AE970" s="4" t="s">
        <v>76</v>
      </c>
      <c r="AF970" s="4" t="s">
        <v>63</v>
      </c>
      <c r="AG970" s="4" t="s">
        <v>88</v>
      </c>
      <c r="AH970" s="3">
        <v>7</v>
      </c>
    </row>
    <row r="971" spans="1:34">
      <c r="A971" s="4" t="s">
        <v>2022</v>
      </c>
      <c r="B971" s="3">
        <v>22</v>
      </c>
      <c r="C971" s="9" t="str" cm="1">
        <f t="array" ref="C971">_xlfn.IFS(B971&gt;65,"+65",B971&gt;54,"55-65",B971&gt;44,"45-54",B971&gt;35,"36-44",B971&gt;25,"26-35",B971&gt;=18,"18-25")</f>
        <v>18-25</v>
      </c>
      <c r="D971" s="4" t="s">
        <v>78</v>
      </c>
      <c r="E971" s="4" t="s">
        <v>72</v>
      </c>
      <c r="F971" s="4" t="s">
        <v>79</v>
      </c>
      <c r="G971" s="4" t="s">
        <v>68</v>
      </c>
      <c r="H971" s="4" t="s">
        <v>2023</v>
      </c>
      <c r="I971" s="4" t="s">
        <v>100</v>
      </c>
      <c r="J971" s="5">
        <v>490.41</v>
      </c>
      <c r="K971" s="3">
        <v>4</v>
      </c>
      <c r="L971" s="4" t="str">
        <f>IF(AND(J971&gt;350,K971&gt;6), "True","False")</f>
        <v>False</v>
      </c>
      <c r="M971" s="4" t="s">
        <v>83</v>
      </c>
      <c r="N971" s="3">
        <v>3</v>
      </c>
      <c r="O971" s="4" t="str" cm="1">
        <f t="array" ref="O971">_xlfn.IFS(P971&lt;=2,"Poor",P971=3,"Average",P971&gt;=4,"Good")</f>
        <v>Good</v>
      </c>
      <c r="P971" s="3">
        <v>4</v>
      </c>
      <c r="Q971" s="2">
        <v>0</v>
      </c>
      <c r="R971" s="4" t="s">
        <v>59</v>
      </c>
      <c r="S971" s="4" t="s">
        <v>84</v>
      </c>
      <c r="T971" s="3">
        <v>0</v>
      </c>
      <c r="U971" s="4" t="str" cm="1">
        <f t="array" ref="U971">_xlfn.IFS(V971&lt;=4, "Dissatisfied",V971&lt;=7,"Neutral",V971&gt;=8,"Satisfied")</f>
        <v>Dissatisfied</v>
      </c>
      <c r="V971" s="3">
        <v>2</v>
      </c>
      <c r="W971" s="4" t="s">
        <v>72</v>
      </c>
      <c r="X971" s="4" t="s">
        <v>74</v>
      </c>
      <c r="Y971" s="4" t="s">
        <v>111</v>
      </c>
      <c r="Z971" s="1">
        <v>45641</v>
      </c>
      <c r="AA971" s="4" t="str" cm="1">
        <f t="array" ref="AA971">_xlfn.IFS(OR(AB971="December", AB971="February", AB971="January"), "Winter", OR(AB971="March", AB971="April", AB971="May"), "Spring", OR(AB971="June", AB971="July", AB971="August"), "Summer", TRUE, "Autumn")</f>
        <v>Winter</v>
      </c>
      <c r="AB971" s="7" t="str">
        <f>TEXT(Z971, "mmmm")</f>
        <v>December</v>
      </c>
      <c r="AC971" s="1" t="str">
        <f>TEXT(Z971, "dddd")</f>
        <v>Sunday</v>
      </c>
      <c r="AD971" s="4" t="s">
        <v>76</v>
      </c>
      <c r="AE971" s="4" t="s">
        <v>62</v>
      </c>
      <c r="AF971" s="4" t="s">
        <v>87</v>
      </c>
      <c r="AG971" s="4" t="s">
        <v>93</v>
      </c>
      <c r="AH971" s="3">
        <v>3</v>
      </c>
    </row>
    <row r="972" spans="1:34">
      <c r="A972" s="4" t="s">
        <v>2024</v>
      </c>
      <c r="B972" s="3">
        <v>35</v>
      </c>
      <c r="C972" s="9" t="str" cm="1">
        <f t="array" ref="C972">_xlfn.IFS(B972&gt;65,"+65",B972&gt;54,"55-65",B972&gt;44,"45-54",B972&gt;35,"36-44",B972&gt;25,"26-35",B972&gt;=18,"18-25")</f>
        <v>26-35</v>
      </c>
      <c r="D972" s="4" t="s">
        <v>78</v>
      </c>
      <c r="E972" s="4" t="s">
        <v>72</v>
      </c>
      <c r="F972" s="4" t="s">
        <v>67</v>
      </c>
      <c r="G972" s="4" t="s">
        <v>68</v>
      </c>
      <c r="H972" s="4" t="s">
        <v>2025</v>
      </c>
      <c r="I972" s="4" t="s">
        <v>172</v>
      </c>
      <c r="J972" s="5">
        <v>427.48</v>
      </c>
      <c r="K972" s="3">
        <v>6</v>
      </c>
      <c r="L972" s="4" t="str">
        <f>IF(AND(J972&gt;350,K972&gt;6), "True","False")</f>
        <v>False</v>
      </c>
      <c r="M972" s="4" t="s">
        <v>56</v>
      </c>
      <c r="N972" s="3">
        <v>4</v>
      </c>
      <c r="O972" s="4" t="str" cm="1">
        <f t="array" ref="O972">_xlfn.IFS(P972&lt;=2,"Poor",P972=3,"Average",P972&gt;=4,"Good")</f>
        <v>Poor</v>
      </c>
      <c r="P972" s="3">
        <v>2</v>
      </c>
      <c r="Q972" s="2">
        <v>0</v>
      </c>
      <c r="R972" s="4" t="s">
        <v>85</v>
      </c>
      <c r="S972" s="4" t="s">
        <v>58</v>
      </c>
      <c r="T972" s="3">
        <v>1</v>
      </c>
      <c r="U972" s="4" t="str" cm="1">
        <f t="array" ref="U972">_xlfn.IFS(V972&lt;=4, "Dissatisfied",V972&lt;=7,"Neutral",V972&gt;=8,"Satisfied")</f>
        <v>Dissatisfied</v>
      </c>
      <c r="V972" s="3">
        <v>1</v>
      </c>
      <c r="W972" s="4" t="s">
        <v>59</v>
      </c>
      <c r="X972" s="4" t="s">
        <v>60</v>
      </c>
      <c r="Y972" s="4" t="s">
        <v>75</v>
      </c>
      <c r="Z972" s="1">
        <v>45642</v>
      </c>
      <c r="AA972" s="4" t="str" cm="1">
        <f t="array" ref="AA972">_xlfn.IFS(OR(AB972="December", AB972="February", AB972="January"), "Winter", OR(AB972="March", AB972="April", AB972="May"), "Spring", OR(AB972="June", AB972="July", AB972="August"), "Summer", TRUE, "Autumn")</f>
        <v>Winter</v>
      </c>
      <c r="AB972" s="7" t="str">
        <f>TEXT(Z972, "mmmm")</f>
        <v>December</v>
      </c>
      <c r="AC972" s="1" t="str">
        <f>TEXT(Z972, "dddd")</f>
        <v>Monday</v>
      </c>
      <c r="AD972" s="4" t="s">
        <v>62</v>
      </c>
      <c r="AE972" s="4" t="s">
        <v>76</v>
      </c>
      <c r="AF972" s="4" t="s">
        <v>92</v>
      </c>
      <c r="AG972" s="4" t="s">
        <v>64</v>
      </c>
      <c r="AH972" s="3">
        <v>11</v>
      </c>
    </row>
    <row r="973" spans="1:34">
      <c r="A973" s="4" t="s">
        <v>2026</v>
      </c>
      <c r="B973" s="3">
        <v>50</v>
      </c>
      <c r="C973" s="9" t="str" cm="1">
        <f t="array" ref="C973">_xlfn.IFS(B973&gt;65,"+65",B973&gt;54,"55-65",B973&gt;44,"45-54",B973&gt;35,"36-44",B973&gt;25,"26-35",B973&gt;=18,"18-25")</f>
        <v>45-54</v>
      </c>
      <c r="D973" s="4" t="s">
        <v>78</v>
      </c>
      <c r="E973" s="4" t="s">
        <v>51</v>
      </c>
      <c r="F973" s="4" t="s">
        <v>67</v>
      </c>
      <c r="G973" s="4" t="s">
        <v>80</v>
      </c>
      <c r="H973" s="4" t="s">
        <v>2027</v>
      </c>
      <c r="I973" s="4" t="s">
        <v>97</v>
      </c>
      <c r="J973" s="5">
        <v>471.31</v>
      </c>
      <c r="K973" s="3">
        <v>4</v>
      </c>
      <c r="L973" s="4" t="str">
        <f>IF(AND(J973&gt;350,K973&gt;6), "True","False")</f>
        <v>False</v>
      </c>
      <c r="M973" s="4" t="s">
        <v>83</v>
      </c>
      <c r="N973" s="3">
        <v>1</v>
      </c>
      <c r="O973" s="4" t="str" cm="1">
        <f t="array" ref="O973">_xlfn.IFS(P973&lt;=2,"Poor",P973=3,"Average",P973&gt;=4,"Good")</f>
        <v>Good</v>
      </c>
      <c r="P973" s="3">
        <v>5</v>
      </c>
      <c r="Q973" s="2">
        <v>2</v>
      </c>
      <c r="R973" s="4" t="s">
        <v>72</v>
      </c>
      <c r="S973" s="4" t="s">
        <v>73</v>
      </c>
      <c r="T973" s="3">
        <v>0</v>
      </c>
      <c r="U973" s="4" t="str" cm="1">
        <f t="array" ref="U973">_xlfn.IFS(V973&lt;=4, "Dissatisfied",V973&lt;=7,"Neutral",V973&gt;=8,"Satisfied")</f>
        <v>Satisfied</v>
      </c>
      <c r="V973" s="3">
        <v>8</v>
      </c>
      <c r="W973" s="4" t="s">
        <v>57</v>
      </c>
      <c r="X973" s="4" t="s">
        <v>60</v>
      </c>
      <c r="Y973" s="4" t="s">
        <v>111</v>
      </c>
      <c r="Z973" s="1">
        <v>45643</v>
      </c>
      <c r="AA973" s="4" t="str" cm="1">
        <f t="array" ref="AA973">_xlfn.IFS(OR(AB973="December", AB973="February", AB973="January"), "Winter", OR(AB973="March", AB973="April", AB973="May"), "Spring", OR(AB973="June", AB973="July", AB973="August"), "Summer", TRUE, "Autumn")</f>
        <v>Winter</v>
      </c>
      <c r="AB973" s="7" t="str">
        <f>TEXT(Z973, "mmmm")</f>
        <v>December</v>
      </c>
      <c r="AC973" s="1" t="str">
        <f>TEXT(Z973, "dddd")</f>
        <v>Tuesday</v>
      </c>
      <c r="AD973" s="4" t="s">
        <v>76</v>
      </c>
      <c r="AE973" s="4" t="s">
        <v>62</v>
      </c>
      <c r="AF973" s="4" t="s">
        <v>92</v>
      </c>
      <c r="AG973" s="4" t="s">
        <v>93</v>
      </c>
      <c r="AH973" s="3">
        <v>7</v>
      </c>
    </row>
    <row r="974" spans="1:34">
      <c r="A974" s="4" t="s">
        <v>2028</v>
      </c>
      <c r="B974" s="3">
        <v>39</v>
      </c>
      <c r="C974" s="9" t="str" cm="1">
        <f t="array" ref="C974">_xlfn.IFS(B974&gt;65,"+65",B974&gt;54,"55-65",B974&gt;44,"45-54",B974&gt;35,"36-44",B974&gt;25,"26-35",B974&gt;=18,"18-25")</f>
        <v>36-44</v>
      </c>
      <c r="D974" s="4" t="s">
        <v>78</v>
      </c>
      <c r="E974" s="4" t="s">
        <v>72</v>
      </c>
      <c r="F974" s="4" t="s">
        <v>79</v>
      </c>
      <c r="G974" s="4" t="s">
        <v>68</v>
      </c>
      <c r="H974" s="4" t="s">
        <v>2029</v>
      </c>
      <c r="I974" s="4" t="s">
        <v>91</v>
      </c>
      <c r="J974" s="5">
        <v>310.23</v>
      </c>
      <c r="K974" s="3">
        <v>12</v>
      </c>
      <c r="L974" s="4" t="str">
        <f>IF(AND(J974&gt;350,K974&gt;6), "True","False")</f>
        <v>False</v>
      </c>
      <c r="M974" s="4" t="s">
        <v>71</v>
      </c>
      <c r="N974" s="3">
        <v>1</v>
      </c>
      <c r="O974" s="4" t="str" cm="1">
        <f t="array" ref="O974">_xlfn.IFS(P974&lt;=2,"Poor",P974=3,"Average",P974&gt;=4,"Good")</f>
        <v>Good</v>
      </c>
      <c r="P974" s="3">
        <v>4</v>
      </c>
      <c r="Q974" s="2">
        <v>0</v>
      </c>
      <c r="R974" s="4" t="s">
        <v>57</v>
      </c>
      <c r="S974" s="4" t="s">
        <v>84</v>
      </c>
      <c r="T974" s="3">
        <v>0</v>
      </c>
      <c r="U974" s="4" t="str" cm="1">
        <f t="array" ref="U974">_xlfn.IFS(V974&lt;=4, "Dissatisfied",V974&lt;=7,"Neutral",V974&gt;=8,"Satisfied")</f>
        <v>Neutral</v>
      </c>
      <c r="V974" s="3">
        <v>6</v>
      </c>
      <c r="W974" s="4" t="s">
        <v>57</v>
      </c>
      <c r="X974" s="4" t="s">
        <v>101</v>
      </c>
      <c r="Y974" s="4" t="s">
        <v>86</v>
      </c>
      <c r="Z974" s="1">
        <v>45643</v>
      </c>
      <c r="AA974" s="4" t="str" cm="1">
        <f t="array" ref="AA974">_xlfn.IFS(OR(AB974="December", AB974="February", AB974="January"), "Winter", OR(AB974="March", AB974="April", AB974="May"), "Spring", OR(AB974="June", AB974="July", AB974="August"), "Summer", TRUE, "Autumn")</f>
        <v>Winter</v>
      </c>
      <c r="AB974" s="7" t="str">
        <f>TEXT(Z974, "mmmm")</f>
        <v>December</v>
      </c>
      <c r="AC974" s="1" t="str">
        <f>TEXT(Z974, "dddd")</f>
        <v>Tuesday</v>
      </c>
      <c r="AD974" s="4" t="s">
        <v>62</v>
      </c>
      <c r="AE974" s="4" t="s">
        <v>76</v>
      </c>
      <c r="AF974" s="4" t="s">
        <v>92</v>
      </c>
      <c r="AG974" s="4" t="s">
        <v>93</v>
      </c>
      <c r="AH974" s="3">
        <v>3</v>
      </c>
    </row>
    <row r="975" spans="1:34">
      <c r="A975" s="4" t="s">
        <v>2030</v>
      </c>
      <c r="B975" s="3">
        <v>48</v>
      </c>
      <c r="C975" s="9" t="str" cm="1">
        <f t="array" ref="C975">_xlfn.IFS(B975&gt;65,"+65",B975&gt;54,"55-65",B975&gt;44,"45-54",B975&gt;35,"36-44",B975&gt;25,"26-35",B975&gt;=18,"18-25")</f>
        <v>45-54</v>
      </c>
      <c r="D975" s="4" t="s">
        <v>78</v>
      </c>
      <c r="E975" s="4" t="s">
        <v>72</v>
      </c>
      <c r="F975" s="4" t="s">
        <v>79</v>
      </c>
      <c r="G975" s="4" t="s">
        <v>80</v>
      </c>
      <c r="H975" s="4" t="s">
        <v>2031</v>
      </c>
      <c r="I975" s="4" t="s">
        <v>223</v>
      </c>
      <c r="J975" s="5">
        <v>132.66999999999999</v>
      </c>
      <c r="K975" s="3">
        <v>7</v>
      </c>
      <c r="L975" s="4" t="str">
        <f>IF(AND(J975&gt;350,K975&gt;6), "True","False")</f>
        <v>False</v>
      </c>
      <c r="M975" s="4" t="s">
        <v>71</v>
      </c>
      <c r="N975" s="3">
        <v>2</v>
      </c>
      <c r="O975" s="4" t="str" cm="1">
        <f t="array" ref="O975">_xlfn.IFS(P975&lt;=2,"Poor",P975=3,"Average",P975&gt;=4,"Good")</f>
        <v>Good</v>
      </c>
      <c r="P975" s="3">
        <v>5</v>
      </c>
      <c r="Q975" s="2">
        <v>1</v>
      </c>
      <c r="R975" s="4" t="s">
        <v>59</v>
      </c>
      <c r="S975" s="4" t="s">
        <v>73</v>
      </c>
      <c r="T975" s="3">
        <v>2</v>
      </c>
      <c r="U975" s="4" t="str" cm="1">
        <f t="array" ref="U975">_xlfn.IFS(V975&lt;=4, "Dissatisfied",V975&lt;=7,"Neutral",V975&gt;=8,"Satisfied")</f>
        <v>Dissatisfied</v>
      </c>
      <c r="V975" s="3">
        <v>3</v>
      </c>
      <c r="W975" s="4" t="s">
        <v>59</v>
      </c>
      <c r="X975" s="4" t="s">
        <v>60</v>
      </c>
      <c r="Y975" s="4" t="s">
        <v>111</v>
      </c>
      <c r="Z975" s="1">
        <v>45644</v>
      </c>
      <c r="AA975" s="4" t="str" cm="1">
        <f t="array" ref="AA975">_xlfn.IFS(OR(AB975="December", AB975="February", AB975="January"), "Winter", OR(AB975="March", AB975="April", AB975="May"), "Spring", OR(AB975="June", AB975="July", AB975="August"), "Summer", TRUE, "Autumn")</f>
        <v>Winter</v>
      </c>
      <c r="AB975" s="7" t="str">
        <f>TEXT(Z975, "mmmm")</f>
        <v>December</v>
      </c>
      <c r="AC975" s="1" t="str">
        <f>TEXT(Z975, "dddd")</f>
        <v>Wednesday</v>
      </c>
      <c r="AD975" s="4" t="s">
        <v>62</v>
      </c>
      <c r="AE975" s="4" t="s">
        <v>76</v>
      </c>
      <c r="AF975" s="4" t="s">
        <v>92</v>
      </c>
      <c r="AG975" s="4" t="s">
        <v>93</v>
      </c>
      <c r="AH975" s="3">
        <v>1</v>
      </c>
    </row>
    <row r="976" spans="1:34">
      <c r="A976" s="4" t="s">
        <v>2032</v>
      </c>
      <c r="B976" s="3">
        <v>42</v>
      </c>
      <c r="C976" s="9" t="str" cm="1">
        <f t="array" ref="C976">_xlfn.IFS(B976&gt;65,"+65",B976&gt;54,"55-65",B976&gt;44,"45-54",B976&gt;35,"36-44",B976&gt;25,"26-35",B976&gt;=18,"18-25")</f>
        <v>36-44</v>
      </c>
      <c r="D976" s="4" t="s">
        <v>78</v>
      </c>
      <c r="E976" s="4" t="s">
        <v>72</v>
      </c>
      <c r="F976" s="4" t="s">
        <v>67</v>
      </c>
      <c r="G976" s="4" t="s">
        <v>53</v>
      </c>
      <c r="H976" s="4" t="s">
        <v>2033</v>
      </c>
      <c r="I976" s="4" t="s">
        <v>169</v>
      </c>
      <c r="J976" s="5">
        <v>442.15</v>
      </c>
      <c r="K976" s="3">
        <v>10</v>
      </c>
      <c r="L976" s="4" t="str">
        <f>IF(AND(J976&gt;350,K976&gt;6), "True","False")</f>
        <v>True</v>
      </c>
      <c r="M976" s="4" t="s">
        <v>83</v>
      </c>
      <c r="N976" s="3">
        <v>2</v>
      </c>
      <c r="O976" s="4" t="str" cm="1">
        <f t="array" ref="O976">_xlfn.IFS(P976&lt;=2,"Poor",P976=3,"Average",P976&gt;=4,"Good")</f>
        <v>Average</v>
      </c>
      <c r="P976" s="3">
        <v>3</v>
      </c>
      <c r="Q976" s="2">
        <v>1</v>
      </c>
      <c r="R976" s="4" t="s">
        <v>72</v>
      </c>
      <c r="S976" s="4" t="s">
        <v>58</v>
      </c>
      <c r="T976" s="3">
        <v>2</v>
      </c>
      <c r="U976" s="4" t="str" cm="1">
        <f t="array" ref="U976">_xlfn.IFS(V976&lt;=4, "Dissatisfied",V976&lt;=7,"Neutral",V976&gt;=8,"Satisfied")</f>
        <v>Dissatisfied</v>
      </c>
      <c r="V976" s="3">
        <v>1</v>
      </c>
      <c r="W976" s="4" t="s">
        <v>57</v>
      </c>
      <c r="X976" s="4" t="s">
        <v>60</v>
      </c>
      <c r="Y976" s="4" t="s">
        <v>119</v>
      </c>
      <c r="Z976" s="1">
        <v>45644</v>
      </c>
      <c r="AA976" s="4" t="str" cm="1">
        <f t="array" ref="AA976">_xlfn.IFS(OR(AB976="December", AB976="February", AB976="January"), "Winter", OR(AB976="March", AB976="April", AB976="May"), "Spring", OR(AB976="June", AB976="July", AB976="August"), "Summer", TRUE, "Autumn")</f>
        <v>Winter</v>
      </c>
      <c r="AB976" s="7" t="str">
        <f>TEXT(Z976, "mmmm")</f>
        <v>December</v>
      </c>
      <c r="AC976" s="1" t="str">
        <f>TEXT(Z976, "dddd")</f>
        <v>Wednesday</v>
      </c>
      <c r="AD976" s="4" t="s">
        <v>76</v>
      </c>
      <c r="AE976" s="4" t="s">
        <v>62</v>
      </c>
      <c r="AF976" s="4" t="s">
        <v>63</v>
      </c>
      <c r="AG976" s="4" t="s">
        <v>88</v>
      </c>
      <c r="AH976" s="3">
        <v>9</v>
      </c>
    </row>
    <row r="977" spans="1:34">
      <c r="A977" s="4" t="s">
        <v>2034</v>
      </c>
      <c r="B977" s="3">
        <v>39</v>
      </c>
      <c r="C977" s="9" t="str" cm="1">
        <f t="array" ref="C977">_xlfn.IFS(B977&gt;65,"+65",B977&gt;54,"55-65",B977&gt;44,"45-54",B977&gt;35,"36-44",B977&gt;25,"26-35",B977&gt;=18,"18-25")</f>
        <v>36-44</v>
      </c>
      <c r="D977" s="4" t="s">
        <v>66</v>
      </c>
      <c r="E977" s="4" t="s">
        <v>51</v>
      </c>
      <c r="F977" s="4" t="s">
        <v>52</v>
      </c>
      <c r="G977" s="4" t="s">
        <v>68</v>
      </c>
      <c r="H977" s="4" t="s">
        <v>1142</v>
      </c>
      <c r="I977" s="4" t="s">
        <v>146</v>
      </c>
      <c r="J977" s="5">
        <v>130.91999999999999</v>
      </c>
      <c r="K977" s="3">
        <v>2</v>
      </c>
      <c r="L977" s="4" t="str">
        <f>IF(AND(J977&gt;350,K977&gt;6), "True","False")</f>
        <v>False</v>
      </c>
      <c r="M977" s="4" t="s">
        <v>56</v>
      </c>
      <c r="N977" s="3">
        <v>1</v>
      </c>
      <c r="O977" s="4" t="str" cm="1">
        <f t="array" ref="O977">_xlfn.IFS(P977&lt;=2,"Poor",P977=3,"Average",P977&gt;=4,"Good")</f>
        <v>Poor</v>
      </c>
      <c r="P977" s="3">
        <v>2</v>
      </c>
      <c r="Q977" s="2">
        <v>1</v>
      </c>
      <c r="R977" s="4" t="s">
        <v>72</v>
      </c>
      <c r="S977" s="4" t="s">
        <v>73</v>
      </c>
      <c r="T977" s="3">
        <v>2</v>
      </c>
      <c r="U977" s="4" t="str" cm="1">
        <f t="array" ref="U977">_xlfn.IFS(V977&lt;=4, "Dissatisfied",V977&lt;=7,"Neutral",V977&gt;=8,"Satisfied")</f>
        <v>Dissatisfied</v>
      </c>
      <c r="V977" s="3">
        <v>2</v>
      </c>
      <c r="W977" s="4" t="s">
        <v>57</v>
      </c>
      <c r="X977" s="4" t="s">
        <v>74</v>
      </c>
      <c r="Y977" s="4" t="s">
        <v>61</v>
      </c>
      <c r="Z977" s="1">
        <v>45644</v>
      </c>
      <c r="AA977" s="4" t="str" cm="1">
        <f t="array" ref="AA977">_xlfn.IFS(OR(AB977="December", AB977="February", AB977="January"), "Winter", OR(AB977="March", AB977="April", AB977="May"), "Spring", OR(AB977="June", AB977="July", AB977="August"), "Summer", TRUE, "Autumn")</f>
        <v>Winter</v>
      </c>
      <c r="AB977" s="7" t="str">
        <f>TEXT(Z977, "mmmm")</f>
        <v>December</v>
      </c>
      <c r="AC977" s="1" t="str">
        <f>TEXT(Z977, "dddd")</f>
        <v>Wednesday</v>
      </c>
      <c r="AD977" s="4" t="s">
        <v>62</v>
      </c>
      <c r="AE977" s="4" t="s">
        <v>62</v>
      </c>
      <c r="AF977" s="4" t="s">
        <v>92</v>
      </c>
      <c r="AG977" s="4" t="s">
        <v>88</v>
      </c>
      <c r="AH977" s="3">
        <v>9</v>
      </c>
    </row>
    <row r="978" spans="1:34">
      <c r="A978" s="4" t="s">
        <v>2035</v>
      </c>
      <c r="B978" s="3">
        <v>24</v>
      </c>
      <c r="C978" s="9" t="str" cm="1">
        <f t="array" ref="C978">_xlfn.IFS(B978&gt;65,"+65",B978&gt;54,"55-65",B978&gt;44,"45-54",B978&gt;35,"36-44",B978&gt;25,"26-35",B978&gt;=18,"18-25")</f>
        <v>18-25</v>
      </c>
      <c r="D978" s="4" t="s">
        <v>78</v>
      </c>
      <c r="E978" s="4" t="s">
        <v>72</v>
      </c>
      <c r="F978" s="4" t="s">
        <v>79</v>
      </c>
      <c r="G978" s="4" t="s">
        <v>80</v>
      </c>
      <c r="H978" s="4" t="s">
        <v>2036</v>
      </c>
      <c r="I978" s="4" t="s">
        <v>97</v>
      </c>
      <c r="J978" s="5">
        <v>411.95</v>
      </c>
      <c r="K978" s="3">
        <v>10</v>
      </c>
      <c r="L978" s="4" t="str">
        <f>IF(AND(J978&gt;350,K978&gt;6), "True","False")</f>
        <v>True</v>
      </c>
      <c r="M978" s="4" t="s">
        <v>71</v>
      </c>
      <c r="N978" s="3">
        <v>5</v>
      </c>
      <c r="O978" s="4" t="str" cm="1">
        <f t="array" ref="O978">_xlfn.IFS(P978&lt;=2,"Poor",P978=3,"Average",P978&gt;=4,"Good")</f>
        <v>Average</v>
      </c>
      <c r="P978" s="3">
        <v>3</v>
      </c>
      <c r="Q978" s="2">
        <v>1</v>
      </c>
      <c r="R978" s="4" t="s">
        <v>57</v>
      </c>
      <c r="S978" s="4" t="s">
        <v>58</v>
      </c>
      <c r="T978" s="3">
        <v>0</v>
      </c>
      <c r="U978" s="4" t="str" cm="1">
        <f t="array" ref="U978">_xlfn.IFS(V978&lt;=4, "Dissatisfied",V978&lt;=7,"Neutral",V978&gt;=8,"Satisfied")</f>
        <v>Dissatisfied</v>
      </c>
      <c r="V978" s="3">
        <v>4</v>
      </c>
      <c r="W978" s="4" t="s">
        <v>57</v>
      </c>
      <c r="X978" s="4" t="s">
        <v>60</v>
      </c>
      <c r="Y978" s="4" t="s">
        <v>86</v>
      </c>
      <c r="Z978" s="1">
        <v>45644</v>
      </c>
      <c r="AA978" s="4" t="str" cm="1">
        <f t="array" ref="AA978">_xlfn.IFS(OR(AB978="December", AB978="February", AB978="January"), "Winter", OR(AB978="March", AB978="April", AB978="May"), "Spring", OR(AB978="June", AB978="July", AB978="August"), "Summer", TRUE, "Autumn")</f>
        <v>Winter</v>
      </c>
      <c r="AB978" s="7" t="str">
        <f>TEXT(Z978, "mmmm")</f>
        <v>December</v>
      </c>
      <c r="AC978" s="1" t="str">
        <f>TEXT(Z978, "dddd")</f>
        <v>Wednesday</v>
      </c>
      <c r="AD978" s="4" t="s">
        <v>62</v>
      </c>
      <c r="AE978" s="4" t="s">
        <v>62</v>
      </c>
      <c r="AF978" s="4" t="s">
        <v>92</v>
      </c>
      <c r="AG978" s="4" t="s">
        <v>64</v>
      </c>
      <c r="AH978" s="3">
        <v>5</v>
      </c>
    </row>
    <row r="979" spans="1:34">
      <c r="A979" s="4" t="s">
        <v>2037</v>
      </c>
      <c r="B979" s="3">
        <v>48</v>
      </c>
      <c r="C979" s="9" t="str" cm="1">
        <f t="array" ref="C979">_xlfn.IFS(B979&gt;65,"+65",B979&gt;54,"55-65",B979&gt;44,"45-54",B979&gt;35,"36-44",B979&gt;25,"26-35",B979&gt;=18,"18-25")</f>
        <v>45-54</v>
      </c>
      <c r="D979" s="4" t="s">
        <v>78</v>
      </c>
      <c r="E979" s="4" t="s">
        <v>72</v>
      </c>
      <c r="F979" s="4" t="s">
        <v>67</v>
      </c>
      <c r="G979" s="4" t="s">
        <v>53</v>
      </c>
      <c r="H979" s="4" t="s">
        <v>2038</v>
      </c>
      <c r="I979" s="4" t="s">
        <v>55</v>
      </c>
      <c r="J979" s="5">
        <v>102.96</v>
      </c>
      <c r="K979" s="3">
        <v>3</v>
      </c>
      <c r="L979" s="4" t="str">
        <f>IF(AND(J979&gt;350,K979&gt;6), "True","False")</f>
        <v>False</v>
      </c>
      <c r="M979" s="4" t="s">
        <v>83</v>
      </c>
      <c r="N979" s="3">
        <v>1</v>
      </c>
      <c r="O979" s="4" t="str" cm="1">
        <f t="array" ref="O979">_xlfn.IFS(P979&lt;=2,"Poor",P979=3,"Average",P979&gt;=4,"Good")</f>
        <v>Poor</v>
      </c>
      <c r="P979" s="3">
        <v>1</v>
      </c>
      <c r="Q979" s="2">
        <v>1</v>
      </c>
      <c r="R979" s="4" t="s">
        <v>59</v>
      </c>
      <c r="S979" s="4" t="s">
        <v>73</v>
      </c>
      <c r="T979" s="3">
        <v>0</v>
      </c>
      <c r="U979" s="4" t="str" cm="1">
        <f t="array" ref="U979">_xlfn.IFS(V979&lt;=4, "Dissatisfied",V979&lt;=7,"Neutral",V979&gt;=8,"Satisfied")</f>
        <v>Neutral</v>
      </c>
      <c r="V979" s="3">
        <v>7</v>
      </c>
      <c r="W979" s="4" t="s">
        <v>59</v>
      </c>
      <c r="X979" s="4" t="s">
        <v>101</v>
      </c>
      <c r="Y979" s="4" t="s">
        <v>86</v>
      </c>
      <c r="Z979" s="1">
        <v>45645</v>
      </c>
      <c r="AA979" s="4" t="str" cm="1">
        <f t="array" ref="AA979">_xlfn.IFS(OR(AB979="December", AB979="February", AB979="January"), "Winter", OR(AB979="March", AB979="April", AB979="May"), "Spring", OR(AB979="June", AB979="July", AB979="August"), "Summer", TRUE, "Autumn")</f>
        <v>Winter</v>
      </c>
      <c r="AB979" s="7" t="str">
        <f>TEXT(Z979, "mmmm")</f>
        <v>December</v>
      </c>
      <c r="AC979" s="1" t="str">
        <f>TEXT(Z979, "dddd")</f>
        <v>Thursday</v>
      </c>
      <c r="AD979" s="4" t="s">
        <v>76</v>
      </c>
      <c r="AE979" s="4" t="s">
        <v>62</v>
      </c>
      <c r="AF979" s="4" t="s">
        <v>102</v>
      </c>
      <c r="AG979" s="4" t="s">
        <v>64</v>
      </c>
      <c r="AH979" s="3">
        <v>4</v>
      </c>
    </row>
    <row r="980" spans="1:34">
      <c r="A980" s="4" t="s">
        <v>2039</v>
      </c>
      <c r="B980" s="3">
        <v>29</v>
      </c>
      <c r="C980" s="9" t="str" cm="1">
        <f t="array" ref="C980">_xlfn.IFS(B980&gt;65,"+65",B980&gt;54,"55-65",B980&gt;44,"45-54",B980&gt;35,"36-44",B980&gt;25,"26-35",B980&gt;=18,"18-25")</f>
        <v>26-35</v>
      </c>
      <c r="D980" s="4" t="s">
        <v>78</v>
      </c>
      <c r="E980" s="4" t="s">
        <v>72</v>
      </c>
      <c r="F980" s="4" t="s">
        <v>95</v>
      </c>
      <c r="G980" s="4" t="s">
        <v>53</v>
      </c>
      <c r="H980" s="4" t="s">
        <v>2040</v>
      </c>
      <c r="I980" s="4" t="s">
        <v>97</v>
      </c>
      <c r="J980" s="5">
        <v>359.94</v>
      </c>
      <c r="K980" s="3">
        <v>11</v>
      </c>
      <c r="L980" s="4" t="str">
        <f>IF(AND(J980&gt;350,K980&gt;6), "True","False")</f>
        <v>True</v>
      </c>
      <c r="M980" s="4" t="s">
        <v>83</v>
      </c>
      <c r="N980" s="3">
        <v>2</v>
      </c>
      <c r="O980" s="4" t="str" cm="1">
        <f t="array" ref="O980">_xlfn.IFS(P980&lt;=2,"Poor",P980=3,"Average",P980&gt;=4,"Good")</f>
        <v>Good</v>
      </c>
      <c r="P980" s="3">
        <v>5</v>
      </c>
      <c r="Q980" s="2">
        <v>2</v>
      </c>
      <c r="R980" s="4" t="s">
        <v>57</v>
      </c>
      <c r="S980" s="4" t="s">
        <v>73</v>
      </c>
      <c r="T980" s="3">
        <v>1</v>
      </c>
      <c r="U980" s="4" t="str" cm="1">
        <f t="array" ref="U980">_xlfn.IFS(V980&lt;=4, "Dissatisfied",V980&lt;=7,"Neutral",V980&gt;=8,"Satisfied")</f>
        <v>Satisfied</v>
      </c>
      <c r="V980" s="3">
        <v>8</v>
      </c>
      <c r="W980" s="4" t="s">
        <v>59</v>
      </c>
      <c r="X980" s="4" t="s">
        <v>60</v>
      </c>
      <c r="Y980" s="4" t="s">
        <v>61</v>
      </c>
      <c r="Z980" s="1">
        <v>45645</v>
      </c>
      <c r="AA980" s="4" t="str" cm="1">
        <f t="array" ref="AA980">_xlfn.IFS(OR(AB980="December", AB980="February", AB980="January"), "Winter", OR(AB980="March", AB980="April", AB980="May"), "Spring", OR(AB980="June", AB980="July", AB980="August"), "Summer", TRUE, "Autumn")</f>
        <v>Winter</v>
      </c>
      <c r="AB980" s="7" t="str">
        <f>TEXT(Z980, "mmmm")</f>
        <v>December</v>
      </c>
      <c r="AC980" s="1" t="str">
        <f>TEXT(Z980, "dddd")</f>
        <v>Thursday</v>
      </c>
      <c r="AD980" s="4" t="s">
        <v>76</v>
      </c>
      <c r="AE980" s="4" t="s">
        <v>62</v>
      </c>
      <c r="AF980" s="4" t="s">
        <v>102</v>
      </c>
      <c r="AG980" s="4" t="s">
        <v>93</v>
      </c>
      <c r="AH980" s="3">
        <v>9</v>
      </c>
    </row>
    <row r="981" spans="1:34">
      <c r="A981" s="4" t="s">
        <v>2041</v>
      </c>
      <c r="B981" s="3">
        <v>27</v>
      </c>
      <c r="C981" s="9" t="str" cm="1">
        <f t="array" ref="C981">_xlfn.IFS(B981&gt;65,"+65",B981&gt;54,"55-65",B981&gt;44,"45-54",B981&gt;35,"36-44",B981&gt;25,"26-35",B981&gt;=18,"18-25")</f>
        <v>26-35</v>
      </c>
      <c r="D981" s="4" t="s">
        <v>66</v>
      </c>
      <c r="E981" s="4" t="s">
        <v>72</v>
      </c>
      <c r="F981" s="4" t="s">
        <v>95</v>
      </c>
      <c r="G981" s="4" t="s">
        <v>53</v>
      </c>
      <c r="H981" s="4" t="s">
        <v>2042</v>
      </c>
      <c r="I981" s="4" t="s">
        <v>100</v>
      </c>
      <c r="J981" s="5">
        <v>483.23</v>
      </c>
      <c r="K981" s="3">
        <v>7</v>
      </c>
      <c r="L981" s="4" t="str">
        <f>IF(AND(J981&gt;350,K981&gt;6), "True","False")</f>
        <v>True</v>
      </c>
      <c r="M981" s="4" t="s">
        <v>56</v>
      </c>
      <c r="N981" s="3">
        <v>2</v>
      </c>
      <c r="O981" s="4" t="str" cm="1">
        <f t="array" ref="O981">_xlfn.IFS(P981&lt;=2,"Poor",P981=3,"Average",P981&gt;=4,"Good")</f>
        <v>Good</v>
      </c>
      <c r="P981" s="3">
        <v>4</v>
      </c>
      <c r="Q981" s="2">
        <v>2</v>
      </c>
      <c r="R981" s="4" t="s">
        <v>85</v>
      </c>
      <c r="S981" s="4" t="s">
        <v>84</v>
      </c>
      <c r="T981" s="3">
        <v>0</v>
      </c>
      <c r="U981" s="4" t="str" cm="1">
        <f t="array" ref="U981">_xlfn.IFS(V981&lt;=4, "Dissatisfied",V981&lt;=7,"Neutral",V981&gt;=8,"Satisfied")</f>
        <v>Neutral</v>
      </c>
      <c r="V981" s="3">
        <v>5</v>
      </c>
      <c r="W981" s="4" t="s">
        <v>72</v>
      </c>
      <c r="X981" s="4" t="s">
        <v>60</v>
      </c>
      <c r="Y981" s="4" t="s">
        <v>86</v>
      </c>
      <c r="Z981" s="1">
        <v>45645</v>
      </c>
      <c r="AA981" s="4" t="str" cm="1">
        <f t="array" ref="AA981">_xlfn.IFS(OR(AB981="December", AB981="February", AB981="January"), "Winter", OR(AB981="March", AB981="April", AB981="May"), "Spring", OR(AB981="June", AB981="July", AB981="August"), "Summer", TRUE, "Autumn")</f>
        <v>Winter</v>
      </c>
      <c r="AB981" s="7" t="str">
        <f>TEXT(Z981, "mmmm")</f>
        <v>December</v>
      </c>
      <c r="AC981" s="1" t="str">
        <f>TEXT(Z981, "dddd")</f>
        <v>Thursday</v>
      </c>
      <c r="AD981" s="4" t="s">
        <v>62</v>
      </c>
      <c r="AE981" s="4" t="s">
        <v>76</v>
      </c>
      <c r="AF981" s="4" t="s">
        <v>92</v>
      </c>
      <c r="AG981" s="4" t="s">
        <v>93</v>
      </c>
      <c r="AH981" s="3">
        <v>9</v>
      </c>
    </row>
    <row r="982" spans="1:34">
      <c r="A982" s="4" t="s">
        <v>2043</v>
      </c>
      <c r="B982" s="3">
        <v>31</v>
      </c>
      <c r="C982" s="9" t="str" cm="1">
        <f t="array" ref="C982">_xlfn.IFS(B982&gt;65,"+65",B982&gt;54,"55-65",B982&gt;44,"45-54",B982&gt;35,"36-44",B982&gt;25,"26-35",B982&gt;=18,"18-25")</f>
        <v>26-35</v>
      </c>
      <c r="D982" s="4" t="s">
        <v>78</v>
      </c>
      <c r="E982" s="4" t="s">
        <v>51</v>
      </c>
      <c r="F982" s="4" t="s">
        <v>79</v>
      </c>
      <c r="G982" s="4" t="s">
        <v>68</v>
      </c>
      <c r="H982" s="4" t="s">
        <v>2044</v>
      </c>
      <c r="I982" s="4" t="s">
        <v>97</v>
      </c>
      <c r="J982" s="5">
        <v>132.52000000000001</v>
      </c>
      <c r="K982" s="3">
        <v>6</v>
      </c>
      <c r="L982" s="4" t="str">
        <f>IF(AND(J982&gt;350,K982&gt;6), "True","False")</f>
        <v>False</v>
      </c>
      <c r="M982" s="4" t="s">
        <v>83</v>
      </c>
      <c r="N982" s="3">
        <v>1</v>
      </c>
      <c r="O982" s="4" t="str" cm="1">
        <f t="array" ref="O982">_xlfn.IFS(P982&lt;=2,"Poor",P982=3,"Average",P982&gt;=4,"Good")</f>
        <v>Poor</v>
      </c>
      <c r="P982" s="3">
        <v>2</v>
      </c>
      <c r="Q982" s="2">
        <v>0</v>
      </c>
      <c r="R982" s="4" t="s">
        <v>85</v>
      </c>
      <c r="S982" s="4" t="s">
        <v>84</v>
      </c>
      <c r="T982" s="3">
        <v>2</v>
      </c>
      <c r="U982" s="4" t="str" cm="1">
        <f t="array" ref="U982">_xlfn.IFS(V982&lt;=4, "Dissatisfied",V982&lt;=7,"Neutral",V982&gt;=8,"Satisfied")</f>
        <v>Satisfied</v>
      </c>
      <c r="V982" s="3">
        <v>10</v>
      </c>
      <c r="W982" s="4" t="s">
        <v>59</v>
      </c>
      <c r="X982" s="4" t="s">
        <v>60</v>
      </c>
      <c r="Y982" s="4" t="s">
        <v>75</v>
      </c>
      <c r="Z982" s="1">
        <v>45646</v>
      </c>
      <c r="AA982" s="4" t="str" cm="1">
        <f t="array" ref="AA982">_xlfn.IFS(OR(AB982="December", AB982="February", AB982="January"), "Winter", OR(AB982="March", AB982="April", AB982="May"), "Spring", OR(AB982="June", AB982="July", AB982="August"), "Summer", TRUE, "Autumn")</f>
        <v>Winter</v>
      </c>
      <c r="AB982" s="7" t="str">
        <f>TEXT(Z982, "mmmm")</f>
        <v>December</v>
      </c>
      <c r="AC982" s="1" t="str">
        <f>TEXT(Z982, "dddd")</f>
        <v>Friday</v>
      </c>
      <c r="AD982" s="4" t="s">
        <v>62</v>
      </c>
      <c r="AE982" s="4" t="s">
        <v>62</v>
      </c>
      <c r="AF982" s="4" t="s">
        <v>92</v>
      </c>
      <c r="AG982" s="4" t="s">
        <v>93</v>
      </c>
      <c r="AH982" s="3">
        <v>12</v>
      </c>
    </row>
    <row r="983" spans="1:34">
      <c r="A983" s="4" t="s">
        <v>2045</v>
      </c>
      <c r="B983" s="3">
        <v>42</v>
      </c>
      <c r="C983" s="9" t="str" cm="1">
        <f t="array" ref="C983">_xlfn.IFS(B983&gt;65,"+65",B983&gt;54,"55-65",B983&gt;44,"45-54",B983&gt;35,"36-44",B983&gt;25,"26-35",B983&gt;=18,"18-25")</f>
        <v>36-44</v>
      </c>
      <c r="D983" s="4" t="s">
        <v>66</v>
      </c>
      <c r="E983" s="4" t="s">
        <v>72</v>
      </c>
      <c r="F983" s="4" t="s">
        <v>52</v>
      </c>
      <c r="G983" s="4" t="s">
        <v>80</v>
      </c>
      <c r="H983" s="4" t="s">
        <v>2046</v>
      </c>
      <c r="I983" s="4" t="s">
        <v>100</v>
      </c>
      <c r="J983" s="5">
        <v>361.4</v>
      </c>
      <c r="K983" s="3">
        <v>2</v>
      </c>
      <c r="L983" s="4" t="str">
        <f>IF(AND(J983&gt;350,K983&gt;6), "True","False")</f>
        <v>False</v>
      </c>
      <c r="M983" s="4" t="s">
        <v>71</v>
      </c>
      <c r="N983" s="3">
        <v>2</v>
      </c>
      <c r="O983" s="4" t="str" cm="1">
        <f t="array" ref="O983">_xlfn.IFS(P983&lt;=2,"Poor",P983=3,"Average",P983&gt;=4,"Good")</f>
        <v>Good</v>
      </c>
      <c r="P983" s="3">
        <v>5</v>
      </c>
      <c r="Q983" s="2">
        <v>1</v>
      </c>
      <c r="R983" s="4" t="s">
        <v>85</v>
      </c>
      <c r="S983" s="4" t="s">
        <v>84</v>
      </c>
      <c r="T983" s="3">
        <v>0</v>
      </c>
      <c r="U983" s="4" t="str" cm="1">
        <f t="array" ref="U983">_xlfn.IFS(V983&lt;=4, "Dissatisfied",V983&lt;=7,"Neutral",V983&gt;=8,"Satisfied")</f>
        <v>Neutral</v>
      </c>
      <c r="V983" s="3">
        <v>5</v>
      </c>
      <c r="W983" s="4" t="s">
        <v>85</v>
      </c>
      <c r="X983" s="4" t="s">
        <v>101</v>
      </c>
      <c r="Y983" s="4" t="s">
        <v>119</v>
      </c>
      <c r="Z983" s="1">
        <v>45647</v>
      </c>
      <c r="AA983" s="4" t="str" cm="1">
        <f t="array" ref="AA983">_xlfn.IFS(OR(AB983="December", AB983="February", AB983="January"), "Winter", OR(AB983="March", AB983="April", AB983="May"), "Spring", OR(AB983="June", AB983="July", AB983="August"), "Summer", TRUE, "Autumn")</f>
        <v>Winter</v>
      </c>
      <c r="AB983" s="7" t="str">
        <f>TEXT(Z983, "mmmm")</f>
        <v>December</v>
      </c>
      <c r="AC983" s="1" t="str">
        <f>TEXT(Z983, "dddd")</f>
        <v>Saturday</v>
      </c>
      <c r="AD983" s="4" t="s">
        <v>76</v>
      </c>
      <c r="AE983" s="4" t="s">
        <v>62</v>
      </c>
      <c r="AF983" s="4" t="s">
        <v>92</v>
      </c>
      <c r="AG983" s="4" t="s">
        <v>88</v>
      </c>
      <c r="AH983" s="3">
        <v>7</v>
      </c>
    </row>
    <row r="984" spans="1:34">
      <c r="A984" s="4" t="s">
        <v>2047</v>
      </c>
      <c r="B984" s="3">
        <v>40</v>
      </c>
      <c r="C984" s="9" t="str" cm="1">
        <f t="array" ref="C984">_xlfn.IFS(B984&gt;65,"+65",B984&gt;54,"55-65",B984&gt;44,"45-54",B984&gt;35,"36-44",B984&gt;25,"26-35",B984&gt;=18,"18-25")</f>
        <v>36-44</v>
      </c>
      <c r="D984" s="4" t="s">
        <v>66</v>
      </c>
      <c r="E984" s="4" t="s">
        <v>72</v>
      </c>
      <c r="F984" s="4" t="s">
        <v>95</v>
      </c>
      <c r="G984" s="4" t="s">
        <v>68</v>
      </c>
      <c r="H984" s="4" t="s">
        <v>2048</v>
      </c>
      <c r="I984" s="4" t="s">
        <v>172</v>
      </c>
      <c r="J984" s="5">
        <v>489.67</v>
      </c>
      <c r="K984" s="3">
        <v>5</v>
      </c>
      <c r="L984" s="4" t="str">
        <f>IF(AND(J984&gt;350,K984&gt;6), "True","False")</f>
        <v>False</v>
      </c>
      <c r="M984" s="4" t="s">
        <v>83</v>
      </c>
      <c r="N984" s="3">
        <v>5</v>
      </c>
      <c r="O984" s="4" t="str" cm="1">
        <f t="array" ref="O984">_xlfn.IFS(P984&lt;=2,"Poor",P984=3,"Average",P984&gt;=4,"Good")</f>
        <v>Good</v>
      </c>
      <c r="P984" s="3">
        <v>5</v>
      </c>
      <c r="Q984" s="2">
        <v>1</v>
      </c>
      <c r="R984" s="4" t="s">
        <v>57</v>
      </c>
      <c r="S984" s="4" t="s">
        <v>73</v>
      </c>
      <c r="T984" s="3">
        <v>1</v>
      </c>
      <c r="U984" s="4" t="str" cm="1">
        <f t="array" ref="U984">_xlfn.IFS(V984&lt;=4, "Dissatisfied",V984&lt;=7,"Neutral",V984&gt;=8,"Satisfied")</f>
        <v>Neutral</v>
      </c>
      <c r="V984" s="3">
        <v>5</v>
      </c>
      <c r="W984" s="4" t="s">
        <v>85</v>
      </c>
      <c r="X984" s="4" t="s">
        <v>74</v>
      </c>
      <c r="Y984" s="4" t="s">
        <v>75</v>
      </c>
      <c r="Z984" s="1">
        <v>45647</v>
      </c>
      <c r="AA984" s="4" t="str" cm="1">
        <f t="array" ref="AA984">_xlfn.IFS(OR(AB984="December", AB984="February", AB984="January"), "Winter", OR(AB984="March", AB984="April", AB984="May"), "Spring", OR(AB984="June", AB984="July", AB984="August"), "Summer", TRUE, "Autumn")</f>
        <v>Winter</v>
      </c>
      <c r="AB984" s="7" t="str">
        <f>TEXT(Z984, "mmmm")</f>
        <v>December</v>
      </c>
      <c r="AC984" s="1" t="str">
        <f>TEXT(Z984, "dddd")</f>
        <v>Saturday</v>
      </c>
      <c r="AD984" s="4" t="s">
        <v>76</v>
      </c>
      <c r="AE984" s="4" t="s">
        <v>76</v>
      </c>
      <c r="AF984" s="4" t="s">
        <v>102</v>
      </c>
      <c r="AG984" s="4" t="s">
        <v>64</v>
      </c>
      <c r="AH984" s="3">
        <v>11</v>
      </c>
    </row>
    <row r="985" spans="1:34">
      <c r="A985" s="4" t="s">
        <v>2049</v>
      </c>
      <c r="B985" s="3">
        <v>31</v>
      </c>
      <c r="C985" s="9" t="str" cm="1">
        <f t="array" ref="C985">_xlfn.IFS(B985&gt;65,"+65",B985&gt;54,"55-65",B985&gt;44,"45-54",B985&gt;35,"36-44",B985&gt;25,"26-35",B985&gt;=18,"18-25")</f>
        <v>26-35</v>
      </c>
      <c r="D985" s="4" t="s">
        <v>66</v>
      </c>
      <c r="E985" s="4" t="s">
        <v>51</v>
      </c>
      <c r="F985" s="4" t="s">
        <v>95</v>
      </c>
      <c r="G985" s="4" t="s">
        <v>53</v>
      </c>
      <c r="H985" s="4" t="s">
        <v>2050</v>
      </c>
      <c r="I985" s="4" t="s">
        <v>100</v>
      </c>
      <c r="J985" s="5">
        <v>127.18</v>
      </c>
      <c r="K985" s="3">
        <v>2</v>
      </c>
      <c r="L985" s="4" t="str">
        <f>IF(AND(J985&gt;350,K985&gt;6), "True","False")</f>
        <v>False</v>
      </c>
      <c r="M985" s="4" t="s">
        <v>71</v>
      </c>
      <c r="N985" s="3">
        <v>5</v>
      </c>
      <c r="O985" s="4" t="str" cm="1">
        <f t="array" ref="O985">_xlfn.IFS(P985&lt;=2,"Poor",P985=3,"Average",P985&gt;=4,"Good")</f>
        <v>Good</v>
      </c>
      <c r="P985" s="3">
        <v>5</v>
      </c>
      <c r="Q985" s="2">
        <v>1</v>
      </c>
      <c r="R985" s="4" t="s">
        <v>85</v>
      </c>
      <c r="S985" s="4" t="s">
        <v>84</v>
      </c>
      <c r="T985" s="3">
        <v>0</v>
      </c>
      <c r="U985" s="4" t="str" cm="1">
        <f t="array" ref="U985">_xlfn.IFS(V985&lt;=4, "Dissatisfied",V985&lt;=7,"Neutral",V985&gt;=8,"Satisfied")</f>
        <v>Dissatisfied</v>
      </c>
      <c r="V985" s="3">
        <v>2</v>
      </c>
      <c r="W985" s="4" t="s">
        <v>85</v>
      </c>
      <c r="X985" s="4" t="s">
        <v>101</v>
      </c>
      <c r="Y985" s="4" t="s">
        <v>75</v>
      </c>
      <c r="Z985" s="1">
        <v>45647</v>
      </c>
      <c r="AA985" s="4" t="str" cm="1">
        <f t="array" ref="AA985">_xlfn.IFS(OR(AB985="December", AB985="February", AB985="January"), "Winter", OR(AB985="March", AB985="April", AB985="May"), "Spring", OR(AB985="June", AB985="July", AB985="August"), "Summer", TRUE, "Autumn")</f>
        <v>Winter</v>
      </c>
      <c r="AB985" s="7" t="str">
        <f>TEXT(Z985, "mmmm")</f>
        <v>December</v>
      </c>
      <c r="AC985" s="1" t="str">
        <f>TEXT(Z985, "dddd")</f>
        <v>Saturday</v>
      </c>
      <c r="AD985" s="4" t="s">
        <v>76</v>
      </c>
      <c r="AE985" s="4" t="s">
        <v>76</v>
      </c>
      <c r="AF985" s="4" t="s">
        <v>87</v>
      </c>
      <c r="AG985" s="4" t="s">
        <v>64</v>
      </c>
      <c r="AH985" s="3">
        <v>4</v>
      </c>
    </row>
    <row r="986" spans="1:34">
      <c r="A986" s="4" t="s">
        <v>2051</v>
      </c>
      <c r="B986" s="3">
        <v>40</v>
      </c>
      <c r="C986" s="9" t="str" cm="1">
        <f t="array" ref="C986">_xlfn.IFS(B986&gt;65,"+65",B986&gt;54,"55-65",B986&gt;44,"45-54",B986&gt;35,"36-44",B986&gt;25,"26-35",B986&gt;=18,"18-25")</f>
        <v>36-44</v>
      </c>
      <c r="D986" s="4" t="s">
        <v>78</v>
      </c>
      <c r="E986" s="4" t="s">
        <v>72</v>
      </c>
      <c r="F986" s="4" t="s">
        <v>67</v>
      </c>
      <c r="G986" s="4" t="s">
        <v>80</v>
      </c>
      <c r="H986" s="4" t="s">
        <v>2052</v>
      </c>
      <c r="I986" s="4" t="s">
        <v>169</v>
      </c>
      <c r="J986" s="5">
        <v>489.81</v>
      </c>
      <c r="K986" s="3">
        <v>11</v>
      </c>
      <c r="L986" s="4" t="str">
        <f>IF(AND(J986&gt;350,K986&gt;6), "True","False")</f>
        <v>True</v>
      </c>
      <c r="M986" s="4" t="s">
        <v>83</v>
      </c>
      <c r="N986" s="3">
        <v>3</v>
      </c>
      <c r="O986" s="4" t="str" cm="1">
        <f t="array" ref="O986">_xlfn.IFS(P986&lt;=2,"Poor",P986=3,"Average",P986&gt;=4,"Good")</f>
        <v>Poor</v>
      </c>
      <c r="P986" s="3">
        <v>2</v>
      </c>
      <c r="Q986" s="2">
        <v>1</v>
      </c>
      <c r="R986" s="4" t="s">
        <v>59</v>
      </c>
      <c r="S986" s="4" t="s">
        <v>73</v>
      </c>
      <c r="T986" s="3">
        <v>0</v>
      </c>
      <c r="U986" s="4" t="str" cm="1">
        <f t="array" ref="U986">_xlfn.IFS(V986&lt;=4, "Dissatisfied",V986&lt;=7,"Neutral",V986&gt;=8,"Satisfied")</f>
        <v>Dissatisfied</v>
      </c>
      <c r="V986" s="3">
        <v>1</v>
      </c>
      <c r="W986" s="4" t="s">
        <v>57</v>
      </c>
      <c r="X986" s="4" t="s">
        <v>74</v>
      </c>
      <c r="Y986" s="4" t="s">
        <v>119</v>
      </c>
      <c r="Z986" s="1">
        <v>45648</v>
      </c>
      <c r="AA986" s="4" t="str" cm="1">
        <f t="array" ref="AA986">_xlfn.IFS(OR(AB986="December", AB986="February", AB986="January"), "Winter", OR(AB986="March", AB986="April", AB986="May"), "Spring", OR(AB986="June", AB986="July", AB986="August"), "Summer", TRUE, "Autumn")</f>
        <v>Winter</v>
      </c>
      <c r="AB986" s="7" t="str">
        <f>TEXT(Z986, "mmmm")</f>
        <v>December</v>
      </c>
      <c r="AC986" s="1" t="str">
        <f>TEXT(Z986, "dddd")</f>
        <v>Sunday</v>
      </c>
      <c r="AD986" s="4" t="s">
        <v>76</v>
      </c>
      <c r="AE986" s="4" t="s">
        <v>76</v>
      </c>
      <c r="AF986" s="4" t="s">
        <v>102</v>
      </c>
      <c r="AG986" s="4" t="s">
        <v>88</v>
      </c>
      <c r="AH986" s="3">
        <v>3</v>
      </c>
    </row>
    <row r="987" spans="1:34">
      <c r="A987" s="4" t="s">
        <v>2053</v>
      </c>
      <c r="B987" s="3">
        <v>40</v>
      </c>
      <c r="C987" s="9" t="str" cm="1">
        <f t="array" ref="C987">_xlfn.IFS(B987&gt;65,"+65",B987&gt;54,"55-65",B987&gt;44,"45-54",B987&gt;35,"36-44",B987&gt;25,"26-35",B987&gt;=18,"18-25")</f>
        <v>36-44</v>
      </c>
      <c r="D987" s="4" t="s">
        <v>78</v>
      </c>
      <c r="E987" s="4" t="s">
        <v>72</v>
      </c>
      <c r="F987" s="4" t="s">
        <v>79</v>
      </c>
      <c r="G987" s="4" t="s">
        <v>53</v>
      </c>
      <c r="H987" s="4" t="s">
        <v>2054</v>
      </c>
      <c r="I987" s="4" t="s">
        <v>156</v>
      </c>
      <c r="J987" s="5">
        <v>255.96</v>
      </c>
      <c r="K987" s="3">
        <v>7</v>
      </c>
      <c r="L987" s="4" t="str">
        <f>IF(AND(J987&gt;350,K987&gt;6), "True","False")</f>
        <v>False</v>
      </c>
      <c r="M987" s="4" t="s">
        <v>56</v>
      </c>
      <c r="N987" s="3">
        <v>5</v>
      </c>
      <c r="O987" s="4" t="str" cm="1">
        <f t="array" ref="O987">_xlfn.IFS(P987&lt;=2,"Poor",P987=3,"Average",P987&gt;=4,"Good")</f>
        <v>Poor</v>
      </c>
      <c r="P987" s="3">
        <v>1</v>
      </c>
      <c r="Q987" s="2">
        <v>1</v>
      </c>
      <c r="R987" s="4" t="s">
        <v>72</v>
      </c>
      <c r="S987" s="4" t="s">
        <v>73</v>
      </c>
      <c r="T987" s="3">
        <v>0</v>
      </c>
      <c r="U987" s="4" t="str" cm="1">
        <f t="array" ref="U987">_xlfn.IFS(V987&lt;=4, "Dissatisfied",V987&lt;=7,"Neutral",V987&gt;=8,"Satisfied")</f>
        <v>Satisfied</v>
      </c>
      <c r="V987" s="3">
        <v>10</v>
      </c>
      <c r="W987" s="4" t="s">
        <v>57</v>
      </c>
      <c r="X987" s="4" t="s">
        <v>74</v>
      </c>
      <c r="Y987" s="4" t="s">
        <v>61</v>
      </c>
      <c r="Z987" s="1">
        <v>45649</v>
      </c>
      <c r="AA987" s="4" t="str" cm="1">
        <f t="array" ref="AA987">_xlfn.IFS(OR(AB987="December", AB987="February", AB987="January"), "Winter", OR(AB987="March", AB987="April", AB987="May"), "Spring", OR(AB987="June", AB987="July", AB987="August"), "Summer", TRUE, "Autumn")</f>
        <v>Winter</v>
      </c>
      <c r="AB987" s="7" t="str">
        <f>TEXT(Z987, "mmmm")</f>
        <v>December</v>
      </c>
      <c r="AC987" s="1" t="str">
        <f>TEXT(Z987, "dddd")</f>
        <v>Monday</v>
      </c>
      <c r="AD987" s="4" t="s">
        <v>76</v>
      </c>
      <c r="AE987" s="4" t="s">
        <v>76</v>
      </c>
      <c r="AF987" s="4" t="s">
        <v>63</v>
      </c>
      <c r="AG987" s="4" t="s">
        <v>88</v>
      </c>
      <c r="AH987" s="3">
        <v>13</v>
      </c>
    </row>
    <row r="988" spans="1:34">
      <c r="A988" s="4" t="s">
        <v>2055</v>
      </c>
      <c r="B988" s="3">
        <v>27</v>
      </c>
      <c r="C988" s="9" t="str" cm="1">
        <f t="array" ref="C988">_xlfn.IFS(B988&gt;65,"+65",B988&gt;54,"55-65",B988&gt;44,"45-54",B988&gt;35,"36-44",B988&gt;25,"26-35",B988&gt;=18,"18-25")</f>
        <v>26-35</v>
      </c>
      <c r="D988" s="4" t="s">
        <v>66</v>
      </c>
      <c r="E988" s="4" t="s">
        <v>72</v>
      </c>
      <c r="F988" s="4" t="s">
        <v>52</v>
      </c>
      <c r="G988" s="4" t="s">
        <v>53</v>
      </c>
      <c r="H988" s="4" t="s">
        <v>2056</v>
      </c>
      <c r="I988" s="4" t="s">
        <v>164</v>
      </c>
      <c r="J988" s="5">
        <v>344.81</v>
      </c>
      <c r="K988" s="3">
        <v>10</v>
      </c>
      <c r="L988" s="4" t="str">
        <f>IF(AND(J988&gt;350,K988&gt;6), "True","False")</f>
        <v>False</v>
      </c>
      <c r="M988" s="4" t="s">
        <v>71</v>
      </c>
      <c r="N988" s="3">
        <v>3</v>
      </c>
      <c r="O988" s="4" t="str" cm="1">
        <f t="array" ref="O988">_xlfn.IFS(P988&lt;=2,"Poor",P988=3,"Average",P988&gt;=4,"Good")</f>
        <v>Poor</v>
      </c>
      <c r="P988" s="3">
        <v>1</v>
      </c>
      <c r="Q988" s="2">
        <v>2</v>
      </c>
      <c r="R988" s="4" t="s">
        <v>59</v>
      </c>
      <c r="S988" s="4" t="s">
        <v>84</v>
      </c>
      <c r="T988" s="3">
        <v>1</v>
      </c>
      <c r="U988" s="4" t="str" cm="1">
        <f t="array" ref="U988">_xlfn.IFS(V988&lt;=4, "Dissatisfied",V988&lt;=7,"Neutral",V988&gt;=8,"Satisfied")</f>
        <v>Satisfied</v>
      </c>
      <c r="V988" s="3">
        <v>9</v>
      </c>
      <c r="W988" s="4" t="s">
        <v>72</v>
      </c>
      <c r="X988" s="4" t="s">
        <v>101</v>
      </c>
      <c r="Y988" s="4" t="s">
        <v>111</v>
      </c>
      <c r="Z988" s="1">
        <v>45649</v>
      </c>
      <c r="AA988" s="4" t="str" cm="1">
        <f t="array" ref="AA988">_xlfn.IFS(OR(AB988="December", AB988="February", AB988="January"), "Winter", OR(AB988="March", AB988="April", AB988="May"), "Spring", OR(AB988="June", AB988="July", AB988="August"), "Summer", TRUE, "Autumn")</f>
        <v>Winter</v>
      </c>
      <c r="AB988" s="7" t="str">
        <f>TEXT(Z988, "mmmm")</f>
        <v>December</v>
      </c>
      <c r="AC988" s="1" t="str">
        <f>TEXT(Z988, "dddd")</f>
        <v>Monday</v>
      </c>
      <c r="AD988" s="4" t="s">
        <v>62</v>
      </c>
      <c r="AE988" s="4" t="s">
        <v>62</v>
      </c>
      <c r="AF988" s="4" t="s">
        <v>102</v>
      </c>
      <c r="AG988" s="4" t="s">
        <v>93</v>
      </c>
      <c r="AH988" s="3">
        <v>14</v>
      </c>
    </row>
    <row r="989" spans="1:34">
      <c r="A989" s="4" t="s">
        <v>2057</v>
      </c>
      <c r="B989" s="3">
        <v>42</v>
      </c>
      <c r="C989" s="9" t="str" cm="1">
        <f t="array" ref="C989">_xlfn.IFS(B989&gt;65,"+65",B989&gt;54,"55-65",B989&gt;44,"45-54",B989&gt;35,"36-44",B989&gt;25,"26-35",B989&gt;=18,"18-25")</f>
        <v>36-44</v>
      </c>
      <c r="D989" s="4" t="s">
        <v>78</v>
      </c>
      <c r="E989" s="4" t="s">
        <v>51</v>
      </c>
      <c r="F989" s="4" t="s">
        <v>67</v>
      </c>
      <c r="G989" s="4" t="s">
        <v>68</v>
      </c>
      <c r="H989" s="4" t="s">
        <v>2058</v>
      </c>
      <c r="I989" s="4" t="s">
        <v>234</v>
      </c>
      <c r="J989" s="5">
        <v>76.27</v>
      </c>
      <c r="K989" s="3">
        <v>4</v>
      </c>
      <c r="L989" s="4" t="str">
        <f>IF(AND(J989&gt;350,K989&gt;6), "True","False")</f>
        <v>False</v>
      </c>
      <c r="M989" s="4" t="s">
        <v>71</v>
      </c>
      <c r="N989" s="3">
        <v>2</v>
      </c>
      <c r="O989" s="4" t="str" cm="1">
        <f t="array" ref="O989">_xlfn.IFS(P989&lt;=2,"Poor",P989=3,"Average",P989&gt;=4,"Good")</f>
        <v>Average</v>
      </c>
      <c r="P989" s="3">
        <v>3</v>
      </c>
      <c r="Q989" s="2">
        <v>0</v>
      </c>
      <c r="R989" s="4" t="s">
        <v>57</v>
      </c>
      <c r="S989" s="4" t="s">
        <v>58</v>
      </c>
      <c r="T989" s="3">
        <v>0</v>
      </c>
      <c r="U989" s="4" t="str" cm="1">
        <f t="array" ref="U989">_xlfn.IFS(V989&lt;=4, "Dissatisfied",V989&lt;=7,"Neutral",V989&gt;=8,"Satisfied")</f>
        <v>Satisfied</v>
      </c>
      <c r="V989" s="3">
        <v>8</v>
      </c>
      <c r="W989" s="4" t="s">
        <v>85</v>
      </c>
      <c r="X989" s="4" t="s">
        <v>60</v>
      </c>
      <c r="Y989" s="4" t="s">
        <v>119</v>
      </c>
      <c r="Z989" s="1">
        <v>45650</v>
      </c>
      <c r="AA989" s="4" t="str" cm="1">
        <f t="array" ref="AA989">_xlfn.IFS(OR(AB989="December", AB989="February", AB989="January"), "Winter", OR(AB989="March", AB989="April", AB989="May"), "Spring", OR(AB989="June", AB989="July", AB989="August"), "Summer", TRUE, "Autumn")</f>
        <v>Winter</v>
      </c>
      <c r="AB989" s="7" t="str">
        <f>TEXT(Z989, "mmmm")</f>
        <v>December</v>
      </c>
      <c r="AC989" s="1" t="str">
        <f>TEXT(Z989, "dddd")</f>
        <v>Tuesday</v>
      </c>
      <c r="AD989" s="4" t="s">
        <v>62</v>
      </c>
      <c r="AE989" s="4" t="s">
        <v>76</v>
      </c>
      <c r="AF989" s="4" t="s">
        <v>102</v>
      </c>
      <c r="AG989" s="4" t="s">
        <v>64</v>
      </c>
      <c r="AH989" s="3">
        <v>10</v>
      </c>
    </row>
    <row r="990" spans="1:34">
      <c r="A990" s="4" t="s">
        <v>2059</v>
      </c>
      <c r="B990" s="3">
        <v>23</v>
      </c>
      <c r="C990" s="9" t="str" cm="1">
        <f t="array" ref="C990">_xlfn.IFS(B990&gt;65,"+65",B990&gt;54,"55-65",B990&gt;44,"45-54",B990&gt;35,"36-44",B990&gt;25,"26-35",B990&gt;=18,"18-25")</f>
        <v>18-25</v>
      </c>
      <c r="D990" s="4" t="s">
        <v>456</v>
      </c>
      <c r="E990" s="4" t="s">
        <v>72</v>
      </c>
      <c r="F990" s="4" t="s">
        <v>52</v>
      </c>
      <c r="G990" s="4" t="s">
        <v>80</v>
      </c>
      <c r="H990" s="4" t="s">
        <v>2060</v>
      </c>
      <c r="I990" s="4" t="s">
        <v>164</v>
      </c>
      <c r="J990" s="5">
        <v>490.11</v>
      </c>
      <c r="K990" s="3">
        <v>8</v>
      </c>
      <c r="L990" s="4" t="str">
        <f>IF(AND(J990&gt;350,K990&gt;6), "True","False")</f>
        <v>True</v>
      </c>
      <c r="M990" s="4" t="s">
        <v>56</v>
      </c>
      <c r="N990" s="3">
        <v>3</v>
      </c>
      <c r="O990" s="4" t="str" cm="1">
        <f t="array" ref="O990">_xlfn.IFS(P990&lt;=2,"Poor",P990=3,"Average",P990&gt;=4,"Good")</f>
        <v>Good</v>
      </c>
      <c r="P990" s="3">
        <v>4</v>
      </c>
      <c r="Q990" s="2">
        <v>2</v>
      </c>
      <c r="R990" s="4" t="s">
        <v>59</v>
      </c>
      <c r="S990" s="4" t="s">
        <v>58</v>
      </c>
      <c r="T990" s="3">
        <v>1</v>
      </c>
      <c r="U990" s="4" t="str" cm="1">
        <f t="array" ref="U990">_xlfn.IFS(V990&lt;=4, "Dissatisfied",V990&lt;=7,"Neutral",V990&gt;=8,"Satisfied")</f>
        <v>Dissatisfied</v>
      </c>
      <c r="V990" s="3">
        <v>1</v>
      </c>
      <c r="W990" s="4" t="s">
        <v>59</v>
      </c>
      <c r="X990" s="4" t="s">
        <v>60</v>
      </c>
      <c r="Y990" s="4" t="s">
        <v>111</v>
      </c>
      <c r="Z990" s="1">
        <v>45650</v>
      </c>
      <c r="AA990" s="4" t="str" cm="1">
        <f t="array" ref="AA990">_xlfn.IFS(OR(AB990="December", AB990="February", AB990="January"), "Winter", OR(AB990="March", AB990="April", AB990="May"), "Spring", OR(AB990="June", AB990="July", AB990="August"), "Summer", TRUE, "Autumn")</f>
        <v>Winter</v>
      </c>
      <c r="AB990" s="7" t="str">
        <f>TEXT(Z990, "mmmm")</f>
        <v>December</v>
      </c>
      <c r="AC990" s="1" t="str">
        <f>TEXT(Z990, "dddd")</f>
        <v>Tuesday</v>
      </c>
      <c r="AD990" s="4" t="s">
        <v>76</v>
      </c>
      <c r="AE990" s="4" t="s">
        <v>76</v>
      </c>
      <c r="AF990" s="4" t="s">
        <v>87</v>
      </c>
      <c r="AG990" s="4" t="s">
        <v>64</v>
      </c>
      <c r="AH990" s="3">
        <v>14</v>
      </c>
    </row>
    <row r="991" spans="1:34">
      <c r="A991" s="4" t="s">
        <v>2061</v>
      </c>
      <c r="B991" s="3">
        <v>47</v>
      </c>
      <c r="C991" s="9" t="str" cm="1">
        <f t="array" ref="C991">_xlfn.IFS(B991&gt;65,"+65",B991&gt;54,"55-65",B991&gt;44,"45-54",B991&gt;35,"36-44",B991&gt;25,"26-35",B991&gt;=18,"18-25")</f>
        <v>45-54</v>
      </c>
      <c r="D991" s="4" t="s">
        <v>78</v>
      </c>
      <c r="E991" s="4" t="s">
        <v>51</v>
      </c>
      <c r="F991" s="4" t="s">
        <v>95</v>
      </c>
      <c r="G991" s="4" t="s">
        <v>68</v>
      </c>
      <c r="H991" s="4" t="s">
        <v>2062</v>
      </c>
      <c r="I991" s="4" t="s">
        <v>151</v>
      </c>
      <c r="J991" s="5">
        <v>51.86</v>
      </c>
      <c r="K991" s="3">
        <v>4</v>
      </c>
      <c r="L991" s="4" t="str">
        <f>IF(AND(J991&gt;350,K991&gt;6), "True","False")</f>
        <v>False</v>
      </c>
      <c r="M991" s="4" t="s">
        <v>83</v>
      </c>
      <c r="N991" s="3">
        <v>3</v>
      </c>
      <c r="O991" s="4" t="str" cm="1">
        <f t="array" ref="O991">_xlfn.IFS(P991&lt;=2,"Poor",P991=3,"Average",P991&gt;=4,"Good")</f>
        <v>Good</v>
      </c>
      <c r="P991" s="3">
        <v>5</v>
      </c>
      <c r="Q991" s="2">
        <v>0.2</v>
      </c>
      <c r="R991" s="4" t="s">
        <v>85</v>
      </c>
      <c r="S991" s="4" t="s">
        <v>58</v>
      </c>
      <c r="T991" s="3">
        <v>2</v>
      </c>
      <c r="U991" s="4" t="str" cm="1">
        <f t="array" ref="U991">_xlfn.IFS(V991&lt;=4, "Dissatisfied",V991&lt;=7,"Neutral",V991&gt;=8,"Satisfied")</f>
        <v>Neutral</v>
      </c>
      <c r="V991" s="3">
        <v>6</v>
      </c>
      <c r="W991" s="4" t="s">
        <v>72</v>
      </c>
      <c r="X991" s="4" t="s">
        <v>74</v>
      </c>
      <c r="Y991" s="4" t="s">
        <v>119</v>
      </c>
      <c r="Z991" s="1">
        <v>45651</v>
      </c>
      <c r="AA991" s="4" t="str" cm="1">
        <f t="array" ref="AA991">_xlfn.IFS(OR(AB991="December", AB991="February", AB991="January"), "Winter", OR(AB991="March", AB991="April", AB991="May"), "Spring", OR(AB991="June", AB991="July", AB991="August"), "Summer", TRUE, "Autumn")</f>
        <v>Winter</v>
      </c>
      <c r="AB991" s="7" t="str">
        <f>TEXT(Z991, "mmmm")</f>
        <v>December</v>
      </c>
      <c r="AC991" s="1" t="str">
        <f>TEXT(Z991, "dddd")</f>
        <v>Wednesday</v>
      </c>
      <c r="AD991" s="4" t="s">
        <v>76</v>
      </c>
      <c r="AE991" s="4" t="s">
        <v>62</v>
      </c>
      <c r="AF991" s="4" t="s">
        <v>63</v>
      </c>
      <c r="AG991" s="4" t="s">
        <v>88</v>
      </c>
      <c r="AH991" s="3">
        <v>6</v>
      </c>
    </row>
    <row r="992" spans="1:34">
      <c r="A992" s="4" t="s">
        <v>2063</v>
      </c>
      <c r="B992" s="3">
        <v>47</v>
      </c>
      <c r="C992" s="9" t="str" cm="1">
        <f t="array" ref="C992">_xlfn.IFS(B992&gt;65,"+65",B992&gt;54,"55-65",B992&gt;44,"45-54",B992&gt;35,"36-44",B992&gt;25,"26-35",B992&gt;=18,"18-25")</f>
        <v>45-54</v>
      </c>
      <c r="D992" s="4" t="s">
        <v>78</v>
      </c>
      <c r="E992" s="4" t="s">
        <v>51</v>
      </c>
      <c r="F992" s="4" t="s">
        <v>67</v>
      </c>
      <c r="G992" s="4" t="s">
        <v>68</v>
      </c>
      <c r="H992" s="4" t="s">
        <v>2064</v>
      </c>
      <c r="I992" s="4" t="s">
        <v>172</v>
      </c>
      <c r="J992" s="5">
        <v>105.29</v>
      </c>
      <c r="K992" s="3">
        <v>7</v>
      </c>
      <c r="L992" s="4" t="str">
        <f>IF(AND(J992&gt;350,K992&gt;6), "True","False")</f>
        <v>False</v>
      </c>
      <c r="M992" s="4" t="s">
        <v>71</v>
      </c>
      <c r="N992" s="3">
        <v>2</v>
      </c>
      <c r="O992" s="4" t="str" cm="1">
        <f t="array" ref="O992">_xlfn.IFS(P992&lt;=2,"Poor",P992=3,"Average",P992&gt;=4,"Good")</f>
        <v>Good</v>
      </c>
      <c r="P992" s="3">
        <v>5</v>
      </c>
      <c r="Q992" s="2">
        <v>0</v>
      </c>
      <c r="R992" s="4" t="s">
        <v>59</v>
      </c>
      <c r="S992" s="4" t="s">
        <v>73</v>
      </c>
      <c r="T992" s="3">
        <v>0</v>
      </c>
      <c r="U992" s="4" t="str" cm="1">
        <f t="array" ref="U992">_xlfn.IFS(V992&lt;=4, "Dissatisfied",V992&lt;=7,"Neutral",V992&gt;=8,"Satisfied")</f>
        <v>Dissatisfied</v>
      </c>
      <c r="V992" s="3">
        <v>1</v>
      </c>
      <c r="W992" s="4" t="s">
        <v>72</v>
      </c>
      <c r="X992" s="4" t="s">
        <v>101</v>
      </c>
      <c r="Y992" s="4" t="s">
        <v>61</v>
      </c>
      <c r="Z992" s="1">
        <v>45651</v>
      </c>
      <c r="AA992" s="4" t="str" cm="1">
        <f t="array" ref="AA992">_xlfn.IFS(OR(AB992="December", AB992="February", AB992="January"), "Winter", OR(AB992="March", AB992="April", AB992="May"), "Spring", OR(AB992="June", AB992="July", AB992="August"), "Summer", TRUE, "Autumn")</f>
        <v>Winter</v>
      </c>
      <c r="AB992" s="7" t="str">
        <f>TEXT(Z992, "mmmm")</f>
        <v>December</v>
      </c>
      <c r="AC992" s="1" t="str">
        <f>TEXT(Z992, "dddd")</f>
        <v>Wednesday</v>
      </c>
      <c r="AD992" s="4" t="s">
        <v>76</v>
      </c>
      <c r="AE992" s="4" t="s">
        <v>62</v>
      </c>
      <c r="AF992" s="4" t="s">
        <v>63</v>
      </c>
      <c r="AG992" s="4" t="s">
        <v>93</v>
      </c>
      <c r="AH992" s="3">
        <v>4</v>
      </c>
    </row>
    <row r="993" spans="1:34">
      <c r="A993" s="4" t="s">
        <v>2065</v>
      </c>
      <c r="B993" s="3">
        <v>33</v>
      </c>
      <c r="C993" s="9" t="str" cm="1">
        <f t="array" ref="C993">_xlfn.IFS(B993&gt;65,"+65",B993&gt;54,"55-65",B993&gt;44,"45-54",B993&gt;35,"36-44",B993&gt;25,"26-35",B993&gt;=18,"18-25")</f>
        <v>26-35</v>
      </c>
      <c r="D993" s="4" t="s">
        <v>78</v>
      </c>
      <c r="E993" s="4" t="s">
        <v>72</v>
      </c>
      <c r="F993" s="4" t="s">
        <v>67</v>
      </c>
      <c r="G993" s="4" t="s">
        <v>53</v>
      </c>
      <c r="H993" s="4" t="s">
        <v>2066</v>
      </c>
      <c r="I993" s="4" t="s">
        <v>133</v>
      </c>
      <c r="J993" s="5">
        <v>253.37</v>
      </c>
      <c r="K993" s="3">
        <v>6</v>
      </c>
      <c r="L993" s="4" t="str">
        <f>IF(AND(J993&gt;350,K993&gt;6), "True","False")</f>
        <v>False</v>
      </c>
      <c r="M993" s="4" t="s">
        <v>71</v>
      </c>
      <c r="N993" s="3">
        <v>4</v>
      </c>
      <c r="O993" s="4" t="str" cm="1">
        <f t="array" ref="O993">_xlfn.IFS(P993&lt;=2,"Poor",P993=3,"Average",P993&gt;=4,"Good")</f>
        <v>Poor</v>
      </c>
      <c r="P993" s="3">
        <v>1</v>
      </c>
      <c r="Q993" s="2">
        <v>1</v>
      </c>
      <c r="R993" s="4" t="s">
        <v>57</v>
      </c>
      <c r="S993" s="4" t="s">
        <v>73</v>
      </c>
      <c r="T993" s="3">
        <v>2</v>
      </c>
      <c r="U993" s="4" t="str" cm="1">
        <f t="array" ref="U993">_xlfn.IFS(V993&lt;=4, "Dissatisfied",V993&lt;=7,"Neutral",V993&gt;=8,"Satisfied")</f>
        <v>Satisfied</v>
      </c>
      <c r="V993" s="3">
        <v>10</v>
      </c>
      <c r="W993" s="4" t="s">
        <v>72</v>
      </c>
      <c r="X993" s="4" t="s">
        <v>74</v>
      </c>
      <c r="Y993" s="4" t="s">
        <v>111</v>
      </c>
      <c r="Z993" s="1">
        <v>45651</v>
      </c>
      <c r="AA993" s="4" t="str" cm="1">
        <f t="array" ref="AA993">_xlfn.IFS(OR(AB993="December", AB993="February", AB993="January"), "Winter", OR(AB993="March", AB993="April", AB993="May"), "Spring", OR(AB993="June", AB993="July", AB993="August"), "Summer", TRUE, "Autumn")</f>
        <v>Winter</v>
      </c>
      <c r="AB993" s="7" t="str">
        <f>TEXT(Z993, "mmmm")</f>
        <v>December</v>
      </c>
      <c r="AC993" s="1" t="str">
        <f>TEXT(Z993, "dddd")</f>
        <v>Wednesday</v>
      </c>
      <c r="AD993" s="4" t="s">
        <v>62</v>
      </c>
      <c r="AE993" s="4" t="s">
        <v>76</v>
      </c>
      <c r="AF993" s="4" t="s">
        <v>92</v>
      </c>
      <c r="AG993" s="4" t="s">
        <v>64</v>
      </c>
      <c r="AH993" s="3">
        <v>8</v>
      </c>
    </row>
    <row r="994" spans="1:34">
      <c r="A994" s="4" t="s">
        <v>2067</v>
      </c>
      <c r="B994" s="3">
        <v>28</v>
      </c>
      <c r="C994" s="9" t="str" cm="1">
        <f t="array" ref="C994">_xlfn.IFS(B994&gt;65,"+65",B994&gt;54,"55-65",B994&gt;44,"45-54",B994&gt;35,"36-44",B994&gt;25,"26-35",B994&gt;=18,"18-25")</f>
        <v>26-35</v>
      </c>
      <c r="D994" s="4" t="s">
        <v>66</v>
      </c>
      <c r="E994" s="4" t="s">
        <v>51</v>
      </c>
      <c r="F994" s="4" t="s">
        <v>79</v>
      </c>
      <c r="G994" s="4" t="s">
        <v>80</v>
      </c>
      <c r="H994" s="4" t="s">
        <v>2068</v>
      </c>
      <c r="I994" s="4" t="s">
        <v>122</v>
      </c>
      <c r="J994" s="5">
        <v>82.37</v>
      </c>
      <c r="K994" s="3">
        <v>6</v>
      </c>
      <c r="L994" s="4" t="str">
        <f>IF(AND(J994&gt;350,K994&gt;6), "True","False")</f>
        <v>False</v>
      </c>
      <c r="M994" s="4" t="s">
        <v>83</v>
      </c>
      <c r="N994" s="3">
        <v>1</v>
      </c>
      <c r="O994" s="4" t="str" cm="1">
        <f t="array" ref="O994">_xlfn.IFS(P994&lt;=2,"Poor",P994=3,"Average",P994&gt;=4,"Good")</f>
        <v>Poor</v>
      </c>
      <c r="P994" s="3">
        <v>1</v>
      </c>
      <c r="Q994" s="2">
        <v>1</v>
      </c>
      <c r="R994" s="4" t="s">
        <v>85</v>
      </c>
      <c r="S994" s="4" t="s">
        <v>58</v>
      </c>
      <c r="T994" s="3">
        <v>0</v>
      </c>
      <c r="U994" s="4" t="str" cm="1">
        <f t="array" ref="U994">_xlfn.IFS(V994&lt;=4, "Dissatisfied",V994&lt;=7,"Neutral",V994&gt;=8,"Satisfied")</f>
        <v>Dissatisfied</v>
      </c>
      <c r="V994" s="3">
        <v>4</v>
      </c>
      <c r="W994" s="4" t="s">
        <v>85</v>
      </c>
      <c r="X994" s="4" t="s">
        <v>60</v>
      </c>
      <c r="Y994" s="4" t="s">
        <v>119</v>
      </c>
      <c r="Z994" s="1">
        <v>45651</v>
      </c>
      <c r="AA994" s="4" t="str" cm="1">
        <f t="array" ref="AA994">_xlfn.IFS(OR(AB994="December", AB994="February", AB994="January"), "Winter", OR(AB994="March", AB994="April", AB994="May"), "Spring", OR(AB994="June", AB994="July", AB994="August"), "Summer", TRUE, "Autumn")</f>
        <v>Winter</v>
      </c>
      <c r="AB994" s="7" t="str">
        <f>TEXT(Z994, "mmmm")</f>
        <v>December</v>
      </c>
      <c r="AC994" s="1" t="str">
        <f>TEXT(Z994, "dddd")</f>
        <v>Wednesday</v>
      </c>
      <c r="AD994" s="4" t="s">
        <v>76</v>
      </c>
      <c r="AE994" s="4" t="s">
        <v>76</v>
      </c>
      <c r="AF994" s="4" t="s">
        <v>92</v>
      </c>
      <c r="AG994" s="4" t="s">
        <v>64</v>
      </c>
      <c r="AH994" s="3">
        <v>2</v>
      </c>
    </row>
    <row r="995" spans="1:34">
      <c r="A995" s="4" t="s">
        <v>2069</v>
      </c>
      <c r="B995" s="3">
        <v>33</v>
      </c>
      <c r="C995" s="9" t="str" cm="1">
        <f t="array" ref="C995">_xlfn.IFS(B995&gt;65,"+65",B995&gt;54,"55-65",B995&gt;44,"45-54",B995&gt;35,"36-44",B995&gt;25,"26-35",B995&gt;=18,"18-25")</f>
        <v>26-35</v>
      </c>
      <c r="D995" s="4" t="s">
        <v>66</v>
      </c>
      <c r="E995" s="4" t="s">
        <v>72</v>
      </c>
      <c r="F995" s="4" t="s">
        <v>79</v>
      </c>
      <c r="G995" s="4" t="s">
        <v>68</v>
      </c>
      <c r="H995" s="4" t="s">
        <v>254</v>
      </c>
      <c r="I995" s="4" t="s">
        <v>110</v>
      </c>
      <c r="J995" s="5">
        <v>181.1</v>
      </c>
      <c r="K995" s="3">
        <v>2</v>
      </c>
      <c r="L995" s="4" t="str">
        <f>IF(AND(J995&gt;350,K995&gt;6), "True","False")</f>
        <v>False</v>
      </c>
      <c r="M995" s="4" t="s">
        <v>56</v>
      </c>
      <c r="N995" s="3">
        <v>2</v>
      </c>
      <c r="O995" s="4" t="str" cm="1">
        <f t="array" ref="O995">_xlfn.IFS(P995&lt;=2,"Poor",P995=3,"Average",P995&gt;=4,"Good")</f>
        <v>Good</v>
      </c>
      <c r="P995" s="3">
        <v>5</v>
      </c>
      <c r="Q995" s="2">
        <v>2</v>
      </c>
      <c r="R995" s="4" t="s">
        <v>59</v>
      </c>
      <c r="S995" s="4" t="s">
        <v>58</v>
      </c>
      <c r="T995" s="3">
        <v>2</v>
      </c>
      <c r="U995" s="4" t="str" cm="1">
        <f t="array" ref="U995">_xlfn.IFS(V995&lt;=4, "Dissatisfied",V995&lt;=7,"Neutral",V995&gt;=8,"Satisfied")</f>
        <v>Neutral</v>
      </c>
      <c r="V995" s="3">
        <v>7</v>
      </c>
      <c r="W995" s="4" t="s">
        <v>59</v>
      </c>
      <c r="X995" s="4" t="s">
        <v>74</v>
      </c>
      <c r="Y995" s="4" t="s">
        <v>119</v>
      </c>
      <c r="Z995" s="1">
        <v>45652</v>
      </c>
      <c r="AA995" s="4" t="str" cm="1">
        <f t="array" ref="AA995">_xlfn.IFS(OR(AB995="December", AB995="February", AB995="January"), "Winter", OR(AB995="March", AB995="April", AB995="May"), "Spring", OR(AB995="June", AB995="July", AB995="August"), "Summer", TRUE, "Autumn")</f>
        <v>Winter</v>
      </c>
      <c r="AB995" s="7" t="str">
        <f>TEXT(Z995, "mmmm")</f>
        <v>December</v>
      </c>
      <c r="AC995" s="1" t="str">
        <f>TEXT(Z995, "dddd")</f>
        <v>Thursday</v>
      </c>
      <c r="AD995" s="4" t="s">
        <v>76</v>
      </c>
      <c r="AE995" s="4" t="s">
        <v>76</v>
      </c>
      <c r="AF995" s="4" t="s">
        <v>92</v>
      </c>
      <c r="AG995" s="4" t="s">
        <v>88</v>
      </c>
      <c r="AH995" s="3">
        <v>5</v>
      </c>
    </row>
    <row r="996" spans="1:34">
      <c r="A996" s="4" t="s">
        <v>2070</v>
      </c>
      <c r="B996" s="3">
        <v>42</v>
      </c>
      <c r="C996" s="9" t="str" cm="1">
        <f t="array" ref="C996">_xlfn.IFS(B996&gt;65,"+65",B996&gt;54,"55-65",B996&gt;44,"45-54",B996&gt;35,"36-44",B996&gt;25,"26-35",B996&gt;=18,"18-25")</f>
        <v>36-44</v>
      </c>
      <c r="D996" s="4" t="s">
        <v>78</v>
      </c>
      <c r="E996" s="4" t="s">
        <v>72</v>
      </c>
      <c r="F996" s="4" t="s">
        <v>95</v>
      </c>
      <c r="G996" s="4" t="s">
        <v>80</v>
      </c>
      <c r="H996" s="4" t="s">
        <v>2071</v>
      </c>
      <c r="I996" s="4" t="s">
        <v>156</v>
      </c>
      <c r="J996" s="5">
        <v>75.27</v>
      </c>
      <c r="K996" s="3">
        <v>7</v>
      </c>
      <c r="L996" s="4" t="str">
        <f>IF(AND(J996&gt;350,K996&gt;6), "True","False")</f>
        <v>False</v>
      </c>
      <c r="M996" s="4" t="s">
        <v>83</v>
      </c>
      <c r="N996" s="3">
        <v>3</v>
      </c>
      <c r="O996" s="4" t="str" cm="1">
        <f t="array" ref="O996">_xlfn.IFS(P996&lt;=2,"Poor",P996=3,"Average",P996&gt;=4,"Good")</f>
        <v>Good</v>
      </c>
      <c r="P996" s="3">
        <v>4</v>
      </c>
      <c r="Q996" s="2">
        <v>1</v>
      </c>
      <c r="R996" s="4" t="s">
        <v>57</v>
      </c>
      <c r="S996" s="4" t="s">
        <v>58</v>
      </c>
      <c r="T996" s="3">
        <v>2</v>
      </c>
      <c r="U996" s="4" t="str" cm="1">
        <f t="array" ref="U996">_xlfn.IFS(V996&lt;=4, "Dissatisfied",V996&lt;=7,"Neutral",V996&gt;=8,"Satisfied")</f>
        <v>Dissatisfied</v>
      </c>
      <c r="V996" s="3">
        <v>3</v>
      </c>
      <c r="W996" s="4" t="s">
        <v>57</v>
      </c>
      <c r="X996" s="4" t="s">
        <v>101</v>
      </c>
      <c r="Y996" s="4" t="s">
        <v>86</v>
      </c>
      <c r="Z996" s="1">
        <v>45653</v>
      </c>
      <c r="AA996" s="4" t="str" cm="1">
        <f t="array" ref="AA996">_xlfn.IFS(OR(AB996="December", AB996="February", AB996="January"), "Winter", OR(AB996="March", AB996="April", AB996="May"), "Spring", OR(AB996="June", AB996="July", AB996="August"), "Summer", TRUE, "Autumn")</f>
        <v>Winter</v>
      </c>
      <c r="AB996" s="7" t="str">
        <f>TEXT(Z996, "mmmm")</f>
        <v>December</v>
      </c>
      <c r="AC996" s="1" t="str">
        <f>TEXT(Z996, "dddd")</f>
        <v>Friday</v>
      </c>
      <c r="AD996" s="4" t="s">
        <v>62</v>
      </c>
      <c r="AE996" s="4" t="s">
        <v>62</v>
      </c>
      <c r="AF996" s="4" t="s">
        <v>92</v>
      </c>
      <c r="AG996" s="4" t="s">
        <v>93</v>
      </c>
      <c r="AH996" s="3">
        <v>1</v>
      </c>
    </row>
    <row r="997" spans="1:34">
      <c r="A997" s="4" t="s">
        <v>2072</v>
      </c>
      <c r="B997" s="3">
        <v>41</v>
      </c>
      <c r="C997" s="9" t="str" cm="1">
        <f t="array" ref="C997">_xlfn.IFS(B997&gt;65,"+65",B997&gt;54,"55-65",B997&gt;44,"45-54",B997&gt;35,"36-44",B997&gt;25,"26-35",B997&gt;=18,"18-25")</f>
        <v>36-44</v>
      </c>
      <c r="D997" s="4" t="s">
        <v>78</v>
      </c>
      <c r="E997" s="4" t="s">
        <v>51</v>
      </c>
      <c r="F997" s="4" t="s">
        <v>79</v>
      </c>
      <c r="G997" s="4" t="s">
        <v>53</v>
      </c>
      <c r="H997" s="4" t="s">
        <v>2073</v>
      </c>
      <c r="I997" s="4" t="s">
        <v>100</v>
      </c>
      <c r="J997" s="5">
        <v>250.54</v>
      </c>
      <c r="K997" s="3">
        <v>4</v>
      </c>
      <c r="L997" s="4" t="str">
        <f>IF(AND(J997&gt;350,K997&gt;6), "True","False")</f>
        <v>False</v>
      </c>
      <c r="M997" s="4" t="s">
        <v>71</v>
      </c>
      <c r="N997" s="3">
        <v>3</v>
      </c>
      <c r="O997" s="4" t="str" cm="1">
        <f t="array" ref="O997">_xlfn.IFS(P997&lt;=2,"Poor",P997=3,"Average",P997&gt;=4,"Good")</f>
        <v>Average</v>
      </c>
      <c r="P997" s="3">
        <v>3</v>
      </c>
      <c r="Q997" s="2">
        <v>1</v>
      </c>
      <c r="R997" s="4" t="s">
        <v>72</v>
      </c>
      <c r="S997" s="4" t="s">
        <v>58</v>
      </c>
      <c r="T997" s="3">
        <v>2</v>
      </c>
      <c r="U997" s="4" t="str" cm="1">
        <f t="array" ref="U997">_xlfn.IFS(V997&lt;=4, "Dissatisfied",V997&lt;=7,"Neutral",V997&gt;=8,"Satisfied")</f>
        <v>Satisfied</v>
      </c>
      <c r="V997" s="3">
        <v>10</v>
      </c>
      <c r="W997" s="4" t="s">
        <v>57</v>
      </c>
      <c r="X997" s="4" t="s">
        <v>101</v>
      </c>
      <c r="Y997" s="4" t="s">
        <v>119</v>
      </c>
      <c r="Z997" s="1">
        <v>45653</v>
      </c>
      <c r="AA997" s="4" t="str" cm="1">
        <f t="array" ref="AA997">_xlfn.IFS(OR(AB997="December", AB997="February", AB997="January"), "Winter", OR(AB997="March", AB997="April", AB997="May"), "Spring", OR(AB997="June", AB997="July", AB997="August"), "Summer", TRUE, "Autumn")</f>
        <v>Winter</v>
      </c>
      <c r="AB997" s="7" t="str">
        <f>TEXT(Z997, "mmmm")</f>
        <v>December</v>
      </c>
      <c r="AC997" s="1" t="str">
        <f>TEXT(Z997, "dddd")</f>
        <v>Friday</v>
      </c>
      <c r="AD997" s="4" t="s">
        <v>76</v>
      </c>
      <c r="AE997" s="4" t="s">
        <v>76</v>
      </c>
      <c r="AF997" s="4" t="s">
        <v>102</v>
      </c>
      <c r="AG997" s="4" t="s">
        <v>88</v>
      </c>
      <c r="AH997" s="3">
        <v>3</v>
      </c>
    </row>
    <row r="998" spans="1:34">
      <c r="A998" s="4" t="s">
        <v>2074</v>
      </c>
      <c r="B998" s="3">
        <v>38</v>
      </c>
      <c r="C998" s="9" t="str" cm="1">
        <f t="array" ref="C998">_xlfn.IFS(B998&gt;65,"+65",B998&gt;54,"55-65",B998&gt;44,"45-54",B998&gt;35,"36-44",B998&gt;25,"26-35",B998&gt;=18,"18-25")</f>
        <v>36-44</v>
      </c>
      <c r="D998" s="4" t="s">
        <v>78</v>
      </c>
      <c r="E998" s="4" t="s">
        <v>72</v>
      </c>
      <c r="F998" s="4" t="s">
        <v>79</v>
      </c>
      <c r="G998" s="4" t="s">
        <v>53</v>
      </c>
      <c r="H998" s="4" t="s">
        <v>2075</v>
      </c>
      <c r="I998" s="4" t="s">
        <v>70</v>
      </c>
      <c r="J998" s="5">
        <v>238.93</v>
      </c>
      <c r="K998" s="3">
        <v>5</v>
      </c>
      <c r="L998" s="4" t="str">
        <f>IF(AND(J998&gt;350,K998&gt;6), "True","False")</f>
        <v>False</v>
      </c>
      <c r="M998" s="4" t="s">
        <v>56</v>
      </c>
      <c r="N998" s="3">
        <v>4</v>
      </c>
      <c r="O998" s="4" t="str" cm="1">
        <f t="array" ref="O998">_xlfn.IFS(P998&lt;=2,"Poor",P998=3,"Average",P998&gt;=4,"Good")</f>
        <v>Average</v>
      </c>
      <c r="P998" s="3">
        <v>3</v>
      </c>
      <c r="Q998" s="2">
        <v>1</v>
      </c>
      <c r="R998" s="4" t="s">
        <v>85</v>
      </c>
      <c r="S998" s="4" t="s">
        <v>73</v>
      </c>
      <c r="T998" s="3">
        <v>0</v>
      </c>
      <c r="U998" s="4" t="str" cm="1">
        <f t="array" ref="U998">_xlfn.IFS(V998&lt;=4, "Dissatisfied",V998&lt;=7,"Neutral",V998&gt;=8,"Satisfied")</f>
        <v>Satisfied</v>
      </c>
      <c r="V998" s="3">
        <v>10</v>
      </c>
      <c r="W998" s="4" t="s">
        <v>72</v>
      </c>
      <c r="X998" s="4" t="s">
        <v>74</v>
      </c>
      <c r="Y998" s="4" t="s">
        <v>61</v>
      </c>
      <c r="Z998" s="1">
        <v>45653</v>
      </c>
      <c r="AA998" s="4" t="str" cm="1">
        <f t="array" ref="AA998">_xlfn.IFS(OR(AB998="December", AB998="February", AB998="January"), "Winter", OR(AB998="March", AB998="April", AB998="May"), "Spring", OR(AB998="June", AB998="July", AB998="August"), "Summer", TRUE, "Autumn")</f>
        <v>Winter</v>
      </c>
      <c r="AB998" s="7" t="str">
        <f>TEXT(Z998, "mmmm")</f>
        <v>December</v>
      </c>
      <c r="AC998" s="1" t="str">
        <f>TEXT(Z998, "dddd")</f>
        <v>Friday</v>
      </c>
      <c r="AD998" s="4" t="s">
        <v>62</v>
      </c>
      <c r="AE998" s="4" t="s">
        <v>76</v>
      </c>
      <c r="AF998" s="4" t="s">
        <v>87</v>
      </c>
      <c r="AG998" s="4" t="s">
        <v>88</v>
      </c>
      <c r="AH998" s="3">
        <v>1</v>
      </c>
    </row>
    <row r="999" spans="1:34">
      <c r="A999" s="4" t="s">
        <v>2076</v>
      </c>
      <c r="B999" s="3">
        <v>30</v>
      </c>
      <c r="C999" s="9" t="str" cm="1">
        <f t="array" ref="C999">_xlfn.IFS(B999&gt;65,"+65",B999&gt;54,"55-65",B999&gt;44,"45-54",B999&gt;35,"36-44",B999&gt;25,"26-35",B999&gt;=18,"18-25")</f>
        <v>26-35</v>
      </c>
      <c r="D999" s="4" t="s">
        <v>66</v>
      </c>
      <c r="E999" s="4" t="s">
        <v>51</v>
      </c>
      <c r="F999" s="4" t="s">
        <v>67</v>
      </c>
      <c r="G999" s="4" t="s">
        <v>53</v>
      </c>
      <c r="H999" s="4" t="s">
        <v>2077</v>
      </c>
      <c r="I999" s="4" t="s">
        <v>97</v>
      </c>
      <c r="J999" s="5">
        <v>477.35</v>
      </c>
      <c r="K999" s="3">
        <v>4</v>
      </c>
      <c r="L999" s="4" t="str">
        <f>IF(AND(J999&gt;350,K999&gt;6), "True","False")</f>
        <v>False</v>
      </c>
      <c r="M999" s="4" t="s">
        <v>56</v>
      </c>
      <c r="N999" s="3">
        <v>2</v>
      </c>
      <c r="O999" s="4" t="str" cm="1">
        <f t="array" ref="O999">_xlfn.IFS(P999&lt;=2,"Poor",P999=3,"Average",P999&gt;=4,"Good")</f>
        <v>Good</v>
      </c>
      <c r="P999" s="3">
        <v>5</v>
      </c>
      <c r="Q999" s="2">
        <v>0</v>
      </c>
      <c r="R999" s="4" t="s">
        <v>72</v>
      </c>
      <c r="S999" s="4" t="s">
        <v>73</v>
      </c>
      <c r="T999" s="3">
        <v>1</v>
      </c>
      <c r="U999" s="4" t="str" cm="1">
        <f t="array" ref="U999">_xlfn.IFS(V999&lt;=4, "Dissatisfied",V999&lt;=7,"Neutral",V999&gt;=8,"Satisfied")</f>
        <v>Dissatisfied</v>
      </c>
      <c r="V999" s="3">
        <v>2</v>
      </c>
      <c r="W999" s="4" t="s">
        <v>59</v>
      </c>
      <c r="X999" s="4" t="s">
        <v>101</v>
      </c>
      <c r="Y999" s="4" t="s">
        <v>86</v>
      </c>
      <c r="Z999" s="1">
        <v>45654</v>
      </c>
      <c r="AA999" s="4" t="str" cm="1">
        <f t="array" ref="AA999">_xlfn.IFS(OR(AB999="December", AB999="February", AB999="January"), "Winter", OR(AB999="March", AB999="April", AB999="May"), "Spring", OR(AB999="June", AB999="July", AB999="August"), "Summer", TRUE, "Autumn")</f>
        <v>Winter</v>
      </c>
      <c r="AB999" s="7" t="str">
        <f>TEXT(Z999, "mmmm")</f>
        <v>December</v>
      </c>
      <c r="AC999" s="1" t="str">
        <f>TEXT(Z999, "dddd")</f>
        <v>Saturday</v>
      </c>
      <c r="AD999" s="4" t="s">
        <v>76</v>
      </c>
      <c r="AE999" s="4" t="s">
        <v>76</v>
      </c>
      <c r="AF999" s="4" t="s">
        <v>63</v>
      </c>
      <c r="AG999" s="4" t="s">
        <v>88</v>
      </c>
      <c r="AH999" s="3">
        <v>14</v>
      </c>
    </row>
    <row r="1000" spans="1:34">
      <c r="A1000" s="4" t="s">
        <v>2078</v>
      </c>
      <c r="B1000" s="3">
        <v>49</v>
      </c>
      <c r="C1000" s="9" t="str" cm="1">
        <f t="array" ref="C1000">_xlfn.IFS(B1000&gt;65,"+65",B1000&gt;54,"55-65",B1000&gt;44,"45-54",B1000&gt;35,"36-44",B1000&gt;25,"26-35",B1000&gt;=18,"18-25")</f>
        <v>45-54</v>
      </c>
      <c r="D1000" s="4" t="s">
        <v>160</v>
      </c>
      <c r="E1000" s="4" t="s">
        <v>72</v>
      </c>
      <c r="F1000" s="4" t="s">
        <v>79</v>
      </c>
      <c r="G1000" s="4" t="s">
        <v>80</v>
      </c>
      <c r="H1000" s="4" t="s">
        <v>2079</v>
      </c>
      <c r="I1000" s="4" t="s">
        <v>146</v>
      </c>
      <c r="J1000" s="5">
        <v>491.92</v>
      </c>
      <c r="K1000" s="3">
        <v>10</v>
      </c>
      <c r="L1000" s="4" t="str">
        <f>IF(AND(J1000&gt;350,K1000&gt;6), "True","False")</f>
        <v>True</v>
      </c>
      <c r="M1000" s="4" t="s">
        <v>71</v>
      </c>
      <c r="N1000" s="3">
        <v>5</v>
      </c>
      <c r="O1000" s="4" t="str" cm="1">
        <f t="array" ref="O1000">_xlfn.IFS(P1000&lt;=2,"Poor",P1000=3,"Average",P1000&gt;=4,"Good")</f>
        <v>Average</v>
      </c>
      <c r="P1000" s="3">
        <v>3</v>
      </c>
      <c r="Q1000" s="2">
        <v>0</v>
      </c>
      <c r="R1000" s="4" t="s">
        <v>85</v>
      </c>
      <c r="S1000" s="4" t="s">
        <v>73</v>
      </c>
      <c r="T1000" s="3">
        <v>1</v>
      </c>
      <c r="U1000" s="4" t="str" cm="1">
        <f t="array" ref="U1000">_xlfn.IFS(V1000&lt;=4, "Dissatisfied",V1000&lt;=7,"Neutral",V1000&gt;=8,"Satisfied")</f>
        <v>Dissatisfied</v>
      </c>
      <c r="V1000" s="3">
        <v>1</v>
      </c>
      <c r="W1000" s="4" t="s">
        <v>59</v>
      </c>
      <c r="X1000" s="4" t="s">
        <v>101</v>
      </c>
      <c r="Y1000" s="4" t="s">
        <v>119</v>
      </c>
      <c r="Z1000" s="1">
        <v>45655</v>
      </c>
      <c r="AA1000" s="4" t="str" cm="1">
        <f t="array" ref="AA1000">_xlfn.IFS(OR(AB1000="December", AB1000="February", AB1000="January"), "Winter", OR(AB1000="March", AB1000="April", AB1000="May"), "Spring", OR(AB1000="June", AB1000="July", AB1000="August"), "Summer", TRUE, "Autumn")</f>
        <v>Winter</v>
      </c>
      <c r="AB1000" s="7" t="str">
        <f>TEXT(Z1000, "mmmm")</f>
        <v>December</v>
      </c>
      <c r="AC1000" s="1" t="str">
        <f>TEXT(Z1000, "dddd")</f>
        <v>Sunday</v>
      </c>
      <c r="AD1000" s="4" t="s">
        <v>76</v>
      </c>
      <c r="AE1000" s="4" t="s">
        <v>76</v>
      </c>
      <c r="AF1000" s="4" t="s">
        <v>102</v>
      </c>
      <c r="AG1000" s="4" t="s">
        <v>64</v>
      </c>
      <c r="AH1000" s="3">
        <v>2</v>
      </c>
    </row>
    <row r="1001" spans="1:34">
      <c r="A1001" s="4" t="s">
        <v>2080</v>
      </c>
      <c r="B1001" s="3">
        <v>44</v>
      </c>
      <c r="C1001" s="9" t="str" cm="1">
        <f t="array" ref="C1001">_xlfn.IFS(B1001&gt;65,"+65",B1001&gt;54,"55-65",B1001&gt;44,"45-54",B1001&gt;35,"36-44",B1001&gt;25,"26-35",B1001&gt;=18,"18-25")</f>
        <v>36-44</v>
      </c>
      <c r="D1001" s="4" t="s">
        <v>78</v>
      </c>
      <c r="E1001" s="4" t="s">
        <v>72</v>
      </c>
      <c r="F1001" s="4" t="s">
        <v>52</v>
      </c>
      <c r="G1001" s="4" t="s">
        <v>80</v>
      </c>
      <c r="H1001" s="4" t="s">
        <v>2081</v>
      </c>
      <c r="I1001" s="4" t="s">
        <v>100</v>
      </c>
      <c r="J1001" s="5">
        <v>311.89999999999998</v>
      </c>
      <c r="K1001" s="3">
        <v>4</v>
      </c>
      <c r="L1001" s="4" t="str">
        <f>IF(AND(J1001&gt;350,K1001&gt;6), "True","False")</f>
        <v>False</v>
      </c>
      <c r="M1001" s="4" t="s">
        <v>71</v>
      </c>
      <c r="N1001" s="3">
        <v>2</v>
      </c>
      <c r="O1001" s="4" t="str" cm="1">
        <f t="array" ref="O1001">_xlfn.IFS(P1001&lt;=2,"Poor",P1001=3,"Average",P1001&gt;=4,"Good")</f>
        <v>Good</v>
      </c>
      <c r="P1001" s="3">
        <v>4</v>
      </c>
      <c r="Q1001" s="2">
        <v>2</v>
      </c>
      <c r="R1001" s="4" t="s">
        <v>59</v>
      </c>
      <c r="S1001" s="4" t="s">
        <v>73</v>
      </c>
      <c r="T1001" s="3">
        <v>0</v>
      </c>
      <c r="U1001" s="4" t="str" cm="1">
        <f t="array" ref="U1001">_xlfn.IFS(V1001&lt;=4, "Dissatisfied",V1001&lt;=7,"Neutral",V1001&gt;=8,"Satisfied")</f>
        <v>Neutral</v>
      </c>
      <c r="V1001" s="3">
        <v>6</v>
      </c>
      <c r="W1001" s="4" t="s">
        <v>72</v>
      </c>
      <c r="X1001" s="4" t="s">
        <v>60</v>
      </c>
      <c r="Y1001" s="4" t="s">
        <v>119</v>
      </c>
      <c r="Z1001" s="1">
        <v>45656</v>
      </c>
      <c r="AA1001" s="4" t="str" cm="1">
        <f t="array" ref="AA1001">_xlfn.IFS(OR(AB1001="December", AB1001="February", AB1001="January"), "Winter", OR(AB1001="March", AB1001="April", AB1001="May"), "Spring", OR(AB1001="June", AB1001="July", AB1001="August"), "Summer", TRUE, "Autumn")</f>
        <v>Winter</v>
      </c>
      <c r="AB1001" s="7" t="str">
        <f>TEXT(Z1001, "mmmm")</f>
        <v>December</v>
      </c>
      <c r="AC1001" s="1" t="str">
        <f>TEXT(Z1001, "dddd")</f>
        <v>Monday</v>
      </c>
      <c r="AD1001" s="4" t="s">
        <v>76</v>
      </c>
      <c r="AE1001" s="4" t="s">
        <v>62</v>
      </c>
      <c r="AF1001" s="4" t="s">
        <v>87</v>
      </c>
      <c r="AG1001" s="4" t="s">
        <v>88</v>
      </c>
      <c r="AH1001" s="3">
        <v>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057172-A4D0-4A0D-A556-28C670991FED}">
  <dimension ref="A3:B12"/>
  <sheetViews>
    <sheetView workbookViewId="0">
      <selection activeCell="M23" sqref="M23"/>
    </sheetView>
  </sheetViews>
  <sheetFormatPr defaultRowHeight="15"/>
  <cols>
    <col min="1" max="1" width="12.42578125" bestFit="1" customWidth="1"/>
    <col min="2" max="2" width="20.5703125" bestFit="1" customWidth="1"/>
  </cols>
  <sheetData>
    <row r="3" spans="1:2">
      <c r="A3" s="8" t="s">
        <v>18</v>
      </c>
      <c r="B3" t="s">
        <v>2082</v>
      </c>
    </row>
    <row r="4" spans="1:2">
      <c r="A4" t="s">
        <v>78</v>
      </c>
      <c r="B4" s="11">
        <v>0.45200000000000001</v>
      </c>
    </row>
    <row r="5" spans="1:2">
      <c r="A5" t="s">
        <v>66</v>
      </c>
      <c r="B5" s="11">
        <v>0.44900000000000001</v>
      </c>
    </row>
    <row r="6" spans="1:2">
      <c r="A6" t="s">
        <v>456</v>
      </c>
      <c r="B6" s="11">
        <v>0.02</v>
      </c>
    </row>
    <row r="7" spans="1:2">
      <c r="A7" t="s">
        <v>160</v>
      </c>
      <c r="B7" s="11">
        <v>1.9E-2</v>
      </c>
    </row>
    <row r="8" spans="1:2">
      <c r="A8" t="s">
        <v>232</v>
      </c>
      <c r="B8" s="11">
        <v>1.7000000000000001E-2</v>
      </c>
    </row>
    <row r="9" spans="1:2">
      <c r="A9" t="s">
        <v>50</v>
      </c>
      <c r="B9" s="11">
        <v>1.6E-2</v>
      </c>
    </row>
    <row r="10" spans="1:2">
      <c r="A10" t="s">
        <v>188</v>
      </c>
      <c r="B10" s="11">
        <v>1.4999999999999999E-2</v>
      </c>
    </row>
    <row r="11" spans="1:2">
      <c r="A11" t="s">
        <v>225</v>
      </c>
      <c r="B11" s="11">
        <v>1.2E-2</v>
      </c>
    </row>
    <row r="12" spans="1:2">
      <c r="A12" t="s">
        <v>2083</v>
      </c>
      <c r="B12" s="11">
        <v>1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4F1ACB-882C-4B23-8C90-75C7CC4CD980}">
  <dimension ref="A3:B7"/>
  <sheetViews>
    <sheetView topLeftCell="B1" workbookViewId="0">
      <selection activeCell="M12" sqref="M12"/>
    </sheetView>
  </sheetViews>
  <sheetFormatPr defaultRowHeight="15"/>
  <cols>
    <col min="1" max="1" width="14" bestFit="1" customWidth="1"/>
    <col min="2" max="2" width="20.5703125" bestFit="1" customWidth="1"/>
  </cols>
  <sheetData>
    <row r="3" spans="1:2">
      <c r="A3" s="8" t="s">
        <v>17</v>
      </c>
      <c r="B3" t="s">
        <v>2082</v>
      </c>
    </row>
    <row r="4" spans="1:2">
      <c r="A4" t="s">
        <v>2084</v>
      </c>
      <c r="B4" s="11">
        <v>0.183</v>
      </c>
    </row>
    <row r="5" spans="1:2">
      <c r="A5" t="s">
        <v>2085</v>
      </c>
      <c r="B5" s="11">
        <v>0.28699999999999998</v>
      </c>
    </row>
    <row r="6" spans="1:2">
      <c r="A6" t="s">
        <v>2086</v>
      </c>
      <c r="B6" s="11">
        <v>0.308</v>
      </c>
    </row>
    <row r="7" spans="1:2">
      <c r="A7" t="s">
        <v>2087</v>
      </c>
      <c r="B7" s="11">
        <v>0.222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FEAEC-7703-4655-8685-B4A263E42343}">
  <dimension ref="A3:B6"/>
  <sheetViews>
    <sheetView workbookViewId="0">
      <selection activeCell="L8" sqref="L8"/>
    </sheetView>
  </sheetViews>
  <sheetFormatPr defaultRowHeight="15"/>
  <cols>
    <col min="1" max="1" width="16.28515625" bestFit="1" customWidth="1"/>
    <col min="2" max="3" width="20.5703125" bestFit="1" customWidth="1"/>
  </cols>
  <sheetData>
    <row r="3" spans="1:2">
      <c r="A3" s="8" t="s">
        <v>19</v>
      </c>
      <c r="B3" t="s">
        <v>2082</v>
      </c>
    </row>
    <row r="4" spans="1:2">
      <c r="A4" t="s">
        <v>72</v>
      </c>
      <c r="B4" s="11">
        <v>0.51500000000000001</v>
      </c>
    </row>
    <row r="5" spans="1:2">
      <c r="A5" t="s">
        <v>51</v>
      </c>
      <c r="B5" s="11">
        <v>0.48499999999999999</v>
      </c>
    </row>
    <row r="6" spans="1:2">
      <c r="A6" t="s">
        <v>2083</v>
      </c>
      <c r="B6" s="11">
        <v>1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1CD256-9CBA-46EA-886D-8E996C7D645E}">
  <dimension ref="A3:B7"/>
  <sheetViews>
    <sheetView workbookViewId="0">
      <selection activeCell="A5" sqref="A5"/>
    </sheetView>
  </sheetViews>
  <sheetFormatPr defaultRowHeight="15"/>
  <cols>
    <col min="1" max="1" width="18.5703125" bestFit="1" customWidth="1"/>
    <col min="2" max="2" width="20.5703125" bestFit="1" customWidth="1"/>
  </cols>
  <sheetData>
    <row r="3" spans="1:2">
      <c r="A3" s="8" t="s">
        <v>21</v>
      </c>
      <c r="B3" t="s">
        <v>2082</v>
      </c>
    </row>
    <row r="4" spans="1:2">
      <c r="A4" t="s">
        <v>53</v>
      </c>
      <c r="B4" s="11">
        <v>0.34100000000000003</v>
      </c>
    </row>
    <row r="5" spans="1:2">
      <c r="A5" t="s">
        <v>80</v>
      </c>
      <c r="B5" s="11">
        <v>0.33100000000000002</v>
      </c>
    </row>
    <row r="6" spans="1:2">
      <c r="A6" t="s">
        <v>68</v>
      </c>
      <c r="B6" s="11">
        <v>0.32800000000000001</v>
      </c>
    </row>
    <row r="7" spans="1:2">
      <c r="A7" t="s">
        <v>2083</v>
      </c>
      <c r="B7" s="11">
        <v>1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512120-4910-4338-8CAD-808ABA09AC64}">
  <dimension ref="A3:B25"/>
  <sheetViews>
    <sheetView workbookViewId="0">
      <selection activeCell="N14" sqref="N14"/>
    </sheetView>
  </sheetViews>
  <sheetFormatPr defaultRowHeight="15"/>
  <cols>
    <col min="1" max="1" width="25.140625" bestFit="1" customWidth="1"/>
    <col min="2" max="2" width="20.5703125" bestFit="1" customWidth="1"/>
    <col min="3" max="3" width="28.85546875" bestFit="1" customWidth="1"/>
  </cols>
  <sheetData>
    <row r="3" spans="1:2">
      <c r="A3" s="8" t="s">
        <v>23</v>
      </c>
      <c r="B3" t="s">
        <v>2082</v>
      </c>
    </row>
    <row r="4" spans="1:2">
      <c r="A4" t="s">
        <v>97</v>
      </c>
      <c r="B4" s="9">
        <v>87</v>
      </c>
    </row>
    <row r="5" spans="1:2">
      <c r="A5" t="s">
        <v>100</v>
      </c>
      <c r="B5" s="9">
        <v>82</v>
      </c>
    </row>
    <row r="6" spans="1:2">
      <c r="A6" t="s">
        <v>110</v>
      </c>
      <c r="B6" s="9">
        <v>74</v>
      </c>
    </row>
    <row r="7" spans="1:2">
      <c r="A7" t="s">
        <v>156</v>
      </c>
      <c r="B7" s="9">
        <v>54</v>
      </c>
    </row>
    <row r="8" spans="1:2">
      <c r="A8" t="s">
        <v>70</v>
      </c>
      <c r="B8" s="9">
        <v>51</v>
      </c>
    </row>
    <row r="9" spans="1:2">
      <c r="A9" t="s">
        <v>118</v>
      </c>
      <c r="B9" s="9">
        <v>50</v>
      </c>
    </row>
    <row r="10" spans="1:2">
      <c r="A10" t="s">
        <v>194</v>
      </c>
      <c r="B10" s="9">
        <v>47</v>
      </c>
    </row>
    <row r="11" spans="1:2">
      <c r="A11" t="s">
        <v>133</v>
      </c>
      <c r="B11" s="9">
        <v>44</v>
      </c>
    </row>
    <row r="12" spans="1:2">
      <c r="A12" t="s">
        <v>172</v>
      </c>
      <c r="B12" s="9">
        <v>44</v>
      </c>
    </row>
    <row r="13" spans="1:2">
      <c r="A13" t="s">
        <v>82</v>
      </c>
      <c r="B13" s="9">
        <v>44</v>
      </c>
    </row>
    <row r="14" spans="1:2">
      <c r="A14" t="s">
        <v>164</v>
      </c>
      <c r="B14" s="9">
        <v>43</v>
      </c>
    </row>
    <row r="15" spans="1:2">
      <c r="A15" t="s">
        <v>169</v>
      </c>
      <c r="B15" s="9">
        <v>43</v>
      </c>
    </row>
    <row r="16" spans="1:2">
      <c r="A16" t="s">
        <v>223</v>
      </c>
      <c r="B16" s="9">
        <v>41</v>
      </c>
    </row>
    <row r="17" spans="1:2">
      <c r="A17" t="s">
        <v>151</v>
      </c>
      <c r="B17" s="9">
        <v>41</v>
      </c>
    </row>
    <row r="18" spans="1:2">
      <c r="A18" t="s">
        <v>234</v>
      </c>
      <c r="B18" s="9">
        <v>41</v>
      </c>
    </row>
    <row r="19" spans="1:2">
      <c r="A19" t="s">
        <v>146</v>
      </c>
      <c r="B19" s="9">
        <v>41</v>
      </c>
    </row>
    <row r="20" spans="1:2">
      <c r="A20" t="s">
        <v>105</v>
      </c>
      <c r="B20" s="9">
        <v>38</v>
      </c>
    </row>
    <row r="21" spans="1:2">
      <c r="A21" t="s">
        <v>275</v>
      </c>
      <c r="B21" s="9">
        <v>37</v>
      </c>
    </row>
    <row r="22" spans="1:2">
      <c r="A22" t="s">
        <v>55</v>
      </c>
      <c r="B22" s="9">
        <v>34</v>
      </c>
    </row>
    <row r="23" spans="1:2">
      <c r="A23" t="s">
        <v>91</v>
      </c>
      <c r="B23" s="9">
        <v>34</v>
      </c>
    </row>
    <row r="24" spans="1:2">
      <c r="A24" t="s">
        <v>122</v>
      </c>
      <c r="B24" s="9">
        <v>30</v>
      </c>
    </row>
    <row r="25" spans="1:2">
      <c r="A25" t="s">
        <v>2083</v>
      </c>
      <c r="B25" s="9">
        <v>1000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D1FF4-4E9D-487C-8E9C-C2FE0D95F034}">
  <dimension ref="A3:K18"/>
  <sheetViews>
    <sheetView workbookViewId="0">
      <selection activeCell="C16" sqref="C16"/>
    </sheetView>
  </sheetViews>
  <sheetFormatPr defaultRowHeight="15"/>
  <cols>
    <col min="1" max="1" width="24.28515625" bestFit="1" customWidth="1"/>
    <col min="2" max="2" width="27.28515625" bestFit="1" customWidth="1"/>
  </cols>
  <sheetData>
    <row r="3" spans="1:2">
      <c r="A3" s="8" t="s">
        <v>27</v>
      </c>
      <c r="B3" t="s">
        <v>2088</v>
      </c>
    </row>
    <row r="4" spans="1:2">
      <c r="A4" t="s">
        <v>83</v>
      </c>
      <c r="B4" s="5">
        <v>279.8951764705883</v>
      </c>
    </row>
    <row r="5" spans="1:2">
      <c r="A5" t="s">
        <v>56</v>
      </c>
      <c r="B5" s="5">
        <v>274.26416167664655</v>
      </c>
    </row>
    <row r="6" spans="1:2">
      <c r="A6" t="s">
        <v>71</v>
      </c>
      <c r="B6" s="5">
        <v>270.84444785276065</v>
      </c>
    </row>
    <row r="7" spans="1:2">
      <c r="A7" t="s">
        <v>2089</v>
      </c>
      <c r="B7" s="5">
        <v>275.06387999999987</v>
      </c>
    </row>
    <row r="18" spans="4:11">
      <c r="D18" s="12"/>
      <c r="E18" s="27" t="s">
        <v>2090</v>
      </c>
      <c r="F18" s="27"/>
      <c r="G18" s="27"/>
      <c r="H18" s="27"/>
      <c r="I18" s="12">
        <f>AVERAGE(Table2[Purchase_Amount])</f>
        <v>275.06387999999947</v>
      </c>
      <c r="J18" s="12"/>
      <c r="K18" s="12"/>
    </row>
  </sheetData>
  <mergeCells count="1">
    <mergeCell ref="E18:H18"/>
  </mergeCells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75F5FC-16F4-428A-B0E1-863BA8B47768}">
  <dimension ref="A3:Q16"/>
  <sheetViews>
    <sheetView workbookViewId="0">
      <selection activeCell="N12" sqref="N12"/>
    </sheetView>
  </sheetViews>
  <sheetFormatPr defaultRowHeight="15"/>
  <cols>
    <col min="1" max="1" width="11.42578125" bestFit="1" customWidth="1"/>
    <col min="2" max="2" width="20.5703125" bestFit="1" customWidth="1"/>
    <col min="3" max="3" width="8.85546875" bestFit="1" customWidth="1"/>
    <col min="4" max="4" width="6.5703125" bestFit="1" customWidth="1"/>
    <col min="5" max="5" width="5.140625" bestFit="1" customWidth="1"/>
    <col min="6" max="6" width="4.85546875" bestFit="1" customWidth="1"/>
    <col min="7" max="7" width="5" bestFit="1" customWidth="1"/>
    <col min="8" max="8" width="4.28515625" bestFit="1" customWidth="1"/>
    <col min="9" max="9" width="7" bestFit="1" customWidth="1"/>
    <col min="10" max="10" width="10.7109375" bestFit="1" customWidth="1"/>
    <col min="11" max="11" width="8.140625" bestFit="1" customWidth="1"/>
    <col min="12" max="12" width="10.28515625" bestFit="1" customWidth="1"/>
    <col min="13" max="13" width="10" bestFit="1" customWidth="1"/>
    <col min="14" max="14" width="11.42578125" bestFit="1" customWidth="1"/>
    <col min="16" max="16" width="11.42578125" bestFit="1" customWidth="1"/>
    <col min="17" max="17" width="20.5703125" bestFit="1" customWidth="1"/>
    <col min="18" max="18" width="8.85546875" bestFit="1" customWidth="1"/>
    <col min="19" max="19" width="6.5703125" bestFit="1" customWidth="1"/>
    <col min="20" max="20" width="5.140625" bestFit="1" customWidth="1"/>
    <col min="21" max="21" width="4.85546875" bestFit="1" customWidth="1"/>
    <col min="22" max="22" width="5" bestFit="1" customWidth="1"/>
    <col min="23" max="23" width="4.28515625" bestFit="1" customWidth="1"/>
    <col min="24" max="24" width="7" bestFit="1" customWidth="1"/>
    <col min="25" max="25" width="10.7109375" bestFit="1" customWidth="1"/>
    <col min="26" max="26" width="8.140625" bestFit="1" customWidth="1"/>
    <col min="27" max="27" width="10.28515625" bestFit="1" customWidth="1"/>
    <col min="28" max="28" width="10" bestFit="1" customWidth="1"/>
    <col min="29" max="29" width="11.42578125" bestFit="1" customWidth="1"/>
  </cols>
  <sheetData>
    <row r="3" spans="1:17">
      <c r="A3" s="8" t="s">
        <v>41</v>
      </c>
      <c r="B3" t="s">
        <v>2082</v>
      </c>
      <c r="P3" s="8" t="s">
        <v>42</v>
      </c>
      <c r="Q3" t="s">
        <v>2082</v>
      </c>
    </row>
    <row r="4" spans="1:17">
      <c r="A4" t="s">
        <v>2091</v>
      </c>
      <c r="B4" s="9">
        <v>243</v>
      </c>
      <c r="P4" t="s">
        <v>2092</v>
      </c>
      <c r="Q4" s="9">
        <v>75</v>
      </c>
    </row>
    <row r="5" spans="1:17">
      <c r="A5" t="s">
        <v>2093</v>
      </c>
      <c r="B5" s="9">
        <v>269</v>
      </c>
      <c r="P5" t="s">
        <v>2094</v>
      </c>
      <c r="Q5" s="9">
        <v>68</v>
      </c>
    </row>
    <row r="6" spans="1:17">
      <c r="A6" t="s">
        <v>2095</v>
      </c>
      <c r="B6" s="9">
        <v>281</v>
      </c>
      <c r="P6" t="s">
        <v>2096</v>
      </c>
      <c r="Q6" s="9">
        <v>93</v>
      </c>
    </row>
    <row r="7" spans="1:17">
      <c r="A7" t="s">
        <v>2097</v>
      </c>
      <c r="B7" s="9">
        <v>207</v>
      </c>
      <c r="P7" t="s">
        <v>2098</v>
      </c>
      <c r="Q7" s="9">
        <v>100</v>
      </c>
    </row>
    <row r="8" spans="1:17">
      <c r="A8" t="s">
        <v>2083</v>
      </c>
      <c r="B8" s="9">
        <v>1000</v>
      </c>
      <c r="P8" t="s">
        <v>2099</v>
      </c>
      <c r="Q8" s="9">
        <v>76</v>
      </c>
    </row>
    <row r="9" spans="1:17">
      <c r="P9" t="s">
        <v>2100</v>
      </c>
      <c r="Q9" s="9">
        <v>89</v>
      </c>
    </row>
    <row r="10" spans="1:17">
      <c r="P10" t="s">
        <v>2101</v>
      </c>
      <c r="Q10" s="9">
        <v>94</v>
      </c>
    </row>
    <row r="11" spans="1:17">
      <c r="P11" t="s">
        <v>2102</v>
      </c>
      <c r="Q11" s="9">
        <v>98</v>
      </c>
    </row>
    <row r="12" spans="1:17">
      <c r="P12" t="s">
        <v>2103</v>
      </c>
      <c r="Q12" s="9">
        <v>84</v>
      </c>
    </row>
    <row r="13" spans="1:17">
      <c r="P13" t="s">
        <v>2104</v>
      </c>
      <c r="Q13" s="9">
        <v>79</v>
      </c>
    </row>
    <row r="14" spans="1:17">
      <c r="P14" t="s">
        <v>2105</v>
      </c>
      <c r="Q14" s="9">
        <v>80</v>
      </c>
    </row>
    <row r="15" spans="1:17">
      <c r="P15" t="s">
        <v>2106</v>
      </c>
      <c r="Q15" s="9">
        <v>64</v>
      </c>
    </row>
    <row r="16" spans="1:17">
      <c r="P16" t="s">
        <v>2083</v>
      </c>
      <c r="Q16" s="9">
        <v>1000</v>
      </c>
    </row>
  </sheetData>
  <pageMargins left="0.7" right="0.7" top="0.75" bottom="0.75" header="0.3" footer="0.3"/>
  <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F07FA0-261A-446C-9438-68F646D7DBDF}">
  <dimension ref="A3:B11"/>
  <sheetViews>
    <sheetView workbookViewId="0">
      <selection activeCell="N5" sqref="N5"/>
    </sheetView>
  </sheetViews>
  <sheetFormatPr defaultRowHeight="15"/>
  <cols>
    <col min="1" max="1" width="12.28515625" bestFit="1" customWidth="1"/>
    <col min="2" max="2" width="27.28515625" bestFit="1" customWidth="1"/>
    <col min="3" max="3" width="7.42578125" bestFit="1" customWidth="1"/>
    <col min="4" max="4" width="9" bestFit="1" customWidth="1"/>
    <col min="5" max="5" width="8.28515625" bestFit="1" customWidth="1"/>
    <col min="6" max="6" width="11.28515625" bestFit="1" customWidth="1"/>
    <col min="7" max="7" width="8.85546875" bestFit="1" customWidth="1"/>
    <col min="8" max="8" width="6.28515625" bestFit="1" customWidth="1"/>
    <col min="9" max="9" width="11.42578125" bestFit="1" customWidth="1"/>
  </cols>
  <sheetData>
    <row r="3" spans="1:2">
      <c r="A3" s="8" t="s">
        <v>43</v>
      </c>
      <c r="B3" t="s">
        <v>2088</v>
      </c>
    </row>
    <row r="4" spans="1:2">
      <c r="A4" t="s">
        <v>2107</v>
      </c>
      <c r="B4" s="5">
        <v>289.56853146853166</v>
      </c>
    </row>
    <row r="5" spans="1:2">
      <c r="A5" t="s">
        <v>2108</v>
      </c>
      <c r="B5" s="5">
        <v>281.10467741935486</v>
      </c>
    </row>
    <row r="6" spans="1:2">
      <c r="A6" t="s">
        <v>2109</v>
      </c>
      <c r="B6" s="5">
        <v>278.2471069182389</v>
      </c>
    </row>
    <row r="7" spans="1:2">
      <c r="A7" t="s">
        <v>2110</v>
      </c>
      <c r="B7" s="5">
        <v>276.65986928104576</v>
      </c>
    </row>
    <row r="8" spans="1:2">
      <c r="A8" t="s">
        <v>2111</v>
      </c>
      <c r="B8" s="5">
        <v>268.27320512820512</v>
      </c>
    </row>
    <row r="9" spans="1:2">
      <c r="A9" t="s">
        <v>2112</v>
      </c>
      <c r="B9" s="5">
        <v>266.30437499999994</v>
      </c>
    </row>
    <row r="10" spans="1:2">
      <c r="A10" t="s">
        <v>2113</v>
      </c>
      <c r="B10" s="5">
        <v>264.89613138686127</v>
      </c>
    </row>
    <row r="11" spans="1:2">
      <c r="A11" t="s">
        <v>2083</v>
      </c>
      <c r="B11" s="5">
        <v>275.06387999999993</v>
      </c>
    </row>
  </sheetData>
  <pageMargins left="0.7" right="0.7" top="0.75" bottom="0.75" header="0.3" footer="0.3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CE3D1-E3B9-4955-B44A-A9E797A43502}">
  <dimension ref="A2:M37"/>
  <sheetViews>
    <sheetView workbookViewId="0">
      <selection activeCell="F22" sqref="F22"/>
    </sheetView>
  </sheetViews>
  <sheetFormatPr defaultRowHeight="15"/>
  <cols>
    <col min="1" max="1" width="23.85546875" bestFit="1" customWidth="1"/>
    <col min="2" max="2" width="18.5703125" bestFit="1" customWidth="1"/>
    <col min="3" max="3" width="20.5703125" customWidth="1"/>
    <col min="4" max="4" width="6.42578125" bestFit="1" customWidth="1"/>
    <col min="5" max="5" width="6.7109375" bestFit="1" customWidth="1"/>
    <col min="6" max="6" width="23.85546875" customWidth="1"/>
    <col min="7" max="7" width="20.5703125" bestFit="1" customWidth="1"/>
    <col min="8" max="8" width="10.5703125" customWidth="1"/>
    <col min="9" max="9" width="20.5703125" customWidth="1"/>
    <col min="10" max="10" width="5.85546875" bestFit="1" customWidth="1"/>
    <col min="11" max="11" width="11.42578125" bestFit="1" customWidth="1"/>
    <col min="12" max="12" width="20.140625" customWidth="1"/>
    <col min="13" max="13" width="20.5703125" customWidth="1"/>
    <col min="14" max="14" width="11.42578125" bestFit="1" customWidth="1"/>
    <col min="15" max="15" width="10.85546875" bestFit="1" customWidth="1"/>
    <col min="16" max="16" width="10.28515625" bestFit="1" customWidth="1"/>
    <col min="17" max="17" width="6" bestFit="1" customWidth="1"/>
    <col min="18" max="18" width="6.85546875" bestFit="1" customWidth="1"/>
    <col min="19" max="21" width="11.42578125" bestFit="1" customWidth="1"/>
    <col min="22" max="22" width="5.42578125" bestFit="1" customWidth="1"/>
    <col min="23" max="24" width="10.85546875" bestFit="1" customWidth="1"/>
    <col min="25" max="25" width="11.42578125" bestFit="1" customWidth="1"/>
  </cols>
  <sheetData>
    <row r="2" spans="6:13">
      <c r="F2" s="8" t="s">
        <v>26</v>
      </c>
      <c r="G2" t="s">
        <v>2082</v>
      </c>
      <c r="K2" s="8" t="s">
        <v>26</v>
      </c>
      <c r="L2" s="8" t="s">
        <v>39</v>
      </c>
      <c r="M2" t="s">
        <v>2082</v>
      </c>
    </row>
    <row r="3" spans="6:13">
      <c r="F3" t="s">
        <v>76</v>
      </c>
      <c r="G3" s="11">
        <v>0.80500000000000005</v>
      </c>
      <c r="K3" t="s">
        <v>62</v>
      </c>
      <c r="L3" t="s">
        <v>61</v>
      </c>
      <c r="M3" s="11">
        <v>0.15897435897435896</v>
      </c>
    </row>
    <row r="4" spans="6:13">
      <c r="F4" t="s">
        <v>62</v>
      </c>
      <c r="G4" s="11">
        <v>0.19500000000000001</v>
      </c>
      <c r="L4" t="s">
        <v>119</v>
      </c>
      <c r="M4" s="11">
        <v>0.18974358974358974</v>
      </c>
    </row>
    <row r="5" spans="6:13">
      <c r="F5" t="s">
        <v>2083</v>
      </c>
      <c r="G5" s="11">
        <v>1</v>
      </c>
      <c r="L5" t="s">
        <v>75</v>
      </c>
      <c r="M5" s="11">
        <v>0.22051282051282051</v>
      </c>
    </row>
    <row r="6" spans="6:13">
      <c r="L6" t="s">
        <v>111</v>
      </c>
      <c r="M6" s="11">
        <v>0.19487179487179487</v>
      </c>
    </row>
    <row r="7" spans="6:13">
      <c r="L7" t="s">
        <v>86</v>
      </c>
      <c r="M7" s="11">
        <v>0.23589743589743589</v>
      </c>
    </row>
    <row r="8" spans="6:13">
      <c r="K8" t="s">
        <v>2114</v>
      </c>
      <c r="M8" s="11">
        <v>1</v>
      </c>
    </row>
    <row r="9" spans="6:13">
      <c r="K9" t="s">
        <v>2083</v>
      </c>
      <c r="M9" s="11">
        <v>1</v>
      </c>
    </row>
    <row r="19" spans="1:13">
      <c r="A19" s="8" t="s">
        <v>26</v>
      </c>
      <c r="B19" s="8" t="s">
        <v>21</v>
      </c>
      <c r="C19" t="s">
        <v>2082</v>
      </c>
    </row>
    <row r="20" spans="1:13">
      <c r="A20" t="s">
        <v>62</v>
      </c>
      <c r="B20" t="s">
        <v>53</v>
      </c>
      <c r="C20" s="11">
        <v>0.33333333333333331</v>
      </c>
    </row>
    <row r="21" spans="1:13">
      <c r="B21" t="s">
        <v>80</v>
      </c>
      <c r="C21" s="11">
        <v>0.37435897435897436</v>
      </c>
    </row>
    <row r="22" spans="1:13">
      <c r="B22" t="s">
        <v>68</v>
      </c>
      <c r="C22" s="11">
        <v>0.29230769230769232</v>
      </c>
      <c r="F22" s="8" t="s">
        <v>26</v>
      </c>
      <c r="G22" s="8" t="s">
        <v>17</v>
      </c>
      <c r="H22" s="8" t="s">
        <v>18</v>
      </c>
      <c r="I22" t="s">
        <v>2082</v>
      </c>
      <c r="K22" s="8" t="s">
        <v>26</v>
      </c>
      <c r="L22" s="8" t="s">
        <v>27</v>
      </c>
      <c r="M22" t="s">
        <v>2082</v>
      </c>
    </row>
    <row r="23" spans="1:13">
      <c r="A23" t="s">
        <v>2114</v>
      </c>
      <c r="C23" s="11">
        <v>1</v>
      </c>
      <c r="F23" t="s">
        <v>62</v>
      </c>
      <c r="G23" t="s">
        <v>2087</v>
      </c>
      <c r="H23" t="s">
        <v>78</v>
      </c>
      <c r="I23" s="11">
        <v>0.13966480446927373</v>
      </c>
      <c r="K23" t="s">
        <v>62</v>
      </c>
      <c r="L23" t="s">
        <v>71</v>
      </c>
      <c r="M23" s="11">
        <v>0.3282051282051282</v>
      </c>
    </row>
    <row r="24" spans="1:13">
      <c r="A24" t="s">
        <v>2083</v>
      </c>
      <c r="C24" s="11">
        <v>1</v>
      </c>
      <c r="H24" t="s">
        <v>66</v>
      </c>
      <c r="I24" s="11">
        <v>6.7039106145251395E-2</v>
      </c>
      <c r="L24" t="s">
        <v>83</v>
      </c>
      <c r="M24" s="11">
        <v>0.30256410256410254</v>
      </c>
    </row>
    <row r="25" spans="1:13">
      <c r="G25" t="s">
        <v>2115</v>
      </c>
      <c r="I25" s="11">
        <v>0.20670391061452514</v>
      </c>
      <c r="L25" t="s">
        <v>56</v>
      </c>
      <c r="M25" s="11">
        <v>0.36923076923076925</v>
      </c>
    </row>
    <row r="26" spans="1:13">
      <c r="A26" s="8" t="s">
        <v>26</v>
      </c>
      <c r="B26" s="8" t="s">
        <v>20</v>
      </c>
      <c r="C26" t="s">
        <v>2082</v>
      </c>
      <c r="G26" t="s">
        <v>2086</v>
      </c>
      <c r="H26" t="s">
        <v>78</v>
      </c>
      <c r="I26" s="11">
        <v>0.20670391061452514</v>
      </c>
      <c r="K26" t="s">
        <v>2114</v>
      </c>
      <c r="M26" s="11">
        <v>1</v>
      </c>
    </row>
    <row r="27" spans="1:13">
      <c r="A27" t="s">
        <v>62</v>
      </c>
      <c r="B27" t="s">
        <v>95</v>
      </c>
      <c r="C27" s="11">
        <v>0.24102564102564103</v>
      </c>
      <c r="H27" t="s">
        <v>66</v>
      </c>
      <c r="I27" s="11">
        <v>0.12290502793296089</v>
      </c>
      <c r="K27" t="s">
        <v>2083</v>
      </c>
      <c r="M27" s="11">
        <v>1</v>
      </c>
    </row>
    <row r="28" spans="1:13">
      <c r="B28" t="s">
        <v>67</v>
      </c>
      <c r="C28" s="11">
        <v>0.28717948717948716</v>
      </c>
      <c r="H28" t="s">
        <v>50</v>
      </c>
      <c r="I28" s="11">
        <v>1.11731843575419E-2</v>
      </c>
    </row>
    <row r="29" spans="1:13">
      <c r="B29" t="s">
        <v>52</v>
      </c>
      <c r="C29" s="11">
        <v>0.23589743589743589</v>
      </c>
      <c r="G29" t="s">
        <v>2116</v>
      </c>
      <c r="I29" s="11">
        <v>0.34078212290502791</v>
      </c>
    </row>
    <row r="30" spans="1:13">
      <c r="B30" t="s">
        <v>79</v>
      </c>
      <c r="C30" s="11">
        <v>0.23589743589743589</v>
      </c>
      <c r="G30" t="s">
        <v>2085</v>
      </c>
      <c r="H30" t="s">
        <v>78</v>
      </c>
      <c r="I30" s="11">
        <v>0.12849162011173185</v>
      </c>
    </row>
    <row r="31" spans="1:13">
      <c r="A31" t="s">
        <v>2114</v>
      </c>
      <c r="C31" s="11">
        <v>1</v>
      </c>
      <c r="H31" t="s">
        <v>66</v>
      </c>
      <c r="I31" s="11">
        <v>0.12849162011173185</v>
      </c>
    </row>
    <row r="32" spans="1:13">
      <c r="A32" t="s">
        <v>2083</v>
      </c>
      <c r="C32" s="11">
        <v>1</v>
      </c>
      <c r="G32" t="s">
        <v>2117</v>
      </c>
      <c r="I32" s="11">
        <v>0.25698324022346369</v>
      </c>
    </row>
    <row r="33" spans="6:9">
      <c r="G33" t="s">
        <v>2084</v>
      </c>
      <c r="H33" t="s">
        <v>78</v>
      </c>
      <c r="I33" s="11">
        <v>8.9385474860335198E-2</v>
      </c>
    </row>
    <row r="34" spans="6:9">
      <c r="H34" t="s">
        <v>66</v>
      </c>
      <c r="I34" s="11">
        <v>0.10614525139664804</v>
      </c>
    </row>
    <row r="35" spans="6:9">
      <c r="G35" t="s">
        <v>2118</v>
      </c>
      <c r="I35" s="11">
        <v>0.19553072625698323</v>
      </c>
    </row>
    <row r="36" spans="6:9">
      <c r="F36" t="s">
        <v>2114</v>
      </c>
      <c r="I36" s="11">
        <v>1</v>
      </c>
    </row>
    <row r="37" spans="6:9">
      <c r="F37" t="s">
        <v>2083</v>
      </c>
      <c r="I37" s="11">
        <v>1</v>
      </c>
    </row>
  </sheetData>
  <pageMargins left="0.7" right="0.7" top="0.75" bottom="0.75" header="0.3" footer="0.3"/>
  <drawing r:id="rId7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6076AA-4E48-4683-9ED9-E72380E00E04}">
  <dimension ref="A3:C8"/>
  <sheetViews>
    <sheetView workbookViewId="0">
      <selection activeCell="P8" sqref="P8"/>
    </sheetView>
  </sheetViews>
  <sheetFormatPr defaultRowHeight="15"/>
  <cols>
    <col min="1" max="1" width="20.5703125" bestFit="1" customWidth="1"/>
    <col min="2" max="2" width="16.28515625" bestFit="1" customWidth="1"/>
    <col min="3" max="3" width="7.28515625" bestFit="1" customWidth="1"/>
    <col min="4" max="4" width="11.42578125" bestFit="1" customWidth="1"/>
  </cols>
  <sheetData>
    <row r="3" spans="1:3">
      <c r="A3" s="8" t="s">
        <v>2082</v>
      </c>
      <c r="B3" s="8" t="s">
        <v>19</v>
      </c>
    </row>
    <row r="4" spans="1:3">
      <c r="A4" s="8" t="s">
        <v>18</v>
      </c>
      <c r="B4" t="s">
        <v>72</v>
      </c>
      <c r="C4" t="s">
        <v>51</v>
      </c>
    </row>
    <row r="5" spans="1:3">
      <c r="A5" t="s">
        <v>78</v>
      </c>
      <c r="B5" s="11">
        <v>0.25954198473282442</v>
      </c>
      <c r="C5" s="11">
        <v>0.23336968375136313</v>
      </c>
    </row>
    <row r="6" spans="1:3">
      <c r="A6" t="s">
        <v>66</v>
      </c>
      <c r="B6" s="11">
        <v>0.23882224645583425</v>
      </c>
      <c r="C6" s="11">
        <v>0.25081788440567065</v>
      </c>
    </row>
    <row r="7" spans="1:3">
      <c r="A7" t="s">
        <v>50</v>
      </c>
      <c r="B7" s="11">
        <v>8.7241003271537627E-3</v>
      </c>
      <c r="C7" s="11">
        <v>8.7241003271537627E-3</v>
      </c>
    </row>
    <row r="8" spans="1:3">
      <c r="A8" t="s">
        <v>2083</v>
      </c>
      <c r="B8" s="11">
        <v>0.50708833151581245</v>
      </c>
      <c r="C8" s="11">
        <v>0.49291166848418755</v>
      </c>
    </row>
  </sheetData>
  <pageMargins left="0.7" right="0.7" top="0.75" bottom="0.75" header="0.3" footer="0.3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764532-95BE-47F1-8728-6BEB3F46DD86}">
  <dimension ref="A2:BJ21"/>
  <sheetViews>
    <sheetView topLeftCell="AK1" workbookViewId="0">
      <selection activeCell="BC14" sqref="BC14"/>
    </sheetView>
  </sheetViews>
  <sheetFormatPr defaultRowHeight="15"/>
  <cols>
    <col min="1" max="1" width="20.5703125" bestFit="1" customWidth="1"/>
    <col min="2" max="2" width="10.5703125" bestFit="1" customWidth="1"/>
    <col min="3" max="3" width="25.28515625" bestFit="1" customWidth="1"/>
    <col min="4" max="4" width="7.28515625" bestFit="1" customWidth="1"/>
    <col min="5" max="5" width="8.42578125" bestFit="1" customWidth="1"/>
    <col min="6" max="6" width="7.28515625" bestFit="1" customWidth="1"/>
    <col min="7" max="7" width="20.5703125" bestFit="1" customWidth="1"/>
    <col min="8" max="8" width="22.140625" bestFit="1" customWidth="1"/>
    <col min="9" max="9" width="10.5703125" bestFit="1" customWidth="1"/>
    <col min="10" max="10" width="22.140625" bestFit="1" customWidth="1"/>
    <col min="11" max="11" width="18.85546875" bestFit="1" customWidth="1"/>
    <col min="12" max="12" width="13.42578125" bestFit="1" customWidth="1"/>
    <col min="13" max="13" width="11.42578125" bestFit="1" customWidth="1"/>
    <col min="15" max="15" width="20.5703125" bestFit="1" customWidth="1"/>
    <col min="16" max="16" width="21.140625" bestFit="1" customWidth="1"/>
    <col min="17" max="17" width="12.28515625" bestFit="1" customWidth="1"/>
    <col min="18" max="18" width="13.5703125" bestFit="1" customWidth="1"/>
    <col min="19" max="19" width="21.85546875" bestFit="1" customWidth="1"/>
    <col min="20" max="20" width="6.28515625" bestFit="1" customWidth="1"/>
    <col min="21" max="21" width="8.28515625" bestFit="1" customWidth="1"/>
    <col min="22" max="22" width="10.42578125" bestFit="1" customWidth="1"/>
    <col min="23" max="23" width="16.85546875" bestFit="1" customWidth="1"/>
    <col min="24" max="24" width="9.140625" bestFit="1" customWidth="1"/>
    <col min="25" max="25" width="21" bestFit="1" customWidth="1"/>
    <col min="26" max="26" width="9.28515625" bestFit="1" customWidth="1"/>
    <col min="27" max="27" width="11.28515625" bestFit="1" customWidth="1"/>
    <col min="28" max="28" width="16.28515625" bestFit="1" customWidth="1"/>
    <col min="29" max="29" width="25.7109375" bestFit="1" customWidth="1"/>
    <col min="30" max="30" width="17.85546875" bestFit="1" customWidth="1"/>
    <col min="31" max="31" width="14.140625" bestFit="1" customWidth="1"/>
    <col min="32" max="32" width="9" bestFit="1" customWidth="1"/>
    <col min="33" max="33" width="15.85546875" bestFit="1" customWidth="1"/>
    <col min="34" max="34" width="17.42578125" bestFit="1" customWidth="1"/>
    <col min="35" max="35" width="13.5703125" bestFit="1" customWidth="1"/>
    <col min="36" max="36" width="15.140625" bestFit="1" customWidth="1"/>
    <col min="37" max="38" width="11.42578125" bestFit="1" customWidth="1"/>
    <col min="40" max="40" width="20.5703125" bestFit="1" customWidth="1"/>
    <col min="41" max="41" width="21.140625" bestFit="1" customWidth="1"/>
    <col min="42" max="42" width="12.28515625" bestFit="1" customWidth="1"/>
    <col min="43" max="43" width="13.5703125" bestFit="1" customWidth="1"/>
    <col min="44" max="44" width="21.85546875" bestFit="1" customWidth="1"/>
    <col min="45" max="45" width="6.28515625" bestFit="1" customWidth="1"/>
    <col min="46" max="46" width="8.28515625" bestFit="1" customWidth="1"/>
    <col min="47" max="47" width="10.42578125" bestFit="1" customWidth="1"/>
    <col min="48" max="48" width="16.85546875" bestFit="1" customWidth="1"/>
    <col min="49" max="49" width="9.140625" bestFit="1" customWidth="1"/>
    <col min="50" max="50" width="21" bestFit="1" customWidth="1"/>
    <col min="51" max="51" width="9.28515625" bestFit="1" customWidth="1"/>
    <col min="52" max="52" width="11.28515625" bestFit="1" customWidth="1"/>
    <col min="53" max="53" width="16.28515625" bestFit="1" customWidth="1"/>
    <col min="54" max="54" width="25.7109375" bestFit="1" customWidth="1"/>
    <col min="55" max="55" width="17.85546875" bestFit="1" customWidth="1"/>
    <col min="56" max="56" width="14.140625" bestFit="1" customWidth="1"/>
    <col min="57" max="57" width="9" bestFit="1" customWidth="1"/>
    <col min="58" max="58" width="15.85546875" bestFit="1" customWidth="1"/>
    <col min="59" max="59" width="17.42578125" bestFit="1" customWidth="1"/>
    <col min="60" max="60" width="13.5703125" bestFit="1" customWidth="1"/>
    <col min="61" max="61" width="15.140625" bestFit="1" customWidth="1"/>
    <col min="62" max="62" width="11.42578125" bestFit="1" customWidth="1"/>
  </cols>
  <sheetData>
    <row r="2" spans="1:62">
      <c r="H2" s="8" t="s">
        <v>2082</v>
      </c>
      <c r="J2" s="8" t="s">
        <v>33</v>
      </c>
      <c r="O2" s="8" t="s">
        <v>2082</v>
      </c>
      <c r="P2" s="8" t="s">
        <v>23</v>
      </c>
    </row>
    <row r="3" spans="1:62">
      <c r="A3" s="8" t="s">
        <v>2082</v>
      </c>
      <c r="C3" s="8" t="s">
        <v>32</v>
      </c>
      <c r="H3" s="8" t="s">
        <v>17</v>
      </c>
      <c r="I3" s="8" t="s">
        <v>18</v>
      </c>
      <c r="J3" t="s">
        <v>58</v>
      </c>
      <c r="K3" t="s">
        <v>84</v>
      </c>
      <c r="L3" t="s">
        <v>73</v>
      </c>
      <c r="M3" t="s">
        <v>2083</v>
      </c>
      <c r="O3" s="8" t="s">
        <v>17</v>
      </c>
      <c r="P3" t="s">
        <v>172</v>
      </c>
      <c r="Q3" t="s">
        <v>55</v>
      </c>
      <c r="R3" t="s">
        <v>151</v>
      </c>
      <c r="S3" t="s">
        <v>91</v>
      </c>
      <c r="T3" t="s">
        <v>275</v>
      </c>
      <c r="U3" t="s">
        <v>122</v>
      </c>
      <c r="V3" t="s">
        <v>156</v>
      </c>
      <c r="W3" t="s">
        <v>133</v>
      </c>
      <c r="X3" t="s">
        <v>223</v>
      </c>
      <c r="Y3" t="s">
        <v>82</v>
      </c>
      <c r="Z3" t="s">
        <v>146</v>
      </c>
      <c r="AA3" t="s">
        <v>100</v>
      </c>
      <c r="AB3" t="s">
        <v>118</v>
      </c>
      <c r="AC3" t="s">
        <v>97</v>
      </c>
      <c r="AD3" t="s">
        <v>234</v>
      </c>
      <c r="AE3" t="s">
        <v>105</v>
      </c>
      <c r="AF3" t="s">
        <v>169</v>
      </c>
      <c r="AG3" t="s">
        <v>164</v>
      </c>
      <c r="AH3" t="s">
        <v>70</v>
      </c>
      <c r="AI3" t="s">
        <v>194</v>
      </c>
      <c r="AJ3" t="s">
        <v>110</v>
      </c>
      <c r="AK3" t="s">
        <v>2083</v>
      </c>
      <c r="AN3" s="8" t="s">
        <v>2082</v>
      </c>
      <c r="AO3" s="8" t="s">
        <v>23</v>
      </c>
    </row>
    <row r="4" spans="1:62">
      <c r="A4" s="8" t="s">
        <v>17</v>
      </c>
      <c r="B4" s="8" t="s">
        <v>18</v>
      </c>
      <c r="C4" t="s">
        <v>72</v>
      </c>
      <c r="D4" t="s">
        <v>59</v>
      </c>
      <c r="E4" t="s">
        <v>85</v>
      </c>
      <c r="F4" t="s">
        <v>57</v>
      </c>
      <c r="H4" t="s">
        <v>2087</v>
      </c>
      <c r="I4" t="s">
        <v>78</v>
      </c>
      <c r="J4" s="11">
        <v>3.5986913849509271E-2</v>
      </c>
      <c r="K4" s="11">
        <v>3.4896401308615051E-2</v>
      </c>
      <c r="L4" s="11">
        <v>4.4711014176663032E-2</v>
      </c>
      <c r="M4" s="11">
        <v>0.11559432933478735</v>
      </c>
      <c r="O4" t="s">
        <v>2087</v>
      </c>
      <c r="P4" s="11">
        <v>5.0000000000000001E-3</v>
      </c>
      <c r="Q4" s="11">
        <v>2E-3</v>
      </c>
      <c r="R4" s="11">
        <v>8.0000000000000002E-3</v>
      </c>
      <c r="S4" s="11">
        <v>5.0000000000000001E-3</v>
      </c>
      <c r="T4" s="11">
        <v>8.9999999999999993E-3</v>
      </c>
      <c r="U4" s="11">
        <v>1E-3</v>
      </c>
      <c r="V4" s="11">
        <v>1.2E-2</v>
      </c>
      <c r="W4" s="11">
        <v>7.0000000000000001E-3</v>
      </c>
      <c r="X4" s="11">
        <v>1.0999999999999999E-2</v>
      </c>
      <c r="Y4" s="11">
        <v>1.0999999999999999E-2</v>
      </c>
      <c r="Z4" s="11">
        <v>6.0000000000000001E-3</v>
      </c>
      <c r="AA4" s="11">
        <v>1.7999999999999999E-2</v>
      </c>
      <c r="AB4" s="11">
        <v>1.2E-2</v>
      </c>
      <c r="AC4" s="11">
        <v>1.7000000000000001E-2</v>
      </c>
      <c r="AD4" s="11">
        <v>1.6E-2</v>
      </c>
      <c r="AE4" s="11">
        <v>1.4E-2</v>
      </c>
      <c r="AF4" s="11">
        <v>8.0000000000000002E-3</v>
      </c>
      <c r="AG4" s="11">
        <v>1.4E-2</v>
      </c>
      <c r="AH4" s="11">
        <v>1.7000000000000001E-2</v>
      </c>
      <c r="AI4" s="11">
        <v>1.4E-2</v>
      </c>
      <c r="AJ4" s="11">
        <v>1.4999999999999999E-2</v>
      </c>
      <c r="AK4" s="11">
        <v>0.222</v>
      </c>
      <c r="AN4" s="8" t="s">
        <v>20</v>
      </c>
      <c r="AO4" t="s">
        <v>172</v>
      </c>
      <c r="AP4" t="s">
        <v>55</v>
      </c>
      <c r="AQ4" t="s">
        <v>151</v>
      </c>
      <c r="AR4" t="s">
        <v>91</v>
      </c>
      <c r="AS4" t="s">
        <v>275</v>
      </c>
      <c r="AT4" t="s">
        <v>122</v>
      </c>
      <c r="AU4" t="s">
        <v>156</v>
      </c>
      <c r="AV4" t="s">
        <v>133</v>
      </c>
      <c r="AW4" t="s">
        <v>223</v>
      </c>
      <c r="AX4" t="s">
        <v>82</v>
      </c>
      <c r="AY4" t="s">
        <v>146</v>
      </c>
      <c r="AZ4" t="s">
        <v>100</v>
      </c>
      <c r="BA4" t="s">
        <v>118</v>
      </c>
      <c r="BB4" t="s">
        <v>97</v>
      </c>
      <c r="BC4" t="s">
        <v>234</v>
      </c>
      <c r="BD4" t="s">
        <v>105</v>
      </c>
      <c r="BE4" t="s">
        <v>169</v>
      </c>
      <c r="BF4" t="s">
        <v>164</v>
      </c>
      <c r="BG4" t="s">
        <v>70</v>
      </c>
      <c r="BH4" t="s">
        <v>194</v>
      </c>
      <c r="BI4" t="s">
        <v>110</v>
      </c>
      <c r="BJ4" t="s">
        <v>2083</v>
      </c>
    </row>
    <row r="5" spans="1:62">
      <c r="A5" t="s">
        <v>2086</v>
      </c>
      <c r="B5" t="s">
        <v>78</v>
      </c>
      <c r="C5" s="11">
        <v>4.7982551799345692E-2</v>
      </c>
      <c r="D5" s="11">
        <v>3.0534351145038167E-2</v>
      </c>
      <c r="E5" s="11">
        <v>4.0348964013086151E-2</v>
      </c>
      <c r="F5" s="11">
        <v>3.0534351145038167E-2</v>
      </c>
      <c r="I5" t="s">
        <v>66</v>
      </c>
      <c r="J5" s="11">
        <v>3.3805888767720831E-2</v>
      </c>
      <c r="K5" s="11">
        <v>2.9443838604143947E-2</v>
      </c>
      <c r="L5" s="11">
        <v>3.3805888767720831E-2</v>
      </c>
      <c r="M5" s="11">
        <v>9.7055616139585604E-2</v>
      </c>
      <c r="O5" t="s">
        <v>2086</v>
      </c>
      <c r="P5" s="11">
        <v>1.7000000000000001E-2</v>
      </c>
      <c r="Q5" s="11">
        <v>8.9999999999999993E-3</v>
      </c>
      <c r="R5" s="11">
        <v>1.2E-2</v>
      </c>
      <c r="S5" s="11">
        <v>8.9999999999999993E-3</v>
      </c>
      <c r="T5" s="11">
        <v>8.9999999999999993E-3</v>
      </c>
      <c r="U5" s="11">
        <v>1.4E-2</v>
      </c>
      <c r="V5" s="11">
        <v>1.6E-2</v>
      </c>
      <c r="W5" s="11">
        <v>1.7000000000000001E-2</v>
      </c>
      <c r="X5" s="11">
        <v>8.0000000000000002E-3</v>
      </c>
      <c r="Y5" s="11">
        <v>1.7000000000000001E-2</v>
      </c>
      <c r="Z5" s="11">
        <v>1.7999999999999999E-2</v>
      </c>
      <c r="AA5" s="11">
        <v>3.2000000000000001E-2</v>
      </c>
      <c r="AB5" s="11">
        <v>1.7000000000000001E-2</v>
      </c>
      <c r="AC5" s="11">
        <v>2.8000000000000001E-2</v>
      </c>
      <c r="AD5" s="11">
        <v>8.0000000000000002E-3</v>
      </c>
      <c r="AE5" s="11">
        <v>8.9999999999999993E-3</v>
      </c>
      <c r="AF5" s="11">
        <v>1.2999999999999999E-2</v>
      </c>
      <c r="AG5" s="11">
        <v>0.01</v>
      </c>
      <c r="AH5" s="11">
        <v>1.0999999999999999E-2</v>
      </c>
      <c r="AI5" s="11">
        <v>8.0000000000000002E-3</v>
      </c>
      <c r="AJ5" s="11">
        <v>2.5999999999999999E-2</v>
      </c>
      <c r="AK5" s="11">
        <v>0.308</v>
      </c>
      <c r="AN5" t="s">
        <v>79</v>
      </c>
      <c r="AO5" s="11">
        <v>1.6E-2</v>
      </c>
      <c r="AP5" s="11">
        <v>0.01</v>
      </c>
      <c r="AQ5" s="11">
        <v>7.0000000000000001E-3</v>
      </c>
      <c r="AR5" s="11">
        <v>1.2999999999999999E-2</v>
      </c>
      <c r="AS5" s="11">
        <v>1.2E-2</v>
      </c>
      <c r="AT5" s="11">
        <v>5.0000000000000001E-3</v>
      </c>
      <c r="AU5" s="11">
        <v>1.4E-2</v>
      </c>
      <c r="AV5" s="11">
        <v>1.0999999999999999E-2</v>
      </c>
      <c r="AW5" s="11">
        <v>1.2E-2</v>
      </c>
      <c r="AX5" s="11">
        <v>8.0000000000000002E-3</v>
      </c>
      <c r="AY5" s="11">
        <v>8.0000000000000002E-3</v>
      </c>
      <c r="AZ5" s="11">
        <v>2.1999999999999999E-2</v>
      </c>
      <c r="BA5" s="11">
        <v>1.4E-2</v>
      </c>
      <c r="BB5" s="11">
        <v>2.9000000000000001E-2</v>
      </c>
      <c r="BC5" s="11">
        <v>6.0000000000000001E-3</v>
      </c>
      <c r="BD5" s="11">
        <v>8.0000000000000002E-3</v>
      </c>
      <c r="BE5" s="11">
        <v>1.0999999999999999E-2</v>
      </c>
      <c r="BF5" s="11">
        <v>0.01</v>
      </c>
      <c r="BG5" s="11">
        <v>1.7999999999999999E-2</v>
      </c>
      <c r="BH5" s="11">
        <v>1.4E-2</v>
      </c>
      <c r="BI5" s="11">
        <v>1.2E-2</v>
      </c>
      <c r="BJ5" s="11">
        <v>0.26</v>
      </c>
    </row>
    <row r="6" spans="1:62">
      <c r="B6" t="s">
        <v>66</v>
      </c>
      <c r="C6" s="11">
        <v>4.5801526717557252E-2</v>
      </c>
      <c r="D6" s="11">
        <v>3.9258451472191931E-2</v>
      </c>
      <c r="E6" s="11">
        <v>4.0348964013086151E-2</v>
      </c>
      <c r="F6" s="11">
        <v>3.162486368593239E-2</v>
      </c>
      <c r="I6" t="s">
        <v>50</v>
      </c>
      <c r="J6" s="11">
        <v>0</v>
      </c>
      <c r="K6" s="11">
        <v>3.2715376226826608E-3</v>
      </c>
      <c r="L6" s="11">
        <v>1.0905125408942203E-3</v>
      </c>
      <c r="M6" s="11">
        <v>4.3620501635768813E-3</v>
      </c>
      <c r="O6" t="s">
        <v>2085</v>
      </c>
      <c r="P6" s="11">
        <v>1.4E-2</v>
      </c>
      <c r="Q6" s="11">
        <v>1.4999999999999999E-2</v>
      </c>
      <c r="R6" s="11">
        <v>1.0999999999999999E-2</v>
      </c>
      <c r="S6" s="11">
        <v>1.0999999999999999E-2</v>
      </c>
      <c r="T6" s="11">
        <v>1.4E-2</v>
      </c>
      <c r="U6" s="11">
        <v>1.2E-2</v>
      </c>
      <c r="V6" s="11">
        <v>1.7999999999999999E-2</v>
      </c>
      <c r="W6" s="11">
        <v>0.01</v>
      </c>
      <c r="X6" s="11">
        <v>1.2999999999999999E-2</v>
      </c>
      <c r="Y6" s="11">
        <v>1.0999999999999999E-2</v>
      </c>
      <c r="Z6" s="11">
        <v>1.0999999999999999E-2</v>
      </c>
      <c r="AA6" s="11">
        <v>1.7999999999999999E-2</v>
      </c>
      <c r="AB6" s="11">
        <v>1.2E-2</v>
      </c>
      <c r="AC6" s="11">
        <v>2.5999999999999999E-2</v>
      </c>
      <c r="AD6" s="11">
        <v>0.01</v>
      </c>
      <c r="AE6" s="11">
        <v>7.0000000000000001E-3</v>
      </c>
      <c r="AF6" s="11">
        <v>1.7000000000000001E-2</v>
      </c>
      <c r="AG6" s="11">
        <v>8.0000000000000002E-3</v>
      </c>
      <c r="AH6" s="11">
        <v>1.2E-2</v>
      </c>
      <c r="AI6" s="11">
        <v>1.4E-2</v>
      </c>
      <c r="AJ6" s="11">
        <v>2.3E-2</v>
      </c>
      <c r="AK6" s="11">
        <v>0.28699999999999998</v>
      </c>
      <c r="AN6" t="s">
        <v>67</v>
      </c>
      <c r="AO6" s="11">
        <v>1.4E-2</v>
      </c>
      <c r="AP6" s="11">
        <v>8.9999999999999993E-3</v>
      </c>
      <c r="AQ6" s="11">
        <v>1.2999999999999999E-2</v>
      </c>
      <c r="AR6" s="11">
        <v>5.0000000000000001E-3</v>
      </c>
      <c r="AS6" s="11">
        <v>5.0000000000000001E-3</v>
      </c>
      <c r="AT6" s="11">
        <v>8.0000000000000002E-3</v>
      </c>
      <c r="AU6" s="11">
        <v>1.4999999999999999E-2</v>
      </c>
      <c r="AV6" s="11">
        <v>1.2999999999999999E-2</v>
      </c>
      <c r="AW6" s="11">
        <v>8.9999999999999993E-3</v>
      </c>
      <c r="AX6" s="11">
        <v>1.2999999999999999E-2</v>
      </c>
      <c r="AY6" s="11">
        <v>1.2E-2</v>
      </c>
      <c r="AZ6" s="11">
        <v>1.4E-2</v>
      </c>
      <c r="BA6" s="11">
        <v>1.2E-2</v>
      </c>
      <c r="BB6" s="11">
        <v>1.9E-2</v>
      </c>
      <c r="BC6" s="11">
        <v>1.7000000000000001E-2</v>
      </c>
      <c r="BD6" s="11">
        <v>0.01</v>
      </c>
      <c r="BE6" s="11">
        <v>1.2E-2</v>
      </c>
      <c r="BF6" s="11">
        <v>0.01</v>
      </c>
      <c r="BG6" s="11">
        <v>1.2E-2</v>
      </c>
      <c r="BH6" s="11">
        <v>0.01</v>
      </c>
      <c r="BI6" s="11">
        <v>2.1000000000000001E-2</v>
      </c>
      <c r="BJ6" s="11">
        <v>0.253</v>
      </c>
    </row>
    <row r="7" spans="1:62">
      <c r="B7" t="s">
        <v>50</v>
      </c>
      <c r="C7" s="11">
        <v>1.0905125408942203E-3</v>
      </c>
      <c r="D7" s="11">
        <v>1.0905125408942203E-3</v>
      </c>
      <c r="E7" s="11">
        <v>2.1810250817884407E-3</v>
      </c>
      <c r="F7" s="11">
        <v>1.0905125408942203E-3</v>
      </c>
      <c r="H7" t="s">
        <v>2115</v>
      </c>
      <c r="J7" s="11">
        <v>6.9792802617230101E-2</v>
      </c>
      <c r="K7" s="11">
        <v>6.7611777535441661E-2</v>
      </c>
      <c r="L7" s="11">
        <v>7.9607415485278082E-2</v>
      </c>
      <c r="M7" s="11">
        <v>0.21701199563794984</v>
      </c>
      <c r="O7" t="s">
        <v>2084</v>
      </c>
      <c r="P7" s="11">
        <v>8.0000000000000002E-3</v>
      </c>
      <c r="Q7" s="11">
        <v>8.0000000000000002E-3</v>
      </c>
      <c r="R7" s="11">
        <v>0.01</v>
      </c>
      <c r="S7" s="11">
        <v>8.9999999999999993E-3</v>
      </c>
      <c r="T7" s="11">
        <v>5.0000000000000001E-3</v>
      </c>
      <c r="U7" s="11">
        <v>3.0000000000000001E-3</v>
      </c>
      <c r="V7" s="11">
        <v>8.0000000000000002E-3</v>
      </c>
      <c r="W7" s="11">
        <v>0.01</v>
      </c>
      <c r="X7" s="11">
        <v>8.9999999999999993E-3</v>
      </c>
      <c r="Y7" s="11">
        <v>5.0000000000000001E-3</v>
      </c>
      <c r="Z7" s="11">
        <v>6.0000000000000001E-3</v>
      </c>
      <c r="AA7" s="11">
        <v>1.4E-2</v>
      </c>
      <c r="AB7" s="11">
        <v>8.9999999999999993E-3</v>
      </c>
      <c r="AC7" s="11">
        <v>1.6E-2</v>
      </c>
      <c r="AD7" s="11">
        <v>7.0000000000000001E-3</v>
      </c>
      <c r="AE7" s="11">
        <v>8.0000000000000002E-3</v>
      </c>
      <c r="AF7" s="11">
        <v>5.0000000000000001E-3</v>
      </c>
      <c r="AG7" s="11">
        <v>1.0999999999999999E-2</v>
      </c>
      <c r="AH7" s="11">
        <v>1.0999999999999999E-2</v>
      </c>
      <c r="AI7" s="11">
        <v>1.0999999999999999E-2</v>
      </c>
      <c r="AJ7" s="11">
        <v>0.01</v>
      </c>
      <c r="AK7" s="11">
        <v>0.183</v>
      </c>
      <c r="AN7" t="s">
        <v>95</v>
      </c>
      <c r="AO7" s="11">
        <v>0.01</v>
      </c>
      <c r="AP7" s="11">
        <v>6.0000000000000001E-3</v>
      </c>
      <c r="AQ7" s="11">
        <v>1.0999999999999999E-2</v>
      </c>
      <c r="AR7" s="11">
        <v>6.0000000000000001E-3</v>
      </c>
      <c r="AS7" s="11">
        <v>6.0000000000000001E-3</v>
      </c>
      <c r="AT7" s="11">
        <v>1.2999999999999999E-2</v>
      </c>
      <c r="AU7" s="11">
        <v>1.2999999999999999E-2</v>
      </c>
      <c r="AV7" s="11">
        <v>1.2E-2</v>
      </c>
      <c r="AW7" s="11">
        <v>8.9999999999999993E-3</v>
      </c>
      <c r="AX7" s="11">
        <v>0.01</v>
      </c>
      <c r="AY7" s="11">
        <v>1.0999999999999999E-2</v>
      </c>
      <c r="AZ7" s="11">
        <v>2.1000000000000001E-2</v>
      </c>
      <c r="BA7" s="11">
        <v>1.0999999999999999E-2</v>
      </c>
      <c r="BB7" s="11">
        <v>2.5000000000000001E-2</v>
      </c>
      <c r="BC7" s="11">
        <v>1.2E-2</v>
      </c>
      <c r="BD7" s="11">
        <v>0.01</v>
      </c>
      <c r="BE7" s="11">
        <v>8.9999999999999993E-3</v>
      </c>
      <c r="BF7" s="11">
        <v>8.0000000000000002E-3</v>
      </c>
      <c r="BG7" s="11">
        <v>1.0999999999999999E-2</v>
      </c>
      <c r="BH7" s="11">
        <v>1.2999999999999999E-2</v>
      </c>
      <c r="BI7" s="11">
        <v>1.7999999999999999E-2</v>
      </c>
      <c r="BJ7" s="11">
        <v>0.245</v>
      </c>
    </row>
    <row r="8" spans="1:62">
      <c r="A8" t="s">
        <v>2116</v>
      </c>
      <c r="C8" s="11">
        <v>9.4874591057797164E-2</v>
      </c>
      <c r="D8" s="11">
        <v>7.0883315158124321E-2</v>
      </c>
      <c r="E8" s="11">
        <v>8.2878953107960743E-2</v>
      </c>
      <c r="F8" s="11">
        <v>6.3249727371864781E-2</v>
      </c>
      <c r="H8" t="s">
        <v>2086</v>
      </c>
      <c r="I8" t="s">
        <v>78</v>
      </c>
      <c r="J8" s="11">
        <v>4.9073064340239912E-2</v>
      </c>
      <c r="K8" s="11">
        <v>4.5801526717557252E-2</v>
      </c>
      <c r="L8" s="11">
        <v>5.4525627044711013E-2</v>
      </c>
      <c r="M8" s="11">
        <v>0.14940021810250817</v>
      </c>
      <c r="O8" t="s">
        <v>2083</v>
      </c>
      <c r="P8" s="11">
        <v>4.3999999999999997E-2</v>
      </c>
      <c r="Q8" s="11">
        <v>3.4000000000000002E-2</v>
      </c>
      <c r="R8" s="11">
        <v>4.1000000000000002E-2</v>
      </c>
      <c r="S8" s="11">
        <v>3.4000000000000002E-2</v>
      </c>
      <c r="T8" s="11">
        <v>3.6999999999999998E-2</v>
      </c>
      <c r="U8" s="11">
        <v>0.03</v>
      </c>
      <c r="V8" s="11">
        <v>5.3999999999999999E-2</v>
      </c>
      <c r="W8" s="11">
        <v>4.3999999999999997E-2</v>
      </c>
      <c r="X8" s="11">
        <v>4.1000000000000002E-2</v>
      </c>
      <c r="Y8" s="11">
        <v>4.3999999999999997E-2</v>
      </c>
      <c r="Z8" s="11">
        <v>4.1000000000000002E-2</v>
      </c>
      <c r="AA8" s="11">
        <v>8.2000000000000003E-2</v>
      </c>
      <c r="AB8" s="11">
        <v>0.05</v>
      </c>
      <c r="AC8" s="11">
        <v>8.6999999999999994E-2</v>
      </c>
      <c r="AD8" s="11">
        <v>4.1000000000000002E-2</v>
      </c>
      <c r="AE8" s="11">
        <v>3.7999999999999999E-2</v>
      </c>
      <c r="AF8" s="11">
        <v>4.2999999999999997E-2</v>
      </c>
      <c r="AG8" s="11">
        <v>4.2999999999999997E-2</v>
      </c>
      <c r="AH8" s="11">
        <v>5.0999999999999997E-2</v>
      </c>
      <c r="AI8" s="11">
        <v>4.7E-2</v>
      </c>
      <c r="AJ8" s="11">
        <v>7.3999999999999996E-2</v>
      </c>
      <c r="AK8" s="11">
        <v>1</v>
      </c>
      <c r="AN8" t="s">
        <v>52</v>
      </c>
      <c r="AO8" s="11">
        <v>4.0000000000000001E-3</v>
      </c>
      <c r="AP8" s="11">
        <v>8.9999999999999993E-3</v>
      </c>
      <c r="AQ8" s="11">
        <v>0.01</v>
      </c>
      <c r="AR8" s="11">
        <v>0.01</v>
      </c>
      <c r="AS8" s="11">
        <v>1.4E-2</v>
      </c>
      <c r="AT8" s="11">
        <v>4.0000000000000001E-3</v>
      </c>
      <c r="AU8" s="11">
        <v>1.2E-2</v>
      </c>
      <c r="AV8" s="11">
        <v>8.0000000000000002E-3</v>
      </c>
      <c r="AW8" s="11">
        <v>1.0999999999999999E-2</v>
      </c>
      <c r="AX8" s="11">
        <v>1.2999999999999999E-2</v>
      </c>
      <c r="AY8" s="11">
        <v>0.01</v>
      </c>
      <c r="AZ8" s="11">
        <v>2.5000000000000001E-2</v>
      </c>
      <c r="BA8" s="11">
        <v>1.2999999999999999E-2</v>
      </c>
      <c r="BB8" s="11">
        <v>1.4E-2</v>
      </c>
      <c r="BC8" s="11">
        <v>6.0000000000000001E-3</v>
      </c>
      <c r="BD8" s="11">
        <v>0.01</v>
      </c>
      <c r="BE8" s="11">
        <v>1.0999999999999999E-2</v>
      </c>
      <c r="BF8" s="11">
        <v>1.4999999999999999E-2</v>
      </c>
      <c r="BG8" s="11">
        <v>0.01</v>
      </c>
      <c r="BH8" s="11">
        <v>0.01</v>
      </c>
      <c r="BI8" s="11">
        <v>2.3E-2</v>
      </c>
      <c r="BJ8" s="11">
        <v>0.24199999999999999</v>
      </c>
    </row>
    <row r="9" spans="1:62">
      <c r="A9" t="s">
        <v>2085</v>
      </c>
      <c r="B9" t="s">
        <v>78</v>
      </c>
      <c r="C9" s="11">
        <v>3.5986913849509271E-2</v>
      </c>
      <c r="D9" s="11">
        <v>3.3805888767720831E-2</v>
      </c>
      <c r="E9" s="11">
        <v>3.4896401308615051E-2</v>
      </c>
      <c r="F9" s="11">
        <v>4.0348964013086151E-2</v>
      </c>
      <c r="I9" t="s">
        <v>66</v>
      </c>
      <c r="J9" s="11">
        <v>5.5616139585605233E-2</v>
      </c>
      <c r="K9" s="11">
        <v>5.0163576881134132E-2</v>
      </c>
      <c r="L9" s="11">
        <v>5.1254089422028352E-2</v>
      </c>
      <c r="M9" s="11">
        <v>0.15703380588876772</v>
      </c>
      <c r="AN9" t="s">
        <v>2083</v>
      </c>
      <c r="AO9" s="11">
        <v>4.3999999999999997E-2</v>
      </c>
      <c r="AP9" s="11">
        <v>3.4000000000000002E-2</v>
      </c>
      <c r="AQ9" s="11">
        <v>4.1000000000000002E-2</v>
      </c>
      <c r="AR9" s="11">
        <v>3.4000000000000002E-2</v>
      </c>
      <c r="AS9" s="11">
        <v>3.6999999999999998E-2</v>
      </c>
      <c r="AT9" s="11">
        <v>0.03</v>
      </c>
      <c r="AU9" s="11">
        <v>5.3999999999999999E-2</v>
      </c>
      <c r="AV9" s="11">
        <v>4.3999999999999997E-2</v>
      </c>
      <c r="AW9" s="11">
        <v>4.1000000000000002E-2</v>
      </c>
      <c r="AX9" s="11">
        <v>4.3999999999999997E-2</v>
      </c>
      <c r="AY9" s="11">
        <v>4.1000000000000002E-2</v>
      </c>
      <c r="AZ9" s="11">
        <v>8.2000000000000003E-2</v>
      </c>
      <c r="BA9" s="11">
        <v>0.05</v>
      </c>
      <c r="BB9" s="11">
        <v>8.6999999999999994E-2</v>
      </c>
      <c r="BC9" s="11">
        <v>4.1000000000000002E-2</v>
      </c>
      <c r="BD9" s="11">
        <v>3.7999999999999999E-2</v>
      </c>
      <c r="BE9" s="11">
        <v>4.2999999999999997E-2</v>
      </c>
      <c r="BF9" s="11">
        <v>4.2999999999999997E-2</v>
      </c>
      <c r="BG9" s="11">
        <v>5.0999999999999997E-2</v>
      </c>
      <c r="BH9" s="11">
        <v>4.7E-2</v>
      </c>
      <c r="BI9" s="11">
        <v>7.3999999999999996E-2</v>
      </c>
      <c r="BJ9" s="11">
        <v>1</v>
      </c>
    </row>
    <row r="10" spans="1:62">
      <c r="B10" t="s">
        <v>66</v>
      </c>
      <c r="C10" s="11">
        <v>3.4896401308615051E-2</v>
      </c>
      <c r="D10" s="11">
        <v>4.0348964013086151E-2</v>
      </c>
      <c r="E10" s="11">
        <v>2.8353326063249727E-2</v>
      </c>
      <c r="F10" s="11">
        <v>3.5986913849509271E-2</v>
      </c>
      <c r="I10" t="s">
        <v>50</v>
      </c>
      <c r="J10" s="11">
        <v>4.3620501635768813E-3</v>
      </c>
      <c r="K10" s="11">
        <v>1.0905125408942203E-3</v>
      </c>
      <c r="L10" s="11">
        <v>0</v>
      </c>
      <c r="M10" s="11">
        <v>5.4525627044711015E-3</v>
      </c>
      <c r="O10" s="8" t="s">
        <v>2082</v>
      </c>
      <c r="P10" s="8" t="s">
        <v>23</v>
      </c>
    </row>
    <row r="11" spans="1:62">
      <c r="B11" t="s">
        <v>50</v>
      </c>
      <c r="C11" s="11">
        <v>1.0905125408942203E-3</v>
      </c>
      <c r="D11" s="11">
        <v>1.0905125408942203E-3</v>
      </c>
      <c r="E11" s="11">
        <v>1.0905125408942203E-3</v>
      </c>
      <c r="F11" s="11">
        <v>1.0905125408942203E-3</v>
      </c>
      <c r="H11" t="s">
        <v>2116</v>
      </c>
      <c r="J11" s="11">
        <v>0.10905125408942203</v>
      </c>
      <c r="K11" s="11">
        <v>9.7055616139585604E-2</v>
      </c>
      <c r="L11" s="11">
        <v>0.10577971646673937</v>
      </c>
      <c r="M11" s="11">
        <v>0.31188658669574698</v>
      </c>
      <c r="O11" s="8" t="s">
        <v>18</v>
      </c>
      <c r="P11" t="s">
        <v>172</v>
      </c>
      <c r="Q11" t="s">
        <v>55</v>
      </c>
      <c r="R11" t="s">
        <v>151</v>
      </c>
      <c r="S11" t="s">
        <v>91</v>
      </c>
      <c r="T11" t="s">
        <v>275</v>
      </c>
      <c r="U11" t="s">
        <v>122</v>
      </c>
      <c r="V11" t="s">
        <v>156</v>
      </c>
      <c r="W11" t="s">
        <v>133</v>
      </c>
      <c r="X11" t="s">
        <v>223</v>
      </c>
      <c r="Y11" t="s">
        <v>82</v>
      </c>
      <c r="Z11" t="s">
        <v>146</v>
      </c>
      <c r="AA11" t="s">
        <v>100</v>
      </c>
      <c r="AB11" t="s">
        <v>118</v>
      </c>
      <c r="AC11" t="s">
        <v>97</v>
      </c>
      <c r="AD11" t="s">
        <v>234</v>
      </c>
      <c r="AE11" t="s">
        <v>105</v>
      </c>
      <c r="AF11" t="s">
        <v>169</v>
      </c>
      <c r="AG11" t="s">
        <v>164</v>
      </c>
      <c r="AH11" t="s">
        <v>70</v>
      </c>
      <c r="AI11" t="s">
        <v>194</v>
      </c>
      <c r="AJ11" t="s">
        <v>110</v>
      </c>
      <c r="AK11" t="s">
        <v>2083</v>
      </c>
    </row>
    <row r="12" spans="1:62">
      <c r="A12" t="s">
        <v>2117</v>
      </c>
      <c r="C12" s="11">
        <v>7.1973827699018542E-2</v>
      </c>
      <c r="D12" s="11">
        <v>7.5245365321701202E-2</v>
      </c>
      <c r="E12" s="11">
        <v>6.4340239912759001E-2</v>
      </c>
      <c r="F12" s="11">
        <v>7.7426390403489642E-2</v>
      </c>
      <c r="H12" t="s">
        <v>2085</v>
      </c>
      <c r="I12" t="s">
        <v>78</v>
      </c>
      <c r="J12" s="11">
        <v>5.5616139585605233E-2</v>
      </c>
      <c r="K12" s="11">
        <v>3.8167938931297711E-2</v>
      </c>
      <c r="L12" s="11">
        <v>5.1254089422028352E-2</v>
      </c>
      <c r="M12" s="11">
        <v>0.14503816793893129</v>
      </c>
      <c r="O12" t="s">
        <v>78</v>
      </c>
      <c r="P12" s="11">
        <v>2.2900763358778626E-2</v>
      </c>
      <c r="Q12" s="11">
        <v>1.8538713195201745E-2</v>
      </c>
      <c r="R12" s="11">
        <v>2.1810250817884406E-2</v>
      </c>
      <c r="S12" s="11">
        <v>1.9629225736095966E-2</v>
      </c>
      <c r="T12" s="11">
        <v>1.7448200654307525E-2</v>
      </c>
      <c r="U12" s="11">
        <v>1.0905125408942203E-2</v>
      </c>
      <c r="V12" s="11">
        <v>3.0534351145038167E-2</v>
      </c>
      <c r="W12" s="11">
        <v>2.2900763358778626E-2</v>
      </c>
      <c r="X12" s="11">
        <v>2.1810250817884406E-2</v>
      </c>
      <c r="Y12" s="11">
        <v>1.8538713195201745E-2</v>
      </c>
      <c r="Z12" s="11">
        <v>1.8538713195201745E-2</v>
      </c>
      <c r="AA12" s="11">
        <v>3.9258451472191931E-2</v>
      </c>
      <c r="AB12" s="11">
        <v>1.6357688113413305E-2</v>
      </c>
      <c r="AC12" s="11">
        <v>5.4525627044711013E-2</v>
      </c>
      <c r="AD12" s="11">
        <v>1.7448200654307525E-2</v>
      </c>
      <c r="AE12" s="11">
        <v>2.0719738276990186E-2</v>
      </c>
      <c r="AF12" s="11">
        <v>2.1810250817884406E-2</v>
      </c>
      <c r="AG12" s="11">
        <v>1.6357688113413305E-2</v>
      </c>
      <c r="AH12" s="11">
        <v>2.5081788440567066E-2</v>
      </c>
      <c r="AI12" s="11">
        <v>2.6172300981461286E-2</v>
      </c>
      <c r="AJ12" s="11">
        <v>3.162486368593239E-2</v>
      </c>
      <c r="AK12" s="11">
        <v>0.49291166848418755</v>
      </c>
    </row>
    <row r="13" spans="1:62">
      <c r="A13" t="s">
        <v>2087</v>
      </c>
      <c r="B13" t="s">
        <v>78</v>
      </c>
      <c r="C13" s="11">
        <v>2.0719738276990186E-2</v>
      </c>
      <c r="D13" s="11">
        <v>3.7077426390403491E-2</v>
      </c>
      <c r="E13" s="11">
        <v>2.7262813522355506E-2</v>
      </c>
      <c r="F13" s="11">
        <v>3.0534351145038167E-2</v>
      </c>
      <c r="I13" t="s">
        <v>66</v>
      </c>
      <c r="J13" s="11">
        <v>4.6892039258451472E-2</v>
      </c>
      <c r="K13" s="11">
        <v>4.5801526717557252E-2</v>
      </c>
      <c r="L13" s="11">
        <v>4.6892039258451472E-2</v>
      </c>
      <c r="M13" s="11">
        <v>0.1395856052344602</v>
      </c>
      <c r="O13" t="s">
        <v>66</v>
      </c>
      <c r="P13" s="11">
        <v>2.1810250817884406E-2</v>
      </c>
      <c r="Q13" s="11">
        <v>1.4176663031624863E-2</v>
      </c>
      <c r="R13" s="11">
        <v>2.0719738276990186E-2</v>
      </c>
      <c r="S13" s="11">
        <v>1.4176663031624863E-2</v>
      </c>
      <c r="T13" s="11">
        <v>2.2900763358778626E-2</v>
      </c>
      <c r="U13" s="11">
        <v>1.6357688113413305E-2</v>
      </c>
      <c r="V13" s="11">
        <v>2.1810250817884406E-2</v>
      </c>
      <c r="W13" s="11">
        <v>2.0719738276990186E-2</v>
      </c>
      <c r="X13" s="11">
        <v>1.8538713195201745E-2</v>
      </c>
      <c r="Y13" s="11">
        <v>2.6172300981461286E-2</v>
      </c>
      <c r="Z13" s="11">
        <v>1.9629225736095966E-2</v>
      </c>
      <c r="AA13" s="11">
        <v>4.0348964013086151E-2</v>
      </c>
      <c r="AB13" s="11">
        <v>3.0534351145038167E-2</v>
      </c>
      <c r="AC13" s="11">
        <v>3.3805888767720831E-2</v>
      </c>
      <c r="AD13" s="11">
        <v>2.2900763358778626E-2</v>
      </c>
      <c r="AE13" s="11">
        <v>1.7448200654307525E-2</v>
      </c>
      <c r="AF13" s="11">
        <v>1.4176663031624863E-2</v>
      </c>
      <c r="AG13" s="11">
        <v>2.5081788440567066E-2</v>
      </c>
      <c r="AH13" s="11">
        <v>2.5081788440567066E-2</v>
      </c>
      <c r="AI13" s="11">
        <v>2.2900763358778626E-2</v>
      </c>
      <c r="AJ13" s="11">
        <v>4.0348964013086151E-2</v>
      </c>
      <c r="AK13" s="11">
        <v>0.48964013086150493</v>
      </c>
    </row>
    <row r="14" spans="1:62">
      <c r="B14" t="s">
        <v>66</v>
      </c>
      <c r="C14" s="11">
        <v>3.0534351145038167E-2</v>
      </c>
      <c r="D14" s="11">
        <v>2.7262813522355506E-2</v>
      </c>
      <c r="E14" s="11">
        <v>1.4176663031624863E-2</v>
      </c>
      <c r="F14" s="11">
        <v>2.5081788440567066E-2</v>
      </c>
      <c r="I14" t="s">
        <v>50</v>
      </c>
      <c r="J14" s="11">
        <v>1.0905125408942203E-3</v>
      </c>
      <c r="K14" s="11">
        <v>2.1810250817884407E-3</v>
      </c>
      <c r="L14" s="11">
        <v>1.0905125408942203E-3</v>
      </c>
      <c r="M14" s="11">
        <v>4.3620501635768813E-3</v>
      </c>
      <c r="O14" t="s">
        <v>50</v>
      </c>
      <c r="P14" s="11">
        <v>1.0905125408942203E-3</v>
      </c>
      <c r="Q14" s="11">
        <v>2.1810250817884407E-3</v>
      </c>
      <c r="R14" s="11">
        <v>0</v>
      </c>
      <c r="S14" s="11">
        <v>0</v>
      </c>
      <c r="T14" s="11">
        <v>0</v>
      </c>
      <c r="U14" s="11">
        <v>1.0905125408942203E-3</v>
      </c>
      <c r="V14" s="11">
        <v>1.0905125408942203E-3</v>
      </c>
      <c r="W14" s="11">
        <v>1.0905125408942203E-3</v>
      </c>
      <c r="X14" s="11">
        <v>0</v>
      </c>
      <c r="Y14" s="11">
        <v>0</v>
      </c>
      <c r="Z14" s="11">
        <v>0</v>
      </c>
      <c r="AA14" s="11">
        <v>1.0905125408942203E-3</v>
      </c>
      <c r="AB14" s="11">
        <v>1.0905125408942203E-3</v>
      </c>
      <c r="AC14" s="11">
        <v>2.1810250817884407E-3</v>
      </c>
      <c r="AD14" s="11">
        <v>3.2715376226826608E-3</v>
      </c>
      <c r="AE14" s="11">
        <v>1.0905125408942203E-3</v>
      </c>
      <c r="AF14" s="11">
        <v>1.0905125408942203E-3</v>
      </c>
      <c r="AG14" s="11">
        <v>0</v>
      </c>
      <c r="AH14" s="11">
        <v>1.0905125408942203E-3</v>
      </c>
      <c r="AI14" s="11">
        <v>0</v>
      </c>
      <c r="AJ14" s="11">
        <v>0</v>
      </c>
      <c r="AK14" s="11">
        <v>1.7448200654307525E-2</v>
      </c>
    </row>
    <row r="15" spans="1:62">
      <c r="B15" t="s">
        <v>50</v>
      </c>
      <c r="C15" s="11">
        <v>0</v>
      </c>
      <c r="D15" s="11">
        <v>1.0905125408942203E-3</v>
      </c>
      <c r="E15" s="11">
        <v>2.1810250817884407E-3</v>
      </c>
      <c r="F15" s="11">
        <v>1.0905125408942203E-3</v>
      </c>
      <c r="H15" t="s">
        <v>2117</v>
      </c>
      <c r="J15" s="11">
        <v>0.10359869138495092</v>
      </c>
      <c r="K15" s="11">
        <v>8.6150490730643403E-2</v>
      </c>
      <c r="L15" s="11">
        <v>9.9236641221374045E-2</v>
      </c>
      <c r="M15" s="11">
        <v>0.28898582333696837</v>
      </c>
      <c r="O15" t="s">
        <v>2083</v>
      </c>
      <c r="P15" s="11">
        <v>4.5801526717557252E-2</v>
      </c>
      <c r="Q15" s="11">
        <v>3.4896401308615051E-2</v>
      </c>
      <c r="R15" s="11">
        <v>4.2529989094874592E-2</v>
      </c>
      <c r="S15" s="11">
        <v>3.3805888767720831E-2</v>
      </c>
      <c r="T15" s="11">
        <v>4.0348964013086151E-2</v>
      </c>
      <c r="U15" s="11">
        <v>2.8353326063249727E-2</v>
      </c>
      <c r="V15" s="11">
        <v>5.3435114503816793E-2</v>
      </c>
      <c r="W15" s="11">
        <v>4.4711014176663032E-2</v>
      </c>
      <c r="X15" s="11">
        <v>4.0348964013086151E-2</v>
      </c>
      <c r="Y15" s="11">
        <v>4.4711014176663032E-2</v>
      </c>
      <c r="Z15" s="11">
        <v>3.8167938931297711E-2</v>
      </c>
      <c r="AA15" s="11">
        <v>8.0697928026172303E-2</v>
      </c>
      <c r="AB15" s="11">
        <v>4.7982551799345692E-2</v>
      </c>
      <c r="AC15" s="11">
        <v>9.0512540894220284E-2</v>
      </c>
      <c r="AD15" s="11">
        <v>4.3620501635768812E-2</v>
      </c>
      <c r="AE15" s="11">
        <v>3.9258451472191931E-2</v>
      </c>
      <c r="AF15" s="11">
        <v>3.7077426390403491E-2</v>
      </c>
      <c r="AG15" s="11">
        <v>4.1439476553980371E-2</v>
      </c>
      <c r="AH15" s="11">
        <v>5.1254089422028352E-2</v>
      </c>
      <c r="AI15" s="11">
        <v>4.9073064340239912E-2</v>
      </c>
      <c r="AJ15" s="11">
        <v>7.1973827699018542E-2</v>
      </c>
      <c r="AK15" s="11">
        <v>1</v>
      </c>
    </row>
    <row r="16" spans="1:62">
      <c r="A16" t="s">
        <v>2115</v>
      </c>
      <c r="C16" s="11">
        <v>5.1254089422028352E-2</v>
      </c>
      <c r="D16" s="11">
        <v>6.5430752453653221E-2</v>
      </c>
      <c r="E16" s="11">
        <v>4.3620501635768812E-2</v>
      </c>
      <c r="F16" s="11">
        <v>5.6706652126499453E-2</v>
      </c>
      <c r="H16" t="s">
        <v>2084</v>
      </c>
      <c r="I16" t="s">
        <v>78</v>
      </c>
      <c r="J16" s="11">
        <v>1.9629225736095966E-2</v>
      </c>
      <c r="K16" s="11">
        <v>2.8353326063249727E-2</v>
      </c>
      <c r="L16" s="11">
        <v>3.4896401308615051E-2</v>
      </c>
      <c r="M16" s="11">
        <v>8.2878953107960743E-2</v>
      </c>
    </row>
    <row r="17" spans="1:13">
      <c r="A17" t="s">
        <v>2084</v>
      </c>
      <c r="B17" t="s">
        <v>78</v>
      </c>
      <c r="C17" s="11">
        <v>1.9629225736095966E-2</v>
      </c>
      <c r="D17" s="11">
        <v>1.5267175572519083E-2</v>
      </c>
      <c r="E17" s="11">
        <v>1.8538713195201745E-2</v>
      </c>
      <c r="F17" s="11">
        <v>2.9443838604143947E-2</v>
      </c>
      <c r="I17" t="s">
        <v>66</v>
      </c>
      <c r="J17" s="11">
        <v>2.3991275899672846E-2</v>
      </c>
      <c r="K17" s="11">
        <v>4.2529989094874592E-2</v>
      </c>
      <c r="L17" s="11">
        <v>2.9443838604143947E-2</v>
      </c>
      <c r="M17" s="11">
        <v>9.5965103598691384E-2</v>
      </c>
    </row>
    <row r="18" spans="1:13">
      <c r="B18" t="s">
        <v>66</v>
      </c>
      <c r="C18" s="11">
        <v>2.8353326063249727E-2</v>
      </c>
      <c r="D18" s="11">
        <v>2.6172300981461286E-2</v>
      </c>
      <c r="E18" s="11">
        <v>2.3991275899672846E-2</v>
      </c>
      <c r="F18" s="11">
        <v>1.7448200654307525E-2</v>
      </c>
      <c r="I18" t="s">
        <v>50</v>
      </c>
      <c r="J18" s="11">
        <v>0</v>
      </c>
      <c r="K18" s="11">
        <v>0</v>
      </c>
      <c r="L18" s="11">
        <v>3.2715376226826608E-3</v>
      </c>
      <c r="M18" s="11">
        <v>3.2715376226826608E-3</v>
      </c>
    </row>
    <row r="19" spans="1:13">
      <c r="B19" t="s">
        <v>50</v>
      </c>
      <c r="C19" s="11">
        <v>0</v>
      </c>
      <c r="D19" s="11">
        <v>1.0905125408942203E-3</v>
      </c>
      <c r="E19" s="11">
        <v>2.1810250817884407E-3</v>
      </c>
      <c r="F19" s="11">
        <v>0</v>
      </c>
      <c r="H19" t="s">
        <v>2118</v>
      </c>
      <c r="J19" s="11">
        <v>4.3620501635768812E-2</v>
      </c>
      <c r="K19" s="11">
        <v>7.0883315158124321E-2</v>
      </c>
      <c r="L19" s="11">
        <v>6.7611777535441661E-2</v>
      </c>
      <c r="M19" s="11">
        <v>0.1821155943293348</v>
      </c>
    </row>
    <row r="20" spans="1:13">
      <c r="A20" t="s">
        <v>2118</v>
      </c>
      <c r="C20" s="11">
        <v>4.7982551799345692E-2</v>
      </c>
      <c r="D20" s="11">
        <v>4.2529989094874592E-2</v>
      </c>
      <c r="E20" s="11">
        <v>4.4711014176663032E-2</v>
      </c>
      <c r="F20" s="11">
        <v>4.6892039258451472E-2</v>
      </c>
      <c r="H20" t="s">
        <v>2083</v>
      </c>
      <c r="J20" s="11">
        <v>0.32606324972737188</v>
      </c>
      <c r="K20" s="11">
        <v>0.321701199563795</v>
      </c>
      <c r="L20" s="11">
        <v>0.35223555070883317</v>
      </c>
      <c r="M20" s="11">
        <v>1</v>
      </c>
    </row>
    <row r="21" spans="1:13">
      <c r="A21" t="s">
        <v>2083</v>
      </c>
      <c r="C21" s="11">
        <v>0.26608505997818976</v>
      </c>
      <c r="D21" s="11">
        <v>0.25408942202835333</v>
      </c>
      <c r="E21" s="11">
        <v>0.23555070883315157</v>
      </c>
      <c r="F21" s="11">
        <v>0.24427480916030533</v>
      </c>
    </row>
  </sheetData>
  <pageMargins left="0.7" right="0.7" top="0.75" bottom="0.75" header="0.3" footer="0.3"/>
  <drawing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2025-10-15T03:14:32Z</dcterms:created>
  <dcterms:modified xsi:type="dcterms:W3CDTF">2025-11-18T05:34:57Z</dcterms:modified>
  <cp:category/>
  <cp:contentStatus/>
</cp:coreProperties>
</file>